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ho\Documents\My Documents\Wargames\My titles\Irregular Wars\IW Fantastic Battles\"/>
    </mc:Choice>
  </mc:AlternateContent>
  <xr:revisionPtr revIDLastSave="0" documentId="13_ncr:1_{8067BF11-306F-4C00-8BC7-FD27FCC23FB0}" xr6:coauthVersionLast="47" xr6:coauthVersionMax="47" xr10:uidLastSave="{00000000-0000-0000-0000-000000000000}"/>
  <workbookProtection workbookAlgorithmName="SHA-512" workbookHashValue="roiReRx+HkSOdIMHq4ez3mjUlwZcW3TaDatjcnPtUhz3CzqX/AKv09qTgPc7cTBDcZzNxkCaXch8++AaBhLHWQ==" workbookSaltValue="RxJ9bzw0OCbQztF5eYCI0w==" workbookSpinCount="100000" lockStructure="1"/>
  <bookViews>
    <workbookView xWindow="-108" yWindow="-108" windowWidth="23256" windowHeight="12456" xr2:uid="{6CDDE7F3-7AE8-43F1-B3CE-FF143B01E2BC}"/>
  </bookViews>
  <sheets>
    <sheet name="Builder" sheetId="3" r:id="rId1"/>
    <sheet name="exclusion traits" sheetId="8" state="hidden" r:id="rId2"/>
    <sheet name="Print format" sheetId="6" r:id="rId3"/>
    <sheet name="Stats" sheetId="1" r:id="rId4"/>
    <sheet name="format" sheetId="5" state="hidden" r:id="rId5"/>
    <sheet name="sort" sheetId="7" state="hidden" r:id="rId6"/>
    <sheet name="bkp" sheetId="4" state="hidden" r:id="rId7"/>
  </sheets>
  <definedNames>
    <definedName name="companys">Stats!$B$4:$B$15</definedName>
    <definedName name="HERO">format!$A$32:$A$37</definedName>
    <definedName name="_xlnm.Print_Area" localSheetId="4">format!$F$40</definedName>
    <definedName name="_xlnm.Print_Area" localSheetId="5">sort!$F$40</definedName>
    <definedName name="Relic_Names">Stats!$B$74:$B$87</definedName>
    <definedName name="Relics">Stats!$B$74:$L$87</definedName>
    <definedName name="ROW1_TRAITS">'exclusion traits'!$N$3:$N$55</definedName>
    <definedName name="ROW10_TRAITS">'exclusion traits'!$ES$3:$ES$56</definedName>
    <definedName name="ROW11_TRAITS">'exclusion traits'!$FH$3:$FH$56</definedName>
    <definedName name="ROW2_TRAITS">'exclusion traits'!$AC$3:$AC$55</definedName>
    <definedName name="ROW3_TRAITS">'exclusion traits'!$AR$3:$AR$55</definedName>
    <definedName name="ROW4_TRAITS">'exclusion traits'!$BG$3:$BG$55</definedName>
    <definedName name="ROW5_TRAITS">'exclusion traits'!$BV$3:$BV$55</definedName>
    <definedName name="ROW6_TRAITS">'exclusion traits'!$CK$3:$CK$55</definedName>
    <definedName name="ROW7_TRAITS">'exclusion traits'!$CZ$3:$CZ$56</definedName>
    <definedName name="ROW8_TRAITS">'exclusion traits'!$DO$3:$DO$56</definedName>
    <definedName name="ROW9_TRAITS">'exclusion traits'!$ED$3:$ED$56</definedName>
    <definedName name="sorted">sort!$A$4:$R$30</definedName>
    <definedName name="stats">Stats!$B$4:$K$15</definedName>
    <definedName name="Strats">Stats!$B$91:$K$98</definedName>
    <definedName name="traits">Stats!$B$18:$J$70</definedName>
    <definedName name="TRAITS_ROW12">'exclusion traits'!$FW$3:$FW$56</definedName>
    <definedName name="TRAITS_ROW13">'exclusion traits'!$GL$3:$GL$56</definedName>
    <definedName name="TRAITS_ROW14">'exclusion traits'!$HA$3:$HA$56</definedName>
    <definedName name="TRAITS_ROW15">'exclusion traits'!$HP$3:$HP$56</definedName>
    <definedName name="TRAITS_ROW16">'exclusion traits'!$IE$3:$IE$56</definedName>
    <definedName name="TRAITS_ROW17">'exclusion traits'!$IT$3:$IT$56</definedName>
    <definedName name="TRAITS_ROW18">'exclusion traits'!$JI$3:$JI$56</definedName>
    <definedName name="TRAITS_ROW19">'exclusion traits'!$JX$3:$JX$56</definedName>
    <definedName name="TRAITS_ROW20">'exclusion traits'!$KM$3:$KM$56</definedName>
    <definedName name="TRAITS_ROW21">'exclusion traits'!$LB$3:$LB$56</definedName>
    <definedName name="TRAITS_ROW22">'exclusion traits'!$LQ$3:$LQ$56</definedName>
    <definedName name="TRAITS_ROW23">'exclusion traits'!$MF$3:$MF$56</definedName>
    <definedName name="TRAITS_ROW24">'exclusion traits'!$MU$3:$MU$56</definedName>
    <definedName name="TRAITS_ROW25">'exclusion traits'!$NJ$3:$NJ$56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8" l="1"/>
  <c r="D3" i="8" s="1"/>
  <c r="AT4" i="8"/>
  <c r="AU4" i="8"/>
  <c r="AV4" i="8"/>
  <c r="AZ4" i="8" s="1"/>
  <c r="BF4" i="8"/>
  <c r="AT5" i="8"/>
  <c r="AU5" i="8"/>
  <c r="AV5" i="8"/>
  <c r="AW5" i="8" s="1"/>
  <c r="BF5" i="8"/>
  <c r="AT6" i="8"/>
  <c r="AU6" i="8"/>
  <c r="AV6" i="8"/>
  <c r="AY6" i="8" s="1"/>
  <c r="BF6" i="8"/>
  <c r="AT7" i="8"/>
  <c r="AU7" i="8"/>
  <c r="AV7" i="8"/>
  <c r="BF7" i="8"/>
  <c r="AT8" i="8"/>
  <c r="AU8" i="8"/>
  <c r="AV8" i="8"/>
  <c r="BB8" i="8" s="1"/>
  <c r="BF8" i="8"/>
  <c r="AT9" i="8"/>
  <c r="AU9" i="8"/>
  <c r="AV9" i="8"/>
  <c r="BF9" i="8"/>
  <c r="AT10" i="8"/>
  <c r="AU10" i="8"/>
  <c r="AV10" i="8"/>
  <c r="AY10" i="8" s="1"/>
  <c r="BF10" i="8"/>
  <c r="AT11" i="8"/>
  <c r="AU11" i="8"/>
  <c r="AV11" i="8"/>
  <c r="BF11" i="8"/>
  <c r="AT12" i="8"/>
  <c r="AU12" i="8"/>
  <c r="AV12" i="8"/>
  <c r="AY12" i="8" s="1"/>
  <c r="BF12" i="8"/>
  <c r="AT13" i="8"/>
  <c r="AU13" i="8"/>
  <c r="AV13" i="8"/>
  <c r="BF13" i="8"/>
  <c r="AT14" i="8"/>
  <c r="AU14" i="8"/>
  <c r="AV14" i="8"/>
  <c r="AW14" i="8" s="1"/>
  <c r="BF14" i="8"/>
  <c r="AT15" i="8"/>
  <c r="AU15" i="8"/>
  <c r="AV15" i="8"/>
  <c r="AY15" i="8" s="1"/>
  <c r="BF15" i="8"/>
  <c r="AT16" i="8"/>
  <c r="AU16" i="8"/>
  <c r="AV16" i="8"/>
  <c r="BB16" i="8" s="1"/>
  <c r="BF16" i="8"/>
  <c r="AT17" i="8"/>
  <c r="AU17" i="8"/>
  <c r="AV17" i="8"/>
  <c r="BF17" i="8"/>
  <c r="AT18" i="8"/>
  <c r="AU18" i="8"/>
  <c r="AV18" i="8"/>
  <c r="AY18" i="8" s="1"/>
  <c r="BF18" i="8"/>
  <c r="AT19" i="8"/>
  <c r="AU19" i="8"/>
  <c r="AV19" i="8"/>
  <c r="BF19" i="8"/>
  <c r="AT20" i="8"/>
  <c r="AU20" i="8"/>
  <c r="AV20" i="8"/>
  <c r="AX20" i="8" s="1"/>
  <c r="BF20" i="8"/>
  <c r="AT21" i="8"/>
  <c r="AU21" i="8"/>
  <c r="AV21" i="8"/>
  <c r="AY21" i="8" s="1"/>
  <c r="BF21" i="8"/>
  <c r="AT22" i="8"/>
  <c r="AU22" i="8"/>
  <c r="AV22" i="8"/>
  <c r="BF22" i="8"/>
  <c r="AT23" i="8"/>
  <c r="AU23" i="8"/>
  <c r="AV23" i="8"/>
  <c r="BF23" i="8"/>
  <c r="AT24" i="8"/>
  <c r="AU24" i="8"/>
  <c r="AV24" i="8"/>
  <c r="AW24" i="8" s="1"/>
  <c r="BF24" i="8"/>
  <c r="AT25" i="8"/>
  <c r="AU25" i="8"/>
  <c r="AV25" i="8"/>
  <c r="BF25" i="8"/>
  <c r="AT26" i="8"/>
  <c r="AU26" i="8"/>
  <c r="AV26" i="8"/>
  <c r="AW26" i="8" s="1"/>
  <c r="BF26" i="8"/>
  <c r="AT27" i="8"/>
  <c r="AU27" i="8"/>
  <c r="AV27" i="8"/>
  <c r="BF27" i="8"/>
  <c r="AT28" i="8"/>
  <c r="AU28" i="8"/>
  <c r="AV28" i="8"/>
  <c r="AZ28" i="8" s="1"/>
  <c r="BF28" i="8"/>
  <c r="AT29" i="8"/>
  <c r="AU29" i="8"/>
  <c r="AV29" i="8"/>
  <c r="BF29" i="8"/>
  <c r="AT30" i="8"/>
  <c r="AU30" i="8"/>
  <c r="AV30" i="8"/>
  <c r="AX30" i="8" s="1"/>
  <c r="BF30" i="8"/>
  <c r="AT31" i="8"/>
  <c r="AU31" i="8"/>
  <c r="AV31" i="8"/>
  <c r="BF31" i="8"/>
  <c r="AT32" i="8"/>
  <c r="AU32" i="8"/>
  <c r="AV32" i="8"/>
  <c r="BB32" i="8" s="1"/>
  <c r="BF32" i="8"/>
  <c r="AT33" i="8"/>
  <c r="AU33" i="8"/>
  <c r="AV33" i="8"/>
  <c r="BF33" i="8"/>
  <c r="AT34" i="8"/>
  <c r="AU34" i="8"/>
  <c r="AV34" i="8"/>
  <c r="AX34" i="8" s="1"/>
  <c r="BF34" i="8"/>
  <c r="AT35" i="8"/>
  <c r="AU35" i="8"/>
  <c r="AV35" i="8"/>
  <c r="BF35" i="8"/>
  <c r="AT36" i="8"/>
  <c r="AU36" i="8"/>
  <c r="AV36" i="8"/>
  <c r="AY36" i="8" s="1"/>
  <c r="BF36" i="8"/>
  <c r="AT37" i="8"/>
  <c r="AU37" i="8"/>
  <c r="AV37" i="8"/>
  <c r="AX37" i="8" s="1"/>
  <c r="BF37" i="8"/>
  <c r="AT38" i="8"/>
  <c r="AU38" i="8"/>
  <c r="AV38" i="8"/>
  <c r="BB38" i="8" s="1"/>
  <c r="BF38" i="8"/>
  <c r="AT39" i="8"/>
  <c r="AU39" i="8"/>
  <c r="AV39" i="8"/>
  <c r="BF39" i="8"/>
  <c r="AT40" i="8"/>
  <c r="AU40" i="8"/>
  <c r="AV40" i="8"/>
  <c r="AY40" i="8" s="1"/>
  <c r="BF40" i="8"/>
  <c r="AT41" i="8"/>
  <c r="AU41" i="8"/>
  <c r="AV41" i="8"/>
  <c r="BF41" i="8"/>
  <c r="AT42" i="8"/>
  <c r="AU42" i="8"/>
  <c r="AV42" i="8"/>
  <c r="AX42" i="8" s="1"/>
  <c r="BF42" i="8"/>
  <c r="AT43" i="8"/>
  <c r="AU43" i="8"/>
  <c r="AV43" i="8"/>
  <c r="BF43" i="8"/>
  <c r="AT44" i="8"/>
  <c r="AU44" i="8"/>
  <c r="AV44" i="8"/>
  <c r="BA44" i="8" s="1"/>
  <c r="BF44" i="8"/>
  <c r="AT45" i="8"/>
  <c r="AU45" i="8"/>
  <c r="AV45" i="8"/>
  <c r="BF45" i="8"/>
  <c r="AT46" i="8"/>
  <c r="AU46" i="8"/>
  <c r="AV46" i="8"/>
  <c r="AX46" i="8" s="1"/>
  <c r="BF46" i="8"/>
  <c r="AT47" i="8"/>
  <c r="AU47" i="8"/>
  <c r="AV47" i="8"/>
  <c r="BF47" i="8"/>
  <c r="AT48" i="8"/>
  <c r="AU48" i="8"/>
  <c r="AV48" i="8"/>
  <c r="BA48" i="8" s="1"/>
  <c r="BF48" i="8"/>
  <c r="AT49" i="8"/>
  <c r="AU49" i="8"/>
  <c r="AV49" i="8"/>
  <c r="BF49" i="8"/>
  <c r="AT50" i="8"/>
  <c r="AU50" i="8"/>
  <c r="AV50" i="8"/>
  <c r="AW50" i="8" s="1"/>
  <c r="BF50" i="8"/>
  <c r="AT51" i="8"/>
  <c r="AU51" i="8"/>
  <c r="AV51" i="8"/>
  <c r="BF51" i="8"/>
  <c r="AT52" i="8"/>
  <c r="AU52" i="8"/>
  <c r="AV52" i="8"/>
  <c r="BB52" i="8" s="1"/>
  <c r="BF52" i="8"/>
  <c r="AT53" i="8"/>
  <c r="AU53" i="8"/>
  <c r="AV53" i="8"/>
  <c r="BF53" i="8"/>
  <c r="AT54" i="8"/>
  <c r="AU54" i="8"/>
  <c r="AV54" i="8"/>
  <c r="AW54" i="8" s="1"/>
  <c r="BF54" i="8"/>
  <c r="AT55" i="8"/>
  <c r="AU55" i="8"/>
  <c r="AV55" i="8"/>
  <c r="BF55" i="8"/>
  <c r="BF3" i="8"/>
  <c r="AU3" i="8"/>
  <c r="AT3" i="8"/>
  <c r="AE4" i="8"/>
  <c r="AF4" i="8"/>
  <c r="AG4" i="8"/>
  <c r="AQ4" i="8"/>
  <c r="AE5" i="8"/>
  <c r="AF5" i="8"/>
  <c r="AG5" i="8"/>
  <c r="AM5" i="8" s="1"/>
  <c r="AQ5" i="8"/>
  <c r="AE6" i="8"/>
  <c r="AF6" i="8"/>
  <c r="AG6" i="8"/>
  <c r="AQ6" i="8"/>
  <c r="AE7" i="8"/>
  <c r="AF7" i="8"/>
  <c r="AG7" i="8"/>
  <c r="AH7" i="8" s="1"/>
  <c r="AQ7" i="8"/>
  <c r="AE8" i="8"/>
  <c r="AF8" i="8"/>
  <c r="AG8" i="8"/>
  <c r="AQ8" i="8"/>
  <c r="AE9" i="8"/>
  <c r="AF9" i="8"/>
  <c r="AG9" i="8"/>
  <c r="AH9" i="8" s="1"/>
  <c r="AQ9" i="8"/>
  <c r="AE10" i="8"/>
  <c r="AF10" i="8"/>
  <c r="AG10" i="8"/>
  <c r="AM10" i="8" s="1"/>
  <c r="AQ10" i="8"/>
  <c r="AE11" i="8"/>
  <c r="AF11" i="8"/>
  <c r="AG11" i="8"/>
  <c r="AJ11" i="8" s="1"/>
  <c r="AQ11" i="8"/>
  <c r="AE12" i="8"/>
  <c r="AF12" i="8"/>
  <c r="AG12" i="8"/>
  <c r="AQ12" i="8"/>
  <c r="AE13" i="8"/>
  <c r="AF13" i="8"/>
  <c r="AG13" i="8"/>
  <c r="AL13" i="8" s="1"/>
  <c r="AQ13" i="8"/>
  <c r="AE14" i="8"/>
  <c r="AF14" i="8"/>
  <c r="AG14" i="8"/>
  <c r="AK14" i="8" s="1"/>
  <c r="AQ14" i="8"/>
  <c r="AE15" i="8"/>
  <c r="AF15" i="8"/>
  <c r="AG15" i="8"/>
  <c r="AQ15" i="8"/>
  <c r="AE16" i="8"/>
  <c r="AF16" i="8"/>
  <c r="AG16" i="8"/>
  <c r="AK16" i="8" s="1"/>
  <c r="AQ16" i="8"/>
  <c r="AE17" i="8"/>
  <c r="AF17" i="8"/>
  <c r="AG17" i="8"/>
  <c r="AQ17" i="8"/>
  <c r="AE18" i="8"/>
  <c r="AF18" i="8"/>
  <c r="AG18" i="8"/>
  <c r="AQ18" i="8"/>
  <c r="AE19" i="8"/>
  <c r="AF19" i="8"/>
  <c r="AG19" i="8"/>
  <c r="AK19" i="8" s="1"/>
  <c r="AQ19" i="8"/>
  <c r="AE20" i="8"/>
  <c r="AF20" i="8"/>
  <c r="AG20" i="8"/>
  <c r="AQ20" i="8"/>
  <c r="AE21" i="8"/>
  <c r="AF21" i="8"/>
  <c r="AG21" i="8"/>
  <c r="AJ21" i="8" s="1"/>
  <c r="AQ21" i="8"/>
  <c r="AE22" i="8"/>
  <c r="AF22" i="8"/>
  <c r="AG22" i="8"/>
  <c r="AJ22" i="8" s="1"/>
  <c r="AQ22" i="8"/>
  <c r="AE23" i="8"/>
  <c r="AF23" i="8"/>
  <c r="AG23" i="8"/>
  <c r="AK23" i="8" s="1"/>
  <c r="AQ23" i="8"/>
  <c r="AE24" i="8"/>
  <c r="AF24" i="8"/>
  <c r="AG24" i="8"/>
  <c r="AL24" i="8" s="1"/>
  <c r="AQ24" i="8"/>
  <c r="AE25" i="8"/>
  <c r="AF25" i="8"/>
  <c r="AG25" i="8"/>
  <c r="AQ25" i="8"/>
  <c r="AE26" i="8"/>
  <c r="AF26" i="8"/>
  <c r="AG26" i="8"/>
  <c r="AM26" i="8" s="1"/>
  <c r="AQ26" i="8"/>
  <c r="AE27" i="8"/>
  <c r="AF27" i="8"/>
  <c r="AG27" i="8"/>
  <c r="AQ27" i="8"/>
  <c r="AE28" i="8"/>
  <c r="AF28" i="8"/>
  <c r="AG28" i="8"/>
  <c r="AL28" i="8" s="1"/>
  <c r="AQ28" i="8"/>
  <c r="AE29" i="8"/>
  <c r="AF29" i="8"/>
  <c r="AG29" i="8"/>
  <c r="AK29" i="8" s="1"/>
  <c r="AQ29" i="8"/>
  <c r="AE30" i="8"/>
  <c r="AF30" i="8"/>
  <c r="AG30" i="8"/>
  <c r="AH30" i="8" s="1"/>
  <c r="AQ30" i="8"/>
  <c r="AE31" i="8"/>
  <c r="AF31" i="8"/>
  <c r="AG31" i="8"/>
  <c r="AK31" i="8" s="1"/>
  <c r="AQ31" i="8"/>
  <c r="AE32" i="8"/>
  <c r="AF32" i="8"/>
  <c r="AG32" i="8"/>
  <c r="AJ32" i="8" s="1"/>
  <c r="AQ32" i="8"/>
  <c r="AE33" i="8"/>
  <c r="AF33" i="8"/>
  <c r="AG33" i="8"/>
  <c r="AH33" i="8" s="1"/>
  <c r="AQ33" i="8"/>
  <c r="AE34" i="8"/>
  <c r="AF34" i="8"/>
  <c r="AQ34" i="8"/>
  <c r="AE35" i="8"/>
  <c r="AF35" i="8"/>
  <c r="AG35" i="8"/>
  <c r="AQ35" i="8"/>
  <c r="AE36" i="8"/>
  <c r="AF36" i="8"/>
  <c r="AG36" i="8"/>
  <c r="AQ36" i="8"/>
  <c r="AE37" i="8"/>
  <c r="AF37" i="8"/>
  <c r="AG37" i="8"/>
  <c r="AL37" i="8" s="1"/>
  <c r="AQ37" i="8"/>
  <c r="AE38" i="8"/>
  <c r="AF38" i="8"/>
  <c r="AG38" i="8"/>
  <c r="AH38" i="8" s="1"/>
  <c r="AQ38" i="8"/>
  <c r="AE39" i="8"/>
  <c r="AF39" i="8"/>
  <c r="AG39" i="8"/>
  <c r="AK39" i="8" s="1"/>
  <c r="AQ39" i="8"/>
  <c r="AE40" i="8"/>
  <c r="AF40" i="8"/>
  <c r="AG40" i="8"/>
  <c r="AK40" i="8" s="1"/>
  <c r="AQ40" i="8"/>
  <c r="AE41" i="8"/>
  <c r="AF41" i="8"/>
  <c r="AG41" i="8"/>
  <c r="AM41" i="8" s="1"/>
  <c r="AQ41" i="8"/>
  <c r="AE42" i="8"/>
  <c r="AF42" i="8"/>
  <c r="AG42" i="8"/>
  <c r="AH42" i="8" s="1"/>
  <c r="AQ42" i="8"/>
  <c r="AE43" i="8"/>
  <c r="AF43" i="8"/>
  <c r="AG43" i="8"/>
  <c r="AK43" i="8" s="1"/>
  <c r="AQ43" i="8"/>
  <c r="AE44" i="8"/>
  <c r="AF44" i="8"/>
  <c r="AG44" i="8"/>
  <c r="AK44" i="8" s="1"/>
  <c r="AQ44" i="8"/>
  <c r="AE45" i="8"/>
  <c r="AF45" i="8"/>
  <c r="AG45" i="8"/>
  <c r="AM45" i="8" s="1"/>
  <c r="AQ45" i="8"/>
  <c r="AE46" i="8"/>
  <c r="AF46" i="8"/>
  <c r="AG46" i="8"/>
  <c r="AJ46" i="8" s="1"/>
  <c r="AQ46" i="8"/>
  <c r="AE47" i="8"/>
  <c r="AF47" i="8"/>
  <c r="AG47" i="8"/>
  <c r="AM47" i="8" s="1"/>
  <c r="AQ47" i="8"/>
  <c r="AE48" i="8"/>
  <c r="AF48" i="8"/>
  <c r="AG48" i="8"/>
  <c r="AQ48" i="8"/>
  <c r="AE49" i="8"/>
  <c r="AF49" i="8"/>
  <c r="AG49" i="8"/>
  <c r="AL49" i="8" s="1"/>
  <c r="AQ49" i="8"/>
  <c r="AE50" i="8"/>
  <c r="AF50" i="8"/>
  <c r="AG50" i="8"/>
  <c r="AQ50" i="8"/>
  <c r="AE51" i="8"/>
  <c r="AF51" i="8"/>
  <c r="AG51" i="8"/>
  <c r="AM51" i="8" s="1"/>
  <c r="AQ51" i="8"/>
  <c r="AE52" i="8"/>
  <c r="AF52" i="8"/>
  <c r="AG52" i="8"/>
  <c r="AQ52" i="8"/>
  <c r="AE53" i="8"/>
  <c r="AF53" i="8"/>
  <c r="AG53" i="8"/>
  <c r="AJ53" i="8" s="1"/>
  <c r="AQ53" i="8"/>
  <c r="AE54" i="8"/>
  <c r="AF54" i="8"/>
  <c r="AG54" i="8"/>
  <c r="AH54" i="8" s="1"/>
  <c r="AQ54" i="8"/>
  <c r="AE55" i="8"/>
  <c r="AF55" i="8"/>
  <c r="AG55" i="8"/>
  <c r="AM55" i="8" s="1"/>
  <c r="AQ55" i="8"/>
  <c r="AQ3" i="8"/>
  <c r="AF3" i="8"/>
  <c r="AE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3" i="8"/>
  <c r="C4" i="8"/>
  <c r="D4" i="8"/>
  <c r="C5" i="8"/>
  <c r="I5" i="8" s="1"/>
  <c r="C6" i="8"/>
  <c r="F6" i="8" s="1"/>
  <c r="C7" i="8"/>
  <c r="F7" i="8" s="1"/>
  <c r="C8" i="8"/>
  <c r="D8" i="8" s="1"/>
  <c r="C9" i="8"/>
  <c r="D9" i="8" s="1"/>
  <c r="C10" i="8"/>
  <c r="D10" i="8" s="1"/>
  <c r="C11" i="8"/>
  <c r="F11" i="8" s="1"/>
  <c r="C12" i="8"/>
  <c r="D12" i="8" s="1"/>
  <c r="C13" i="8"/>
  <c r="E13" i="8" s="1"/>
  <c r="C14" i="8"/>
  <c r="H14" i="8" s="1"/>
  <c r="C15" i="8"/>
  <c r="G15" i="8" s="1"/>
  <c r="C16" i="8"/>
  <c r="C17" i="8"/>
  <c r="E17" i="8" s="1"/>
  <c r="C18" i="8"/>
  <c r="G18" i="8" s="1"/>
  <c r="C19" i="8"/>
  <c r="G19" i="8" s="1"/>
  <c r="C20" i="8"/>
  <c r="D20" i="8" s="1"/>
  <c r="C21" i="8"/>
  <c r="E21" i="8" s="1"/>
  <c r="C22" i="8"/>
  <c r="F22" i="8" s="1"/>
  <c r="C23" i="8"/>
  <c r="D23" i="8" s="1"/>
  <c r="C24" i="8"/>
  <c r="H24" i="8" s="1"/>
  <c r="C25" i="8"/>
  <c r="E25" i="8" s="1"/>
  <c r="C26" i="8"/>
  <c r="E26" i="8" s="1"/>
  <c r="C27" i="8"/>
  <c r="F27" i="8" s="1"/>
  <c r="C28" i="8"/>
  <c r="D28" i="8" s="1"/>
  <c r="C29" i="8"/>
  <c r="C30" i="8"/>
  <c r="F30" i="8" s="1"/>
  <c r="C31" i="8"/>
  <c r="C32" i="8"/>
  <c r="C33" i="8"/>
  <c r="D33" i="8" s="1"/>
  <c r="C34" i="8"/>
  <c r="D34" i="8" s="1"/>
  <c r="C35" i="8"/>
  <c r="G35" i="8" s="1"/>
  <c r="C36" i="8"/>
  <c r="C37" i="8"/>
  <c r="C38" i="8"/>
  <c r="F38" i="8" s="1"/>
  <c r="C39" i="8"/>
  <c r="H39" i="8" s="1"/>
  <c r="C40" i="8"/>
  <c r="H40" i="8" s="1"/>
  <c r="C41" i="8"/>
  <c r="D41" i="8" s="1"/>
  <c r="C42" i="8"/>
  <c r="D42" i="8" s="1"/>
  <c r="C43" i="8"/>
  <c r="G43" i="8" s="1"/>
  <c r="C44" i="8"/>
  <c r="D44" i="8" s="1"/>
  <c r="C45" i="8"/>
  <c r="I45" i="8" s="1"/>
  <c r="C46" i="8"/>
  <c r="G46" i="8" s="1"/>
  <c r="C47" i="8"/>
  <c r="H47" i="8" s="1"/>
  <c r="C48" i="8"/>
  <c r="H48" i="8" s="1"/>
  <c r="C49" i="8"/>
  <c r="G49" i="8" s="1"/>
  <c r="C50" i="8"/>
  <c r="D50" i="8" s="1"/>
  <c r="C51" i="8"/>
  <c r="C52" i="8"/>
  <c r="D52" i="8" s="1"/>
  <c r="C53" i="8"/>
  <c r="F53" i="8" s="1"/>
  <c r="C54" i="8"/>
  <c r="C55" i="8"/>
  <c r="I55" i="8" s="1"/>
  <c r="MW21" i="8"/>
  <c r="NI26" i="8"/>
  <c r="NI34" i="8"/>
  <c r="MX38" i="8"/>
  <c r="MY38" i="8"/>
  <c r="NC38" i="8" s="1"/>
  <c r="MX42" i="8"/>
  <c r="MY42" i="8"/>
  <c r="JH46" i="8"/>
  <c r="MX50" i="8"/>
  <c r="MY50" i="8"/>
  <c r="NA50" i="8" s="1"/>
  <c r="MX54" i="8"/>
  <c r="MY54" i="8"/>
  <c r="NA54" i="8" s="1"/>
  <c r="NI55" i="8"/>
  <c r="MX3" i="8"/>
  <c r="MW3" i="8"/>
  <c r="MW4" i="8"/>
  <c r="MX4" i="8"/>
  <c r="MY4" i="8"/>
  <c r="NE4" i="8" s="1"/>
  <c r="NI4" i="8"/>
  <c r="MW5" i="8"/>
  <c r="MX5" i="8"/>
  <c r="MY5" i="8"/>
  <c r="MW6" i="8"/>
  <c r="MW7" i="8"/>
  <c r="MX7" i="8"/>
  <c r="MY7" i="8"/>
  <c r="NA7" i="8" s="1"/>
  <c r="NI7" i="8"/>
  <c r="MW8" i="8"/>
  <c r="MX8" i="8"/>
  <c r="MY8" i="8"/>
  <c r="ND8" i="8" s="1"/>
  <c r="NI8" i="8"/>
  <c r="MW10" i="8"/>
  <c r="MX10" i="8"/>
  <c r="MW11" i="8"/>
  <c r="MX11" i="8"/>
  <c r="MY11" i="8"/>
  <c r="NI11" i="8"/>
  <c r="MW12" i="8"/>
  <c r="MX12" i="8"/>
  <c r="MY12" i="8"/>
  <c r="NI12" i="8"/>
  <c r="MW13" i="8"/>
  <c r="MX13" i="8"/>
  <c r="MY13" i="8"/>
  <c r="MW14" i="8"/>
  <c r="MW15" i="8"/>
  <c r="MX15" i="8"/>
  <c r="MY15" i="8"/>
  <c r="NI15" i="8"/>
  <c r="MW16" i="8"/>
  <c r="MX16" i="8"/>
  <c r="MY16" i="8"/>
  <c r="NI16" i="8"/>
  <c r="NI17" i="8"/>
  <c r="MW18" i="8"/>
  <c r="MW19" i="8"/>
  <c r="MX19" i="8"/>
  <c r="MY19" i="8"/>
  <c r="MZ19" i="8" s="1"/>
  <c r="NI19" i="8"/>
  <c r="MW20" i="8"/>
  <c r="MX20" i="8"/>
  <c r="MY20" i="8"/>
  <c r="NI20" i="8"/>
  <c r="NI21" i="8"/>
  <c r="MW22" i="8"/>
  <c r="MW23" i="8"/>
  <c r="MX23" i="8"/>
  <c r="MY23" i="8"/>
  <c r="MZ23" i="8" s="1"/>
  <c r="NI23" i="8"/>
  <c r="MW24" i="8"/>
  <c r="MX24" i="8"/>
  <c r="MY24" i="8"/>
  <c r="NI24" i="8"/>
  <c r="NI25" i="8"/>
  <c r="MW26" i="8"/>
  <c r="MX26" i="8"/>
  <c r="MY26" i="8"/>
  <c r="MW27" i="8"/>
  <c r="MX27" i="8"/>
  <c r="MY27" i="8"/>
  <c r="NI27" i="8"/>
  <c r="MW28" i="8"/>
  <c r="MX28" i="8"/>
  <c r="MY28" i="8"/>
  <c r="NB28" i="8" s="1"/>
  <c r="NI28" i="8"/>
  <c r="MW29" i="8"/>
  <c r="NI29" i="8"/>
  <c r="MW30" i="8"/>
  <c r="MW31" i="8"/>
  <c r="MX31" i="8"/>
  <c r="MY31" i="8"/>
  <c r="MZ31" i="8" s="1"/>
  <c r="NI31" i="8"/>
  <c r="MW32" i="8"/>
  <c r="MX32" i="8"/>
  <c r="MY32" i="8"/>
  <c r="NB32" i="8" s="1"/>
  <c r="NI32" i="8"/>
  <c r="NI33" i="8"/>
  <c r="MW34" i="8"/>
  <c r="MX34" i="8"/>
  <c r="MY34" i="8"/>
  <c r="NE34" i="8" s="1"/>
  <c r="MW35" i="8"/>
  <c r="MX35" i="8"/>
  <c r="MY35" i="8"/>
  <c r="NI35" i="8"/>
  <c r="MW36" i="8"/>
  <c r="MX36" i="8"/>
  <c r="MY36" i="8"/>
  <c r="NE36" i="8" s="1"/>
  <c r="NI36" i="8"/>
  <c r="MW37" i="8"/>
  <c r="MW38" i="8"/>
  <c r="NI38" i="8"/>
  <c r="MW39" i="8"/>
  <c r="MX39" i="8"/>
  <c r="MY39" i="8"/>
  <c r="ND39" i="8" s="1"/>
  <c r="NI39" i="8"/>
  <c r="MW40" i="8"/>
  <c r="MX40" i="8"/>
  <c r="MY40" i="8"/>
  <c r="NB40" i="8" s="1"/>
  <c r="NI40" i="8"/>
  <c r="MX41" i="8"/>
  <c r="MY41" i="8"/>
  <c r="NI41" i="8"/>
  <c r="MW42" i="8"/>
  <c r="MW43" i="8"/>
  <c r="MX43" i="8"/>
  <c r="MY43" i="8"/>
  <c r="NI43" i="8"/>
  <c r="MW44" i="8"/>
  <c r="MX44" i="8"/>
  <c r="MY44" i="8"/>
  <c r="NB44" i="8" s="1"/>
  <c r="NI44" i="8"/>
  <c r="MW46" i="8"/>
  <c r="MW47" i="8"/>
  <c r="MX47" i="8"/>
  <c r="MY47" i="8"/>
  <c r="NI47" i="8"/>
  <c r="MW48" i="8"/>
  <c r="MX48" i="8"/>
  <c r="MY48" i="8"/>
  <c r="NI48" i="8"/>
  <c r="MX49" i="8"/>
  <c r="MY49" i="8"/>
  <c r="NI49" i="8"/>
  <c r="MW50" i="8"/>
  <c r="NI50" i="8"/>
  <c r="MW51" i="8"/>
  <c r="MX51" i="8"/>
  <c r="MY51" i="8"/>
  <c r="MW52" i="8"/>
  <c r="MX53" i="8"/>
  <c r="MY53" i="8"/>
  <c r="MW54" i="8"/>
  <c r="NI54" i="8"/>
  <c r="MW55" i="8"/>
  <c r="MX55" i="8"/>
  <c r="MY55" i="8"/>
  <c r="NI3" i="8"/>
  <c r="MH4" i="8"/>
  <c r="MI4" i="8"/>
  <c r="MJ4" i="8"/>
  <c r="MT4" i="8"/>
  <c r="MH5" i="8"/>
  <c r="MI5" i="8"/>
  <c r="MJ5" i="8"/>
  <c r="MT5" i="8"/>
  <c r="MH6" i="8"/>
  <c r="MH7" i="8"/>
  <c r="MI7" i="8"/>
  <c r="MJ7" i="8"/>
  <c r="MT7" i="8"/>
  <c r="MH8" i="8"/>
  <c r="MI8" i="8"/>
  <c r="MJ8" i="8"/>
  <c r="MP8" i="8" s="1"/>
  <c r="MT8" i="8"/>
  <c r="MH9" i="8"/>
  <c r="MI9" i="8"/>
  <c r="MJ9" i="8"/>
  <c r="MT9" i="8"/>
  <c r="MH10" i="8"/>
  <c r="MI10" i="8"/>
  <c r="MJ10" i="8"/>
  <c r="MK10" i="8" s="1"/>
  <c r="MH11" i="8"/>
  <c r="MI11" i="8"/>
  <c r="MJ11" i="8"/>
  <c r="MT11" i="8"/>
  <c r="MH12" i="8"/>
  <c r="MI12" i="8"/>
  <c r="MJ12" i="8"/>
  <c r="MT12" i="8"/>
  <c r="MH13" i="8"/>
  <c r="MI13" i="8"/>
  <c r="MJ13" i="8"/>
  <c r="MT13" i="8"/>
  <c r="MH14" i="8"/>
  <c r="MH15" i="8"/>
  <c r="MI15" i="8"/>
  <c r="MJ15" i="8"/>
  <c r="MO15" i="8" s="1"/>
  <c r="MT15" i="8"/>
  <c r="MH16" i="8"/>
  <c r="MI16" i="8"/>
  <c r="MJ16" i="8"/>
  <c r="MT16" i="8"/>
  <c r="MH17" i="8"/>
  <c r="MI17" i="8"/>
  <c r="MJ17" i="8"/>
  <c r="ML17" i="8" s="1"/>
  <c r="MT17" i="8"/>
  <c r="MH18" i="8"/>
  <c r="MI18" i="8"/>
  <c r="MJ18" i="8"/>
  <c r="MH19" i="8"/>
  <c r="MI19" i="8"/>
  <c r="MJ19" i="8"/>
  <c r="MT19" i="8"/>
  <c r="MH20" i="8"/>
  <c r="MI20" i="8"/>
  <c r="MJ20" i="8"/>
  <c r="MT20" i="8"/>
  <c r="MH21" i="8"/>
  <c r="MI21" i="8"/>
  <c r="MJ21" i="8"/>
  <c r="MT21" i="8"/>
  <c r="MH22" i="8"/>
  <c r="MH23" i="8"/>
  <c r="MI23" i="8"/>
  <c r="MJ23" i="8"/>
  <c r="MT23" i="8"/>
  <c r="MH24" i="8"/>
  <c r="MI24" i="8"/>
  <c r="MJ24" i="8"/>
  <c r="MO24" i="8" s="1"/>
  <c r="MT24" i="8"/>
  <c r="MH25" i="8"/>
  <c r="MI25" i="8"/>
  <c r="MJ25" i="8"/>
  <c r="MT25" i="8"/>
  <c r="MH26" i="8"/>
  <c r="MI26" i="8"/>
  <c r="MJ26" i="8"/>
  <c r="MO26" i="8" s="1"/>
  <c r="MT26" i="8"/>
  <c r="MH27" i="8"/>
  <c r="MI27" i="8"/>
  <c r="MJ27" i="8"/>
  <c r="MT27" i="8"/>
  <c r="MH28" i="8"/>
  <c r="MI28" i="8"/>
  <c r="MJ28" i="8"/>
  <c r="MP28" i="8" s="1"/>
  <c r="MT28" i="8"/>
  <c r="MH29" i="8"/>
  <c r="MI29" i="8"/>
  <c r="MJ29" i="8"/>
  <c r="MT29" i="8"/>
  <c r="MH30" i="8"/>
  <c r="MI30" i="8"/>
  <c r="MJ30" i="8"/>
  <c r="MK30" i="8" s="1"/>
  <c r="MT30" i="8"/>
  <c r="MH31" i="8"/>
  <c r="MI31" i="8"/>
  <c r="MJ31" i="8"/>
  <c r="MM31" i="8" s="1"/>
  <c r="MT31" i="8"/>
  <c r="MH32" i="8"/>
  <c r="MI32" i="8"/>
  <c r="MJ32" i="8"/>
  <c r="MO32" i="8" s="1"/>
  <c r="MT32" i="8"/>
  <c r="MI33" i="8"/>
  <c r="MJ33" i="8"/>
  <c r="MT33" i="8"/>
  <c r="MH34" i="8"/>
  <c r="MI34" i="8"/>
  <c r="MJ34" i="8"/>
  <c r="MT34" i="8"/>
  <c r="MH35" i="8"/>
  <c r="MI35" i="8"/>
  <c r="MJ35" i="8"/>
  <c r="MM35" i="8" s="1"/>
  <c r="MT35" i="8"/>
  <c r="MH36" i="8"/>
  <c r="MI36" i="8"/>
  <c r="MJ36" i="8"/>
  <c r="MT36" i="8"/>
  <c r="MH37" i="8"/>
  <c r="MI37" i="8"/>
  <c r="MJ37" i="8"/>
  <c r="MT37" i="8"/>
  <c r="MH38" i="8"/>
  <c r="MI38" i="8"/>
  <c r="MJ38" i="8"/>
  <c r="MT38" i="8"/>
  <c r="MH39" i="8"/>
  <c r="MI39" i="8"/>
  <c r="MJ39" i="8"/>
  <c r="MM39" i="8" s="1"/>
  <c r="MT39" i="8"/>
  <c r="MH40" i="8"/>
  <c r="MI40" i="8"/>
  <c r="MJ40" i="8"/>
  <c r="MN40" i="8" s="1"/>
  <c r="MT40" i="8"/>
  <c r="MH41" i="8"/>
  <c r="MI41" i="8"/>
  <c r="MJ41" i="8"/>
  <c r="MT41" i="8"/>
  <c r="MH42" i="8"/>
  <c r="MI42" i="8"/>
  <c r="MJ42" i="8"/>
  <c r="MM42" i="8" s="1"/>
  <c r="MT42" i="8"/>
  <c r="MH43" i="8"/>
  <c r="MI43" i="8"/>
  <c r="MJ43" i="8"/>
  <c r="MT43" i="8"/>
  <c r="MH44" i="8"/>
  <c r="MI44" i="8"/>
  <c r="MJ44" i="8"/>
  <c r="MT44" i="8"/>
  <c r="MH45" i="8"/>
  <c r="MH46" i="8"/>
  <c r="MH47" i="8"/>
  <c r="MI47" i="8"/>
  <c r="MJ47" i="8"/>
  <c r="MM47" i="8" s="1"/>
  <c r="MT47" i="8"/>
  <c r="MH48" i="8"/>
  <c r="MI48" i="8"/>
  <c r="MJ48" i="8"/>
  <c r="MT48" i="8"/>
  <c r="MH49" i="8"/>
  <c r="MI49" i="8"/>
  <c r="MJ49" i="8"/>
  <c r="MO49" i="8" s="1"/>
  <c r="MT49" i="8"/>
  <c r="MH50" i="8"/>
  <c r="MI50" i="8"/>
  <c r="MJ50" i="8"/>
  <c r="MK50" i="8" s="1"/>
  <c r="MT50" i="8"/>
  <c r="MH51" i="8"/>
  <c r="MI51" i="8"/>
  <c r="MJ51" i="8"/>
  <c r="MM51" i="8" s="1"/>
  <c r="MT51" i="8"/>
  <c r="MH52" i="8"/>
  <c r="MI52" i="8"/>
  <c r="MJ52" i="8"/>
  <c r="MO52" i="8" s="1"/>
  <c r="MT52" i="8"/>
  <c r="MH53" i="8"/>
  <c r="MT53" i="8"/>
  <c r="MH54" i="8"/>
  <c r="MI54" i="8"/>
  <c r="MJ54" i="8"/>
  <c r="MT54" i="8"/>
  <c r="MH55" i="8"/>
  <c r="MI55" i="8"/>
  <c r="MJ55" i="8"/>
  <c r="MM55" i="8" s="1"/>
  <c r="MT55" i="8"/>
  <c r="MI3" i="8"/>
  <c r="LS4" i="8"/>
  <c r="LT4" i="8"/>
  <c r="LU4" i="8"/>
  <c r="MA4" i="8" s="1"/>
  <c r="ME4" i="8"/>
  <c r="LS5" i="8"/>
  <c r="LT5" i="8"/>
  <c r="LU5" i="8"/>
  <c r="ME5" i="8"/>
  <c r="LS6" i="8"/>
  <c r="LS7" i="8"/>
  <c r="LT7" i="8"/>
  <c r="LU7" i="8"/>
  <c r="ME7" i="8"/>
  <c r="LS8" i="8"/>
  <c r="LT8" i="8"/>
  <c r="LU8" i="8"/>
  <c r="LZ8" i="8" s="1"/>
  <c r="ME8" i="8"/>
  <c r="LS9" i="8"/>
  <c r="LT9" i="8"/>
  <c r="LU9" i="8"/>
  <c r="ME9" i="8"/>
  <c r="LS10" i="8"/>
  <c r="LS11" i="8"/>
  <c r="LT11" i="8"/>
  <c r="LU11" i="8"/>
  <c r="LX11" i="8" s="1"/>
  <c r="ME11" i="8"/>
  <c r="LS12" i="8"/>
  <c r="LT12" i="8"/>
  <c r="LU12" i="8"/>
  <c r="ME12" i="8"/>
  <c r="LS13" i="8"/>
  <c r="LT13" i="8"/>
  <c r="LU13" i="8"/>
  <c r="LX13" i="8" s="1"/>
  <c r="ME13" i="8"/>
  <c r="LS14" i="8"/>
  <c r="LS15" i="8"/>
  <c r="LT15" i="8"/>
  <c r="LU15" i="8"/>
  <c r="ME15" i="8"/>
  <c r="LS16" i="8"/>
  <c r="LT16" i="8"/>
  <c r="LU16" i="8"/>
  <c r="ME16" i="8"/>
  <c r="LS17" i="8"/>
  <c r="LT17" i="8"/>
  <c r="LU17" i="8"/>
  <c r="ME17" i="8"/>
  <c r="LS18" i="8"/>
  <c r="LS19" i="8"/>
  <c r="LT19" i="8"/>
  <c r="LU19" i="8"/>
  <c r="MA19" i="8" s="1"/>
  <c r="ME19" i="8"/>
  <c r="LS20" i="8"/>
  <c r="LT20" i="8"/>
  <c r="LU20" i="8"/>
  <c r="ME20" i="8"/>
  <c r="LS21" i="8"/>
  <c r="LT21" i="8"/>
  <c r="LU21" i="8"/>
  <c r="LW21" i="8" s="1"/>
  <c r="ME21" i="8"/>
  <c r="LS22" i="8"/>
  <c r="LS23" i="8"/>
  <c r="LT23" i="8"/>
  <c r="LU23" i="8"/>
  <c r="ME23" i="8"/>
  <c r="LS24" i="8"/>
  <c r="LT24" i="8"/>
  <c r="LU24" i="8"/>
  <c r="ME24" i="8"/>
  <c r="LS25" i="8"/>
  <c r="LT25" i="8"/>
  <c r="LU25" i="8"/>
  <c r="LV25" i="8" s="1"/>
  <c r="ME25" i="8"/>
  <c r="LS26" i="8"/>
  <c r="LT26" i="8"/>
  <c r="LU26" i="8"/>
  <c r="ME26" i="8"/>
  <c r="LS27" i="8"/>
  <c r="LT27" i="8"/>
  <c r="LU27" i="8"/>
  <c r="ME27" i="8"/>
  <c r="LS28" i="8"/>
  <c r="LT28" i="8"/>
  <c r="LU28" i="8"/>
  <c r="ME28" i="8"/>
  <c r="LS29" i="8"/>
  <c r="LT29" i="8"/>
  <c r="LU29" i="8"/>
  <c r="ME29" i="8"/>
  <c r="LS30" i="8"/>
  <c r="LT30" i="8"/>
  <c r="LU30" i="8"/>
  <c r="ME30" i="8"/>
  <c r="LS31" i="8"/>
  <c r="LT31" i="8"/>
  <c r="LU31" i="8"/>
  <c r="LX31" i="8" s="1"/>
  <c r="ME31" i="8"/>
  <c r="LS32" i="8"/>
  <c r="LT32" i="8"/>
  <c r="LU32" i="8"/>
  <c r="ME32" i="8"/>
  <c r="LT33" i="8"/>
  <c r="LU33" i="8"/>
  <c r="LZ33" i="8" s="1"/>
  <c r="ME33" i="8"/>
  <c r="LS34" i="8"/>
  <c r="LT34" i="8"/>
  <c r="LU34" i="8"/>
  <c r="LX34" i="8" s="1"/>
  <c r="ME34" i="8"/>
  <c r="LS35" i="8"/>
  <c r="LT35" i="8"/>
  <c r="LU35" i="8"/>
  <c r="ME35" i="8"/>
  <c r="LS36" i="8"/>
  <c r="LT36" i="8"/>
  <c r="LU36" i="8"/>
  <c r="LZ36" i="8" s="1"/>
  <c r="ME36" i="8"/>
  <c r="LS37" i="8"/>
  <c r="LT37" i="8"/>
  <c r="LU37" i="8"/>
  <c r="ME37" i="8"/>
  <c r="LS38" i="8"/>
  <c r="LT38" i="8"/>
  <c r="LU38" i="8"/>
  <c r="ME38" i="8"/>
  <c r="LS39" i="8"/>
  <c r="LT39" i="8"/>
  <c r="LU39" i="8"/>
  <c r="ME39" i="8"/>
  <c r="LS40" i="8"/>
  <c r="LT40" i="8"/>
  <c r="LU40" i="8"/>
  <c r="LX40" i="8" s="1"/>
  <c r="ME40" i="8"/>
  <c r="LS41" i="8"/>
  <c r="LT41" i="8"/>
  <c r="LU41" i="8"/>
  <c r="ME41" i="8"/>
  <c r="LS42" i="8"/>
  <c r="LT42" i="8"/>
  <c r="LU42" i="8"/>
  <c r="ME42" i="8"/>
  <c r="LS43" i="8"/>
  <c r="LT43" i="8"/>
  <c r="LU43" i="8"/>
  <c r="ME43" i="8"/>
  <c r="LS44" i="8"/>
  <c r="LT44" i="8"/>
  <c r="LU44" i="8"/>
  <c r="LZ44" i="8" s="1"/>
  <c r="ME44" i="8"/>
  <c r="LS45" i="8"/>
  <c r="LT45" i="8"/>
  <c r="LU45" i="8"/>
  <c r="LS46" i="8"/>
  <c r="LS47" i="8"/>
  <c r="LT47" i="8"/>
  <c r="LU47" i="8"/>
  <c r="LX47" i="8" s="1"/>
  <c r="ME47" i="8"/>
  <c r="LS48" i="8"/>
  <c r="LT48" i="8"/>
  <c r="LU48" i="8"/>
  <c r="ME48" i="8"/>
  <c r="LS49" i="8"/>
  <c r="LT49" i="8"/>
  <c r="LU49" i="8"/>
  <c r="ME49" i="8"/>
  <c r="LS50" i="8"/>
  <c r="LT50" i="8"/>
  <c r="LU50" i="8"/>
  <c r="ME50" i="8"/>
  <c r="LS51" i="8"/>
  <c r="LT51" i="8"/>
  <c r="LU51" i="8"/>
  <c r="LX51" i="8" s="1"/>
  <c r="ME51" i="8"/>
  <c r="LS52" i="8"/>
  <c r="LT52" i="8"/>
  <c r="LU52" i="8"/>
  <c r="LZ52" i="8" s="1"/>
  <c r="ME52" i="8"/>
  <c r="LS53" i="8"/>
  <c r="LT53" i="8"/>
  <c r="LU53" i="8"/>
  <c r="ME53" i="8"/>
  <c r="LS54" i="8"/>
  <c r="LT54" i="8"/>
  <c r="LU54" i="8"/>
  <c r="LV54" i="8" s="1"/>
  <c r="ME54" i="8"/>
  <c r="LS55" i="8"/>
  <c r="LT55" i="8"/>
  <c r="LU55" i="8"/>
  <c r="LX55" i="8" s="1"/>
  <c r="ME55" i="8"/>
  <c r="LT3" i="8"/>
  <c r="LD4" i="8"/>
  <c r="LE4" i="8"/>
  <c r="LF4" i="8"/>
  <c r="LI4" i="8" s="1"/>
  <c r="LP4" i="8"/>
  <c r="LD5" i="8"/>
  <c r="LE5" i="8"/>
  <c r="LF5" i="8"/>
  <c r="LP5" i="8"/>
  <c r="LD6" i="8"/>
  <c r="LD7" i="8"/>
  <c r="LE7" i="8"/>
  <c r="LF7" i="8"/>
  <c r="LH7" i="8" s="1"/>
  <c r="LP7" i="8"/>
  <c r="LD8" i="8"/>
  <c r="LE8" i="8"/>
  <c r="LF8" i="8"/>
  <c r="LP8" i="8"/>
  <c r="LD9" i="8"/>
  <c r="LE9" i="8"/>
  <c r="LF9" i="8"/>
  <c r="LJ9" i="8" s="1"/>
  <c r="LP9" i="8"/>
  <c r="LD10" i="8"/>
  <c r="LD11" i="8"/>
  <c r="LE11" i="8"/>
  <c r="LF11" i="8"/>
  <c r="LP11" i="8"/>
  <c r="LD12" i="8"/>
  <c r="LE12" i="8"/>
  <c r="LF12" i="8"/>
  <c r="LL12" i="8" s="1"/>
  <c r="LP12" i="8"/>
  <c r="LD13" i="8"/>
  <c r="LE13" i="8"/>
  <c r="LF13" i="8"/>
  <c r="LP13" i="8"/>
  <c r="LD14" i="8"/>
  <c r="LD15" i="8"/>
  <c r="LE15" i="8"/>
  <c r="LF15" i="8"/>
  <c r="LP15" i="8"/>
  <c r="LD16" i="8"/>
  <c r="LE16" i="8"/>
  <c r="LF16" i="8"/>
  <c r="LP16" i="8"/>
  <c r="LD17" i="8"/>
  <c r="LE17" i="8"/>
  <c r="LF17" i="8"/>
  <c r="LP17" i="8"/>
  <c r="LD18" i="8"/>
  <c r="LD19" i="8"/>
  <c r="LE19" i="8"/>
  <c r="LF19" i="8"/>
  <c r="LK19" i="8" s="1"/>
  <c r="LP19" i="8"/>
  <c r="LD20" i="8"/>
  <c r="LE20" i="8"/>
  <c r="LF20" i="8"/>
  <c r="LP20" i="8"/>
  <c r="LD21" i="8"/>
  <c r="LE21" i="8"/>
  <c r="LF21" i="8"/>
  <c r="LG21" i="8" s="1"/>
  <c r="LP21" i="8"/>
  <c r="LD22" i="8"/>
  <c r="LD23" i="8"/>
  <c r="LE23" i="8"/>
  <c r="LF23" i="8"/>
  <c r="LP23" i="8"/>
  <c r="LD24" i="8"/>
  <c r="LE24" i="8"/>
  <c r="LF24" i="8"/>
  <c r="LL24" i="8" s="1"/>
  <c r="LP24" i="8"/>
  <c r="LD25" i="8"/>
  <c r="LE25" i="8"/>
  <c r="LF25" i="8"/>
  <c r="LP25" i="8"/>
  <c r="LD26" i="8"/>
  <c r="LE26" i="8"/>
  <c r="LF26" i="8"/>
  <c r="LP26" i="8"/>
  <c r="LD27" i="8"/>
  <c r="LE27" i="8"/>
  <c r="LF27" i="8"/>
  <c r="LP27" i="8"/>
  <c r="LD28" i="8"/>
  <c r="LE28" i="8"/>
  <c r="LF28" i="8"/>
  <c r="LH28" i="8" s="1"/>
  <c r="LP28" i="8"/>
  <c r="LD29" i="8"/>
  <c r="LE29" i="8"/>
  <c r="LF29" i="8"/>
  <c r="LP29" i="8"/>
  <c r="LD30" i="8"/>
  <c r="LE30" i="8"/>
  <c r="LF30" i="8"/>
  <c r="LH30" i="8" s="1"/>
  <c r="LP30" i="8"/>
  <c r="LD31" i="8"/>
  <c r="LE31" i="8"/>
  <c r="LF31" i="8"/>
  <c r="LP31" i="8"/>
  <c r="LD32" i="8"/>
  <c r="LE32" i="8"/>
  <c r="LF32" i="8"/>
  <c r="LK32" i="8" s="1"/>
  <c r="LP32" i="8"/>
  <c r="LE33" i="8"/>
  <c r="LF33" i="8"/>
  <c r="LP33" i="8"/>
  <c r="LD34" i="8"/>
  <c r="LE34" i="8"/>
  <c r="LF34" i="8"/>
  <c r="LK34" i="8" s="1"/>
  <c r="LP34" i="8"/>
  <c r="LD35" i="8"/>
  <c r="LE35" i="8"/>
  <c r="LF35" i="8"/>
  <c r="LP35" i="8"/>
  <c r="LD36" i="8"/>
  <c r="LE36" i="8"/>
  <c r="LF36" i="8"/>
  <c r="LL36" i="8" s="1"/>
  <c r="LP36" i="8"/>
  <c r="LD37" i="8"/>
  <c r="LE37" i="8"/>
  <c r="LF37" i="8"/>
  <c r="LP37" i="8"/>
  <c r="LD38" i="8"/>
  <c r="LE38" i="8"/>
  <c r="LF38" i="8"/>
  <c r="LH38" i="8" s="1"/>
  <c r="LP38" i="8"/>
  <c r="LD39" i="8"/>
  <c r="LE39" i="8"/>
  <c r="LF39" i="8"/>
  <c r="LP39" i="8"/>
  <c r="LD40" i="8"/>
  <c r="LE40" i="8"/>
  <c r="LF40" i="8"/>
  <c r="LJ40" i="8" s="1"/>
  <c r="LP40" i="8"/>
  <c r="LD41" i="8"/>
  <c r="LE41" i="8"/>
  <c r="LF41" i="8"/>
  <c r="LP41" i="8"/>
  <c r="LD42" i="8"/>
  <c r="LE42" i="8"/>
  <c r="LF42" i="8"/>
  <c r="LI42" i="8" s="1"/>
  <c r="LP42" i="8"/>
  <c r="LD43" i="8"/>
  <c r="LE43" i="8"/>
  <c r="LF43" i="8"/>
  <c r="LP43" i="8"/>
  <c r="LD44" i="8"/>
  <c r="LE44" i="8"/>
  <c r="LF44" i="8"/>
  <c r="LJ44" i="8" s="1"/>
  <c r="LP44" i="8"/>
  <c r="LD45" i="8"/>
  <c r="LD46" i="8"/>
  <c r="LD47" i="8"/>
  <c r="LE47" i="8"/>
  <c r="LF47" i="8"/>
  <c r="LP47" i="8"/>
  <c r="LD48" i="8"/>
  <c r="LE48" i="8"/>
  <c r="LF48" i="8"/>
  <c r="LI48" i="8" s="1"/>
  <c r="LP48" i="8"/>
  <c r="LD49" i="8"/>
  <c r="LE49" i="8"/>
  <c r="LF49" i="8"/>
  <c r="LP49" i="8"/>
  <c r="LD50" i="8"/>
  <c r="LE50" i="8"/>
  <c r="LF50" i="8"/>
  <c r="LK50" i="8" s="1"/>
  <c r="LP50" i="8"/>
  <c r="LD51" i="8"/>
  <c r="LE51" i="8"/>
  <c r="LF51" i="8"/>
  <c r="LP51" i="8"/>
  <c r="LD52" i="8"/>
  <c r="LE52" i="8"/>
  <c r="LF52" i="8"/>
  <c r="LG52" i="8" s="1"/>
  <c r="LP52" i="8"/>
  <c r="LD53" i="8"/>
  <c r="LE53" i="8"/>
  <c r="LF53" i="8"/>
  <c r="LP53" i="8"/>
  <c r="LD54" i="8"/>
  <c r="LE54" i="8"/>
  <c r="LF54" i="8"/>
  <c r="LL54" i="8" s="1"/>
  <c r="LP54" i="8"/>
  <c r="LD55" i="8"/>
  <c r="LE55" i="8"/>
  <c r="LF55" i="8"/>
  <c r="LP55" i="8"/>
  <c r="LE3" i="8"/>
  <c r="KO4" i="8"/>
  <c r="KP4" i="8"/>
  <c r="KQ4" i="8"/>
  <c r="LA4" i="8"/>
  <c r="KO5" i="8"/>
  <c r="KP5" i="8"/>
  <c r="KQ5" i="8"/>
  <c r="LA5" i="8"/>
  <c r="KO6" i="8"/>
  <c r="KO7" i="8"/>
  <c r="KP7" i="8"/>
  <c r="KQ7" i="8"/>
  <c r="LA7" i="8"/>
  <c r="KO8" i="8"/>
  <c r="KP8" i="8"/>
  <c r="KQ8" i="8"/>
  <c r="KW8" i="8" s="1"/>
  <c r="LA8" i="8"/>
  <c r="KO9" i="8"/>
  <c r="KP9" i="8"/>
  <c r="KQ9" i="8"/>
  <c r="LA9" i="8"/>
  <c r="KO10" i="8"/>
  <c r="KO11" i="8"/>
  <c r="KP11" i="8"/>
  <c r="KQ11" i="8"/>
  <c r="KR11" i="8" s="1"/>
  <c r="LA11" i="8"/>
  <c r="KO12" i="8"/>
  <c r="KP12" i="8"/>
  <c r="KQ12" i="8"/>
  <c r="LA12" i="8"/>
  <c r="KO13" i="8"/>
  <c r="KP13" i="8"/>
  <c r="KQ13" i="8"/>
  <c r="KV13" i="8" s="1"/>
  <c r="LA13" i="8"/>
  <c r="KO14" i="8"/>
  <c r="KO15" i="8"/>
  <c r="KP15" i="8"/>
  <c r="KQ15" i="8"/>
  <c r="LA15" i="8"/>
  <c r="KO16" i="8"/>
  <c r="KP16" i="8"/>
  <c r="KQ16" i="8"/>
  <c r="KW16" i="8" s="1"/>
  <c r="LA16" i="8"/>
  <c r="KO17" i="8"/>
  <c r="KP17" i="8"/>
  <c r="KQ17" i="8"/>
  <c r="LA17" i="8"/>
  <c r="KO18" i="8"/>
  <c r="KO19" i="8"/>
  <c r="KP19" i="8"/>
  <c r="KQ19" i="8"/>
  <c r="LA19" i="8"/>
  <c r="KO20" i="8"/>
  <c r="KP20" i="8"/>
  <c r="KQ20" i="8"/>
  <c r="LA20" i="8"/>
  <c r="KO21" i="8"/>
  <c r="KP21" i="8"/>
  <c r="KQ21" i="8"/>
  <c r="LA21" i="8"/>
  <c r="KO22" i="8"/>
  <c r="KO23" i="8"/>
  <c r="KP23" i="8"/>
  <c r="KQ23" i="8"/>
  <c r="KT23" i="8" s="1"/>
  <c r="LA23" i="8"/>
  <c r="KO24" i="8"/>
  <c r="KP24" i="8"/>
  <c r="KQ24" i="8"/>
  <c r="KV24" i="8" s="1"/>
  <c r="LA24" i="8"/>
  <c r="KO25" i="8"/>
  <c r="KP25" i="8"/>
  <c r="KQ25" i="8"/>
  <c r="KR25" i="8" s="1"/>
  <c r="LA25" i="8"/>
  <c r="KO26" i="8"/>
  <c r="KP26" i="8"/>
  <c r="KQ26" i="8"/>
  <c r="KR26" i="8" s="1"/>
  <c r="LA26" i="8"/>
  <c r="KO27" i="8"/>
  <c r="KP27" i="8"/>
  <c r="KQ27" i="8"/>
  <c r="KT27" i="8" s="1"/>
  <c r="LA27" i="8"/>
  <c r="KO28" i="8"/>
  <c r="KP28" i="8"/>
  <c r="KQ28" i="8"/>
  <c r="LA28" i="8"/>
  <c r="KO29" i="8"/>
  <c r="KP29" i="8"/>
  <c r="KQ29" i="8"/>
  <c r="KW29" i="8" s="1"/>
  <c r="LA29" i="8"/>
  <c r="KO30" i="8"/>
  <c r="KP30" i="8"/>
  <c r="KQ30" i="8"/>
  <c r="KR30" i="8" s="1"/>
  <c r="LA30" i="8"/>
  <c r="KO31" i="8"/>
  <c r="KP31" i="8"/>
  <c r="KQ31" i="8"/>
  <c r="KT31" i="8" s="1"/>
  <c r="LA31" i="8"/>
  <c r="KO32" i="8"/>
  <c r="KP32" i="8"/>
  <c r="KQ32" i="8"/>
  <c r="KV32" i="8" s="1"/>
  <c r="LA32" i="8"/>
  <c r="KP33" i="8"/>
  <c r="KQ33" i="8"/>
  <c r="LA33" i="8"/>
  <c r="KO34" i="8"/>
  <c r="KP34" i="8"/>
  <c r="KQ34" i="8"/>
  <c r="KR34" i="8" s="1"/>
  <c r="LA34" i="8"/>
  <c r="KO35" i="8"/>
  <c r="KP35" i="8"/>
  <c r="KQ35" i="8"/>
  <c r="KT35" i="8" s="1"/>
  <c r="LA35" i="8"/>
  <c r="KO36" i="8"/>
  <c r="KP36" i="8"/>
  <c r="KQ36" i="8"/>
  <c r="KV36" i="8" s="1"/>
  <c r="LA36" i="8"/>
  <c r="KO37" i="8"/>
  <c r="KP37" i="8"/>
  <c r="KQ37" i="8"/>
  <c r="KR37" i="8" s="1"/>
  <c r="LA37" i="8"/>
  <c r="KO38" i="8"/>
  <c r="KP38" i="8"/>
  <c r="KQ38" i="8"/>
  <c r="KR38" i="8" s="1"/>
  <c r="LA38" i="8"/>
  <c r="KO39" i="8"/>
  <c r="KP39" i="8"/>
  <c r="KQ39" i="8"/>
  <c r="LA39" i="8"/>
  <c r="KO40" i="8"/>
  <c r="KP40" i="8"/>
  <c r="KQ40" i="8"/>
  <c r="KV40" i="8" s="1"/>
  <c r="LA40" i="8"/>
  <c r="KO41" i="8"/>
  <c r="KP41" i="8"/>
  <c r="KQ41" i="8"/>
  <c r="LA41" i="8"/>
  <c r="KO42" i="8"/>
  <c r="KP42" i="8"/>
  <c r="KQ42" i="8"/>
  <c r="KR42" i="8" s="1"/>
  <c r="LA42" i="8"/>
  <c r="KO43" i="8"/>
  <c r="KP43" i="8"/>
  <c r="KQ43" i="8"/>
  <c r="KT43" i="8" s="1"/>
  <c r="LA43" i="8"/>
  <c r="KO44" i="8"/>
  <c r="KP44" i="8"/>
  <c r="KQ44" i="8"/>
  <c r="KU44" i="8" s="1"/>
  <c r="LA44" i="8"/>
  <c r="KO45" i="8"/>
  <c r="KO46" i="8"/>
  <c r="KO47" i="8"/>
  <c r="KP47" i="8"/>
  <c r="KQ47" i="8"/>
  <c r="KT47" i="8" s="1"/>
  <c r="LA47" i="8"/>
  <c r="KO48" i="8"/>
  <c r="KP48" i="8"/>
  <c r="KQ48" i="8"/>
  <c r="KV48" i="8" s="1"/>
  <c r="LA48" i="8"/>
  <c r="KO49" i="8"/>
  <c r="KP49" i="8"/>
  <c r="KQ49" i="8"/>
  <c r="KR49" i="8" s="1"/>
  <c r="LA49" i="8"/>
  <c r="KO50" i="8"/>
  <c r="KP50" i="8"/>
  <c r="KQ50" i="8"/>
  <c r="KR50" i="8" s="1"/>
  <c r="LA50" i="8"/>
  <c r="KO51" i="8"/>
  <c r="KP51" i="8"/>
  <c r="KQ51" i="8"/>
  <c r="LA51" i="8"/>
  <c r="KO52" i="8"/>
  <c r="KP52" i="8"/>
  <c r="KQ52" i="8"/>
  <c r="KV52" i="8" s="1"/>
  <c r="LA52" i="8"/>
  <c r="KO53" i="8"/>
  <c r="KP53" i="8"/>
  <c r="KQ53" i="8"/>
  <c r="KW53" i="8" s="1"/>
  <c r="LA53" i="8"/>
  <c r="KO54" i="8"/>
  <c r="KP54" i="8"/>
  <c r="KQ54" i="8"/>
  <c r="KR54" i="8" s="1"/>
  <c r="LA54" i="8"/>
  <c r="KO55" i="8"/>
  <c r="KP55" i="8"/>
  <c r="KQ55" i="8"/>
  <c r="KT55" i="8" s="1"/>
  <c r="LA55" i="8"/>
  <c r="LA3" i="8"/>
  <c r="JZ4" i="8"/>
  <c r="KA4" i="8"/>
  <c r="KB4" i="8"/>
  <c r="KL4" i="8"/>
  <c r="JZ5" i="8"/>
  <c r="KA5" i="8"/>
  <c r="KB5" i="8"/>
  <c r="KG5" i="8" s="1"/>
  <c r="KL5" i="8"/>
  <c r="JZ6" i="8"/>
  <c r="JZ7" i="8"/>
  <c r="KA7" i="8"/>
  <c r="KB7" i="8"/>
  <c r="KL7" i="8"/>
  <c r="JZ8" i="8"/>
  <c r="KA8" i="8"/>
  <c r="KB8" i="8"/>
  <c r="KL8" i="8"/>
  <c r="JZ9" i="8"/>
  <c r="KA9" i="8"/>
  <c r="KB9" i="8"/>
  <c r="KL9" i="8"/>
  <c r="JZ10" i="8"/>
  <c r="JZ11" i="8"/>
  <c r="KA11" i="8"/>
  <c r="KB11" i="8"/>
  <c r="KL11" i="8"/>
  <c r="JZ12" i="8"/>
  <c r="KA12" i="8"/>
  <c r="KB12" i="8"/>
  <c r="KG12" i="8" s="1"/>
  <c r="KL12" i="8"/>
  <c r="JZ13" i="8"/>
  <c r="KA13" i="8"/>
  <c r="KB13" i="8"/>
  <c r="KL13" i="8"/>
  <c r="JZ14" i="8"/>
  <c r="KL14" i="8"/>
  <c r="JZ15" i="8"/>
  <c r="KA15" i="8"/>
  <c r="KB15" i="8"/>
  <c r="KE15" i="8" s="1"/>
  <c r="KL15" i="8"/>
  <c r="JZ16" i="8"/>
  <c r="KA16" i="8"/>
  <c r="KB16" i="8"/>
  <c r="KL16" i="8"/>
  <c r="JZ17" i="8"/>
  <c r="KA17" i="8"/>
  <c r="KB17" i="8"/>
  <c r="KC17" i="8" s="1"/>
  <c r="KL17" i="8"/>
  <c r="JZ18" i="8"/>
  <c r="JZ19" i="8"/>
  <c r="KA19" i="8"/>
  <c r="KB19" i="8"/>
  <c r="KL19" i="8"/>
  <c r="JZ20" i="8"/>
  <c r="KA20" i="8"/>
  <c r="KB20" i="8"/>
  <c r="KL20" i="8"/>
  <c r="JZ21" i="8"/>
  <c r="KA21" i="8"/>
  <c r="KB21" i="8"/>
  <c r="KE21" i="8" s="1"/>
  <c r="KL21" i="8"/>
  <c r="JZ22" i="8"/>
  <c r="KL22" i="8"/>
  <c r="JZ23" i="8"/>
  <c r="KA23" i="8"/>
  <c r="KB23" i="8"/>
  <c r="KL23" i="8"/>
  <c r="JZ24" i="8"/>
  <c r="KA24" i="8"/>
  <c r="KB24" i="8"/>
  <c r="KF24" i="8" s="1"/>
  <c r="KL24" i="8"/>
  <c r="JZ25" i="8"/>
  <c r="KA25" i="8"/>
  <c r="KB25" i="8"/>
  <c r="KL25" i="8"/>
  <c r="JZ26" i="8"/>
  <c r="KA26" i="8"/>
  <c r="KB26" i="8"/>
  <c r="KC26" i="8" s="1"/>
  <c r="KL26" i="8"/>
  <c r="JZ27" i="8"/>
  <c r="KA27" i="8"/>
  <c r="KB27" i="8"/>
  <c r="KL27" i="8"/>
  <c r="JZ28" i="8"/>
  <c r="KA28" i="8"/>
  <c r="KB28" i="8"/>
  <c r="KH28" i="8" s="1"/>
  <c r="KL28" i="8"/>
  <c r="JZ29" i="8"/>
  <c r="KA29" i="8"/>
  <c r="KB29" i="8"/>
  <c r="KL29" i="8"/>
  <c r="JZ30" i="8"/>
  <c r="KA30" i="8"/>
  <c r="KB30" i="8"/>
  <c r="KC30" i="8" s="1"/>
  <c r="KL30" i="8"/>
  <c r="JZ31" i="8"/>
  <c r="KA31" i="8"/>
  <c r="KB31" i="8"/>
  <c r="KL31" i="8"/>
  <c r="JZ32" i="8"/>
  <c r="KA32" i="8"/>
  <c r="KB32" i="8"/>
  <c r="KD32" i="8" s="1"/>
  <c r="KL32" i="8"/>
  <c r="KA33" i="8"/>
  <c r="KB33" i="8"/>
  <c r="KL33" i="8"/>
  <c r="JZ34" i="8"/>
  <c r="KA34" i="8"/>
  <c r="KB34" i="8"/>
  <c r="KE34" i="8" s="1"/>
  <c r="KL34" i="8"/>
  <c r="JZ35" i="8"/>
  <c r="KA35" i="8"/>
  <c r="KB35" i="8"/>
  <c r="KL35" i="8"/>
  <c r="JZ36" i="8"/>
  <c r="KA36" i="8"/>
  <c r="KB36" i="8"/>
  <c r="KG36" i="8" s="1"/>
  <c r="KL36" i="8"/>
  <c r="JZ37" i="8"/>
  <c r="KA37" i="8"/>
  <c r="KB37" i="8"/>
  <c r="KL37" i="8"/>
  <c r="JZ38" i="8"/>
  <c r="KA38" i="8"/>
  <c r="KB38" i="8"/>
  <c r="KC38" i="8" s="1"/>
  <c r="KL38" i="8"/>
  <c r="JZ39" i="8"/>
  <c r="KA39" i="8"/>
  <c r="KB39" i="8"/>
  <c r="KL39" i="8"/>
  <c r="JZ40" i="8"/>
  <c r="KA40" i="8"/>
  <c r="KB40" i="8"/>
  <c r="KG40" i="8" s="1"/>
  <c r="KL40" i="8"/>
  <c r="JZ41" i="8"/>
  <c r="KA41" i="8"/>
  <c r="KB41" i="8"/>
  <c r="KL41" i="8"/>
  <c r="JZ42" i="8"/>
  <c r="KA42" i="8"/>
  <c r="KB42" i="8"/>
  <c r="KC42" i="8" s="1"/>
  <c r="KL42" i="8"/>
  <c r="JZ43" i="8"/>
  <c r="KA43" i="8"/>
  <c r="KB43" i="8"/>
  <c r="KF43" i="8" s="1"/>
  <c r="KL43" i="8"/>
  <c r="JZ44" i="8"/>
  <c r="KA44" i="8"/>
  <c r="KB44" i="8"/>
  <c r="KG44" i="8" s="1"/>
  <c r="KL44" i="8"/>
  <c r="JZ45" i="8"/>
  <c r="KL45" i="8"/>
  <c r="JZ46" i="8"/>
  <c r="JZ47" i="8"/>
  <c r="KA47" i="8"/>
  <c r="KB47" i="8"/>
  <c r="KL47" i="8"/>
  <c r="JZ48" i="8"/>
  <c r="KA48" i="8"/>
  <c r="KB48" i="8"/>
  <c r="KG48" i="8" s="1"/>
  <c r="KL48" i="8"/>
  <c r="JZ49" i="8"/>
  <c r="KA49" i="8"/>
  <c r="KB49" i="8"/>
  <c r="KD49" i="8" s="1"/>
  <c r="KL49" i="8"/>
  <c r="JZ50" i="8"/>
  <c r="KA50" i="8"/>
  <c r="KB50" i="8"/>
  <c r="KC50" i="8" s="1"/>
  <c r="KL50" i="8"/>
  <c r="JZ51" i="8"/>
  <c r="KA51" i="8"/>
  <c r="KB51" i="8"/>
  <c r="KL51" i="8"/>
  <c r="JZ52" i="8"/>
  <c r="KA52" i="8"/>
  <c r="KB52" i="8"/>
  <c r="KG52" i="8" s="1"/>
  <c r="KL52" i="8"/>
  <c r="JZ53" i="8"/>
  <c r="KA53" i="8"/>
  <c r="KB53" i="8"/>
  <c r="KF53" i="8" s="1"/>
  <c r="KL53" i="8"/>
  <c r="JZ54" i="8"/>
  <c r="KA54" i="8"/>
  <c r="KB54" i="8"/>
  <c r="KC54" i="8" s="1"/>
  <c r="KL54" i="8"/>
  <c r="JZ55" i="8"/>
  <c r="KA55" i="8"/>
  <c r="KB55" i="8"/>
  <c r="KL55" i="8"/>
  <c r="KL3" i="8"/>
  <c r="KA3" i="8"/>
  <c r="JK4" i="8"/>
  <c r="JL4" i="8"/>
  <c r="JM4" i="8"/>
  <c r="JW4" i="8"/>
  <c r="JK5" i="8"/>
  <c r="JL5" i="8"/>
  <c r="JM5" i="8"/>
  <c r="JN5" i="8" s="1"/>
  <c r="JW5" i="8"/>
  <c r="JK6" i="8"/>
  <c r="JK7" i="8"/>
  <c r="JL7" i="8"/>
  <c r="JM7" i="8"/>
  <c r="JS7" i="8" s="1"/>
  <c r="JW7" i="8"/>
  <c r="JK8" i="8"/>
  <c r="JL8" i="8"/>
  <c r="JM8" i="8"/>
  <c r="JW8" i="8"/>
  <c r="JK9" i="8"/>
  <c r="JL9" i="8"/>
  <c r="JM9" i="8"/>
  <c r="JO9" i="8" s="1"/>
  <c r="JW9" i="8"/>
  <c r="JK10" i="8"/>
  <c r="JK11" i="8"/>
  <c r="JL11" i="8"/>
  <c r="JM11" i="8"/>
  <c r="JW11" i="8"/>
  <c r="JK12" i="8"/>
  <c r="JL12" i="8"/>
  <c r="JM12" i="8"/>
  <c r="JS12" i="8" s="1"/>
  <c r="JW12" i="8"/>
  <c r="JK13" i="8"/>
  <c r="JL13" i="8"/>
  <c r="JM13" i="8"/>
  <c r="JW13" i="8"/>
  <c r="JK14" i="8"/>
  <c r="JK15" i="8"/>
  <c r="JL15" i="8"/>
  <c r="JM15" i="8"/>
  <c r="JW15" i="8"/>
  <c r="JK16" i="8"/>
  <c r="JL16" i="8"/>
  <c r="JM16" i="8"/>
  <c r="JW16" i="8"/>
  <c r="JK17" i="8"/>
  <c r="JL17" i="8"/>
  <c r="JM17" i="8"/>
  <c r="JR17" i="8" s="1"/>
  <c r="JW17" i="8"/>
  <c r="JK18" i="8"/>
  <c r="JK19" i="8"/>
  <c r="JL19" i="8"/>
  <c r="JM19" i="8"/>
  <c r="JW19" i="8"/>
  <c r="JK20" i="8"/>
  <c r="JL20" i="8"/>
  <c r="JM20" i="8"/>
  <c r="JS20" i="8" s="1"/>
  <c r="JW20" i="8"/>
  <c r="JK21" i="8"/>
  <c r="JL21" i="8"/>
  <c r="JM21" i="8"/>
  <c r="JW21" i="8"/>
  <c r="JK22" i="8"/>
  <c r="JK23" i="8"/>
  <c r="JL23" i="8"/>
  <c r="JM23" i="8"/>
  <c r="JP23" i="8" s="1"/>
  <c r="JW23" i="8"/>
  <c r="JK24" i="8"/>
  <c r="JL24" i="8"/>
  <c r="JM24" i="8"/>
  <c r="JW24" i="8"/>
  <c r="JK25" i="8"/>
  <c r="JL25" i="8"/>
  <c r="JM25" i="8"/>
  <c r="JW25" i="8"/>
  <c r="JK26" i="8"/>
  <c r="JL26" i="8"/>
  <c r="JM26" i="8"/>
  <c r="JN26" i="8" s="1"/>
  <c r="JW26" i="8"/>
  <c r="JK27" i="8"/>
  <c r="JL27" i="8"/>
  <c r="JM27" i="8"/>
  <c r="JP27" i="8" s="1"/>
  <c r="JW27" i="8"/>
  <c r="JK28" i="8"/>
  <c r="JL28" i="8"/>
  <c r="JM28" i="8"/>
  <c r="JW28" i="8"/>
  <c r="JK29" i="8"/>
  <c r="JL29" i="8"/>
  <c r="JM29" i="8"/>
  <c r="JW29" i="8"/>
  <c r="JK30" i="8"/>
  <c r="JL30" i="8"/>
  <c r="JM30" i="8"/>
  <c r="JN30" i="8" s="1"/>
  <c r="JW30" i="8"/>
  <c r="JK31" i="8"/>
  <c r="JL31" i="8"/>
  <c r="JM31" i="8"/>
  <c r="JW31" i="8"/>
  <c r="JK32" i="8"/>
  <c r="JL32" i="8"/>
  <c r="JM32" i="8"/>
  <c r="JR32" i="8" s="1"/>
  <c r="JW32" i="8"/>
  <c r="JL33" i="8"/>
  <c r="JM33" i="8"/>
  <c r="JS33" i="8" s="1"/>
  <c r="JW33" i="8"/>
  <c r="JK34" i="8"/>
  <c r="JL34" i="8"/>
  <c r="JM34" i="8"/>
  <c r="JN34" i="8" s="1"/>
  <c r="JW34" i="8"/>
  <c r="JK35" i="8"/>
  <c r="JL35" i="8"/>
  <c r="JM35" i="8"/>
  <c r="JP35" i="8" s="1"/>
  <c r="JW35" i="8"/>
  <c r="JK36" i="8"/>
  <c r="JL36" i="8"/>
  <c r="JM36" i="8"/>
  <c r="JR36" i="8" s="1"/>
  <c r="JW36" i="8"/>
  <c r="JK37" i="8"/>
  <c r="JL37" i="8"/>
  <c r="JM37" i="8"/>
  <c r="JW37" i="8"/>
  <c r="JK38" i="8"/>
  <c r="JL38" i="8"/>
  <c r="JM38" i="8"/>
  <c r="JN38" i="8" s="1"/>
  <c r="JW38" i="8"/>
  <c r="JK39" i="8"/>
  <c r="JL39" i="8"/>
  <c r="JM39" i="8"/>
  <c r="JO39" i="8" s="1"/>
  <c r="JW39" i="8"/>
  <c r="JK40" i="8"/>
  <c r="JL40" i="8"/>
  <c r="JM40" i="8"/>
  <c r="JR40" i="8" s="1"/>
  <c r="JW40" i="8"/>
  <c r="JK41" i="8"/>
  <c r="JL41" i="8"/>
  <c r="JM41" i="8"/>
  <c r="JN41" i="8" s="1"/>
  <c r="JW41" i="8"/>
  <c r="JK42" i="8"/>
  <c r="JL42" i="8"/>
  <c r="JM42" i="8"/>
  <c r="JO42" i="8" s="1"/>
  <c r="JW42" i="8"/>
  <c r="JK43" i="8"/>
  <c r="JL43" i="8"/>
  <c r="JM43" i="8"/>
  <c r="JP43" i="8" s="1"/>
  <c r="JW43" i="8"/>
  <c r="JK44" i="8"/>
  <c r="JL44" i="8"/>
  <c r="JM44" i="8"/>
  <c r="JQ44" i="8" s="1"/>
  <c r="JW44" i="8"/>
  <c r="JK45" i="8"/>
  <c r="JW45" i="8"/>
  <c r="JK46" i="8"/>
  <c r="JK47" i="8"/>
  <c r="JL47" i="8"/>
  <c r="JM47" i="8"/>
  <c r="JQ47" i="8" s="1"/>
  <c r="JW47" i="8"/>
  <c r="JK48" i="8"/>
  <c r="JL48" i="8"/>
  <c r="JM48" i="8"/>
  <c r="JR48" i="8" s="1"/>
  <c r="JW48" i="8"/>
  <c r="JK49" i="8"/>
  <c r="JL49" i="8"/>
  <c r="JM49" i="8"/>
  <c r="JO49" i="8" s="1"/>
  <c r="JW49" i="8"/>
  <c r="JK50" i="8"/>
  <c r="JL50" i="8"/>
  <c r="JM50" i="8"/>
  <c r="JN50" i="8" s="1"/>
  <c r="JW50" i="8"/>
  <c r="JK51" i="8"/>
  <c r="JL51" i="8"/>
  <c r="JM51" i="8"/>
  <c r="JP51" i="8" s="1"/>
  <c r="JW51" i="8"/>
  <c r="JK52" i="8"/>
  <c r="JL52" i="8"/>
  <c r="JM52" i="8"/>
  <c r="JR52" i="8" s="1"/>
  <c r="JW52" i="8"/>
  <c r="JK53" i="8"/>
  <c r="JL53" i="8"/>
  <c r="JM53" i="8"/>
  <c r="JW53" i="8"/>
  <c r="JK54" i="8"/>
  <c r="JL54" i="8"/>
  <c r="JM54" i="8"/>
  <c r="JN54" i="8" s="1"/>
  <c r="JW54" i="8"/>
  <c r="JK55" i="8"/>
  <c r="JL55" i="8"/>
  <c r="JM55" i="8"/>
  <c r="JR55" i="8" s="1"/>
  <c r="JW55" i="8"/>
  <c r="JW3" i="8"/>
  <c r="JL3" i="8"/>
  <c r="JK3" i="8"/>
  <c r="IV4" i="8"/>
  <c r="IW4" i="8"/>
  <c r="IX4" i="8"/>
  <c r="JC4" i="8" s="1"/>
  <c r="JH4" i="8"/>
  <c r="IV5" i="8"/>
  <c r="IW5" i="8"/>
  <c r="IX5" i="8"/>
  <c r="JB5" i="8" s="1"/>
  <c r="JH5" i="8"/>
  <c r="IV6" i="8"/>
  <c r="IV7" i="8"/>
  <c r="IW7" i="8"/>
  <c r="IX7" i="8"/>
  <c r="JA7" i="8" s="1"/>
  <c r="JH7" i="8"/>
  <c r="IV8" i="8"/>
  <c r="IW8" i="8"/>
  <c r="IX8" i="8"/>
  <c r="JD8" i="8" s="1"/>
  <c r="JH8" i="8"/>
  <c r="IV9" i="8"/>
  <c r="IW9" i="8"/>
  <c r="IX9" i="8"/>
  <c r="JD9" i="8" s="1"/>
  <c r="JH9" i="8"/>
  <c r="IV10" i="8"/>
  <c r="IV11" i="8"/>
  <c r="IW11" i="8"/>
  <c r="IX11" i="8"/>
  <c r="IZ11" i="8" s="1"/>
  <c r="JH11" i="8"/>
  <c r="IV12" i="8"/>
  <c r="IW12" i="8"/>
  <c r="IX12" i="8"/>
  <c r="JH12" i="8"/>
  <c r="IV13" i="8"/>
  <c r="IW13" i="8"/>
  <c r="IX13" i="8"/>
  <c r="JC13" i="8" s="1"/>
  <c r="JH13" i="8"/>
  <c r="IV14" i="8"/>
  <c r="IV15" i="8"/>
  <c r="IW15" i="8"/>
  <c r="IX15" i="8"/>
  <c r="JB15" i="8" s="1"/>
  <c r="JH15" i="8"/>
  <c r="IV16" i="8"/>
  <c r="IW16" i="8"/>
  <c r="IX16" i="8"/>
  <c r="JC16" i="8" s="1"/>
  <c r="JH16" i="8"/>
  <c r="IV17" i="8"/>
  <c r="IW17" i="8"/>
  <c r="IX17" i="8"/>
  <c r="JD17" i="8" s="1"/>
  <c r="JH17" i="8"/>
  <c r="IV18" i="8"/>
  <c r="JH18" i="8"/>
  <c r="IV19" i="8"/>
  <c r="IW19" i="8"/>
  <c r="IX19" i="8"/>
  <c r="JH19" i="8"/>
  <c r="IV20" i="8"/>
  <c r="IW20" i="8"/>
  <c r="IX20" i="8"/>
  <c r="JC20" i="8" s="1"/>
  <c r="JH20" i="8"/>
  <c r="IV21" i="8"/>
  <c r="IW21" i="8"/>
  <c r="IX21" i="8"/>
  <c r="JH21" i="8"/>
  <c r="IV22" i="8"/>
  <c r="IV23" i="8"/>
  <c r="IW23" i="8"/>
  <c r="IX23" i="8"/>
  <c r="IY23" i="8" s="1"/>
  <c r="JH23" i="8"/>
  <c r="IV24" i="8"/>
  <c r="IW24" i="8"/>
  <c r="IX24" i="8"/>
  <c r="JA24" i="8" s="1"/>
  <c r="JH24" i="8"/>
  <c r="IV25" i="8"/>
  <c r="IW25" i="8"/>
  <c r="IX25" i="8"/>
  <c r="IY25" i="8" s="1"/>
  <c r="JH25" i="8"/>
  <c r="IV26" i="8"/>
  <c r="IW26" i="8"/>
  <c r="IX26" i="8"/>
  <c r="JH26" i="8"/>
  <c r="IV27" i="8"/>
  <c r="IW27" i="8"/>
  <c r="IX27" i="8"/>
  <c r="JB27" i="8" s="1"/>
  <c r="JH27" i="8"/>
  <c r="IV28" i="8"/>
  <c r="IW28" i="8"/>
  <c r="IX28" i="8"/>
  <c r="JC28" i="8" s="1"/>
  <c r="JH28" i="8"/>
  <c r="IV29" i="8"/>
  <c r="IW29" i="8"/>
  <c r="IX29" i="8"/>
  <c r="JD29" i="8" s="1"/>
  <c r="JH29" i="8"/>
  <c r="IV30" i="8"/>
  <c r="IW30" i="8"/>
  <c r="IX30" i="8"/>
  <c r="IZ30" i="8" s="1"/>
  <c r="JH30" i="8"/>
  <c r="IV31" i="8"/>
  <c r="IW31" i="8"/>
  <c r="IX31" i="8"/>
  <c r="JA31" i="8" s="1"/>
  <c r="JH31" i="8"/>
  <c r="IV32" i="8"/>
  <c r="IW32" i="8"/>
  <c r="IX32" i="8"/>
  <c r="JB32" i="8" s="1"/>
  <c r="JH32" i="8"/>
  <c r="IW33" i="8"/>
  <c r="IX33" i="8"/>
  <c r="JD33" i="8" s="1"/>
  <c r="JH33" i="8"/>
  <c r="IV34" i="8"/>
  <c r="IW34" i="8"/>
  <c r="IX34" i="8"/>
  <c r="IY34" i="8" s="1"/>
  <c r="JH34" i="8"/>
  <c r="IV35" i="8"/>
  <c r="IW35" i="8"/>
  <c r="IX35" i="8"/>
  <c r="IY35" i="8" s="1"/>
  <c r="JH35" i="8"/>
  <c r="IV36" i="8"/>
  <c r="IW36" i="8"/>
  <c r="IX36" i="8"/>
  <c r="JA36" i="8" s="1"/>
  <c r="JH36" i="8"/>
  <c r="IV37" i="8"/>
  <c r="IW37" i="8"/>
  <c r="IX37" i="8"/>
  <c r="JH37" i="8"/>
  <c r="IV38" i="8"/>
  <c r="IW38" i="8"/>
  <c r="IX38" i="8"/>
  <c r="IY38" i="8" s="1"/>
  <c r="JH38" i="8"/>
  <c r="IV39" i="8"/>
  <c r="IW39" i="8"/>
  <c r="IX39" i="8"/>
  <c r="JH39" i="8"/>
  <c r="IV40" i="8"/>
  <c r="IW40" i="8"/>
  <c r="IX40" i="8"/>
  <c r="JB40" i="8" s="1"/>
  <c r="JH40" i="8"/>
  <c r="IV41" i="8"/>
  <c r="IW41" i="8"/>
  <c r="IX41" i="8"/>
  <c r="JC41" i="8" s="1"/>
  <c r="JH41" i="8"/>
  <c r="IV42" i="8"/>
  <c r="IW42" i="8"/>
  <c r="IX42" i="8"/>
  <c r="IY42" i="8" s="1"/>
  <c r="JH42" i="8"/>
  <c r="IV43" i="8"/>
  <c r="IW43" i="8"/>
  <c r="IX43" i="8"/>
  <c r="JC43" i="8" s="1"/>
  <c r="JH43" i="8"/>
  <c r="IV44" i="8"/>
  <c r="IW44" i="8"/>
  <c r="IX44" i="8"/>
  <c r="JB44" i="8" s="1"/>
  <c r="JH44" i="8"/>
  <c r="IV45" i="8"/>
  <c r="IV46" i="8"/>
  <c r="IV47" i="8"/>
  <c r="IW47" i="8"/>
  <c r="IX47" i="8"/>
  <c r="IZ47" i="8" s="1"/>
  <c r="JH47" i="8"/>
  <c r="IV48" i="8"/>
  <c r="IW48" i="8"/>
  <c r="IX48" i="8"/>
  <c r="IY48" i="8" s="1"/>
  <c r="JH48" i="8"/>
  <c r="IV49" i="8"/>
  <c r="IW49" i="8"/>
  <c r="IX49" i="8"/>
  <c r="JD49" i="8" s="1"/>
  <c r="JH49" i="8"/>
  <c r="IV50" i="8"/>
  <c r="IW50" i="8"/>
  <c r="IX50" i="8"/>
  <c r="IY50" i="8" s="1"/>
  <c r="JH50" i="8"/>
  <c r="IV51" i="8"/>
  <c r="IW51" i="8"/>
  <c r="IX51" i="8"/>
  <c r="JH51" i="8"/>
  <c r="IV52" i="8"/>
  <c r="IW52" i="8"/>
  <c r="IX52" i="8"/>
  <c r="JB52" i="8" s="1"/>
  <c r="JH52" i="8"/>
  <c r="IV53" i="8"/>
  <c r="IW53" i="8"/>
  <c r="IX53" i="8"/>
  <c r="JD53" i="8" s="1"/>
  <c r="JH53" i="8"/>
  <c r="IV54" i="8"/>
  <c r="IW54" i="8"/>
  <c r="IX54" i="8"/>
  <c r="IY54" i="8" s="1"/>
  <c r="JH54" i="8"/>
  <c r="IV55" i="8"/>
  <c r="IW55" i="8"/>
  <c r="IX55" i="8"/>
  <c r="JH55" i="8"/>
  <c r="JH3" i="8"/>
  <c r="IW3" i="8"/>
  <c r="IV3" i="8"/>
  <c r="IG4" i="8"/>
  <c r="IH4" i="8"/>
  <c r="II4" i="8"/>
  <c r="IL4" i="8" s="1"/>
  <c r="IS4" i="8"/>
  <c r="IG5" i="8"/>
  <c r="IH5" i="8"/>
  <c r="II5" i="8"/>
  <c r="IN5" i="8" s="1"/>
  <c r="IS5" i="8"/>
  <c r="IG6" i="8"/>
  <c r="IH6" i="8"/>
  <c r="II6" i="8"/>
  <c r="IK6" i="8" s="1"/>
  <c r="IG7" i="8"/>
  <c r="IH7" i="8"/>
  <c r="II7" i="8"/>
  <c r="IS7" i="8"/>
  <c r="IG8" i="8"/>
  <c r="IH8" i="8"/>
  <c r="II8" i="8"/>
  <c r="IL8" i="8" s="1"/>
  <c r="IS8" i="8"/>
  <c r="IG9" i="8"/>
  <c r="IH9" i="8"/>
  <c r="II9" i="8"/>
  <c r="IN9" i="8" s="1"/>
  <c r="IS9" i="8"/>
  <c r="IG10" i="8"/>
  <c r="IG11" i="8"/>
  <c r="IH11" i="8"/>
  <c r="II11" i="8"/>
  <c r="IN11" i="8" s="1"/>
  <c r="IS11" i="8"/>
  <c r="IG12" i="8"/>
  <c r="IH12" i="8"/>
  <c r="II12" i="8"/>
  <c r="IS12" i="8"/>
  <c r="IG13" i="8"/>
  <c r="IH13" i="8"/>
  <c r="II13" i="8"/>
  <c r="IN13" i="8" s="1"/>
  <c r="IS13" i="8"/>
  <c r="IG14" i="8"/>
  <c r="IH14" i="8"/>
  <c r="II14" i="8"/>
  <c r="IG15" i="8"/>
  <c r="IH15" i="8"/>
  <c r="II15" i="8"/>
  <c r="IJ15" i="8" s="1"/>
  <c r="IS15" i="8"/>
  <c r="IG16" i="8"/>
  <c r="IH16" i="8"/>
  <c r="II16" i="8"/>
  <c r="IS16" i="8"/>
  <c r="IG17" i="8"/>
  <c r="IH17" i="8"/>
  <c r="II17" i="8"/>
  <c r="IN17" i="8" s="1"/>
  <c r="IS17" i="8"/>
  <c r="IG18" i="8"/>
  <c r="IG19" i="8"/>
  <c r="IH19" i="8"/>
  <c r="II19" i="8"/>
  <c r="IM19" i="8" s="1"/>
  <c r="IS19" i="8"/>
  <c r="IG20" i="8"/>
  <c r="IH20" i="8"/>
  <c r="II20" i="8"/>
  <c r="IN20" i="8" s="1"/>
  <c r="IS20" i="8"/>
  <c r="IG21" i="8"/>
  <c r="IH21" i="8"/>
  <c r="II21" i="8"/>
  <c r="IN21" i="8" s="1"/>
  <c r="IS21" i="8"/>
  <c r="IG22" i="8"/>
  <c r="IH22" i="8"/>
  <c r="II22" i="8"/>
  <c r="IN22" i="8" s="1"/>
  <c r="IG23" i="8"/>
  <c r="IH23" i="8"/>
  <c r="II23" i="8"/>
  <c r="IM23" i="8" s="1"/>
  <c r="IS23" i="8"/>
  <c r="IG24" i="8"/>
  <c r="IH24" i="8"/>
  <c r="II24" i="8"/>
  <c r="IS24" i="8"/>
  <c r="IG25" i="8"/>
  <c r="IH25" i="8"/>
  <c r="II25" i="8"/>
  <c r="IN25" i="8" s="1"/>
  <c r="IS25" i="8"/>
  <c r="IG26" i="8"/>
  <c r="IH26" i="8"/>
  <c r="II26" i="8"/>
  <c r="IS26" i="8"/>
  <c r="IG27" i="8"/>
  <c r="IH27" i="8"/>
  <c r="II27" i="8"/>
  <c r="IL27" i="8" s="1"/>
  <c r="IS27" i="8"/>
  <c r="IG28" i="8"/>
  <c r="IH28" i="8"/>
  <c r="II28" i="8"/>
  <c r="IL28" i="8" s="1"/>
  <c r="IS28" i="8"/>
  <c r="IG29" i="8"/>
  <c r="IH29" i="8"/>
  <c r="II29" i="8"/>
  <c r="IN29" i="8" s="1"/>
  <c r="IS29" i="8"/>
  <c r="IG30" i="8"/>
  <c r="IH30" i="8"/>
  <c r="II30" i="8"/>
  <c r="IN30" i="8" s="1"/>
  <c r="IS30" i="8"/>
  <c r="IG31" i="8"/>
  <c r="IH31" i="8"/>
  <c r="II31" i="8"/>
  <c r="IM31" i="8" s="1"/>
  <c r="IS31" i="8"/>
  <c r="IG32" i="8"/>
  <c r="IH32" i="8"/>
  <c r="II32" i="8"/>
  <c r="IN32" i="8" s="1"/>
  <c r="IS32" i="8"/>
  <c r="IH33" i="8"/>
  <c r="II33" i="8"/>
  <c r="IN33" i="8" s="1"/>
  <c r="IS33" i="8"/>
  <c r="IG34" i="8"/>
  <c r="IH34" i="8"/>
  <c r="II34" i="8"/>
  <c r="IO34" i="8" s="1"/>
  <c r="IS34" i="8"/>
  <c r="IG35" i="8"/>
  <c r="IH35" i="8"/>
  <c r="II35" i="8"/>
  <c r="IL35" i="8" s="1"/>
  <c r="IS35" i="8"/>
  <c r="IG36" i="8"/>
  <c r="IH36" i="8"/>
  <c r="II36" i="8"/>
  <c r="IL36" i="8" s="1"/>
  <c r="IS36" i="8"/>
  <c r="IG37" i="8"/>
  <c r="IH37" i="8"/>
  <c r="II37" i="8"/>
  <c r="IM37" i="8" s="1"/>
  <c r="IS37" i="8"/>
  <c r="IG38" i="8"/>
  <c r="IH38" i="8"/>
  <c r="II38" i="8"/>
  <c r="IJ38" i="8" s="1"/>
  <c r="IS38" i="8"/>
  <c r="IG39" i="8"/>
  <c r="IH39" i="8"/>
  <c r="II39" i="8"/>
  <c r="IS39" i="8"/>
  <c r="IG40" i="8"/>
  <c r="IH40" i="8"/>
  <c r="II40" i="8"/>
  <c r="IN40" i="8" s="1"/>
  <c r="IS40" i="8"/>
  <c r="IG41" i="8"/>
  <c r="IH41" i="8"/>
  <c r="II41" i="8"/>
  <c r="IO41" i="8" s="1"/>
  <c r="IS41" i="8"/>
  <c r="IG42" i="8"/>
  <c r="IH42" i="8"/>
  <c r="II42" i="8"/>
  <c r="IJ42" i="8" s="1"/>
  <c r="IS42" i="8"/>
  <c r="IG43" i="8"/>
  <c r="IH43" i="8"/>
  <c r="II43" i="8"/>
  <c r="IJ43" i="8" s="1"/>
  <c r="IS43" i="8"/>
  <c r="IG44" i="8"/>
  <c r="IH44" i="8"/>
  <c r="II44" i="8"/>
  <c r="IK44" i="8" s="1"/>
  <c r="IS44" i="8"/>
  <c r="IG45" i="8"/>
  <c r="IG46" i="8"/>
  <c r="IG47" i="8"/>
  <c r="IH47" i="8"/>
  <c r="II47" i="8"/>
  <c r="IL47" i="8" s="1"/>
  <c r="IS47" i="8"/>
  <c r="IG48" i="8"/>
  <c r="IH48" i="8"/>
  <c r="II48" i="8"/>
  <c r="IK48" i="8" s="1"/>
  <c r="IS48" i="8"/>
  <c r="IG49" i="8"/>
  <c r="IH49" i="8"/>
  <c r="II49" i="8"/>
  <c r="IN49" i="8" s="1"/>
  <c r="IS49" i="8"/>
  <c r="IG50" i="8"/>
  <c r="IH50" i="8"/>
  <c r="II50" i="8"/>
  <c r="IJ50" i="8" s="1"/>
  <c r="IS50" i="8"/>
  <c r="IG51" i="8"/>
  <c r="IH51" i="8"/>
  <c r="II51" i="8"/>
  <c r="IS51" i="8"/>
  <c r="IG52" i="8"/>
  <c r="IH52" i="8"/>
  <c r="II52" i="8"/>
  <c r="IN52" i="8" s="1"/>
  <c r="IS52" i="8"/>
  <c r="IG53" i="8"/>
  <c r="IH53" i="8"/>
  <c r="II53" i="8"/>
  <c r="IS53" i="8"/>
  <c r="IG54" i="8"/>
  <c r="IH54" i="8"/>
  <c r="II54" i="8"/>
  <c r="IJ54" i="8" s="1"/>
  <c r="IS54" i="8"/>
  <c r="IG55" i="8"/>
  <c r="IH55" i="8"/>
  <c r="II55" i="8"/>
  <c r="IJ55" i="8" s="1"/>
  <c r="IS55" i="8"/>
  <c r="IS3" i="8"/>
  <c r="IH3" i="8"/>
  <c r="IG3" i="8"/>
  <c r="HR4" i="8"/>
  <c r="HS4" i="8"/>
  <c r="HT4" i="8"/>
  <c r="HW4" i="8" s="1"/>
  <c r="ID4" i="8"/>
  <c r="HR5" i="8"/>
  <c r="HS5" i="8"/>
  <c r="HT5" i="8"/>
  <c r="HX5" i="8" s="1"/>
  <c r="ID5" i="8"/>
  <c r="HR6" i="8"/>
  <c r="HR7" i="8"/>
  <c r="HS7" i="8"/>
  <c r="HT7" i="8"/>
  <c r="HW7" i="8" s="1"/>
  <c r="ID7" i="8"/>
  <c r="HR8" i="8"/>
  <c r="HS8" i="8"/>
  <c r="HT8" i="8"/>
  <c r="HV8" i="8" s="1"/>
  <c r="ID8" i="8"/>
  <c r="HR9" i="8"/>
  <c r="HS9" i="8"/>
  <c r="HT9" i="8"/>
  <c r="HW9" i="8" s="1"/>
  <c r="ID9" i="8"/>
  <c r="HR10" i="8"/>
  <c r="HS10" i="8"/>
  <c r="HR11" i="8"/>
  <c r="HS11" i="8"/>
  <c r="HT11" i="8"/>
  <c r="HX11" i="8" s="1"/>
  <c r="ID11" i="8"/>
  <c r="HR12" i="8"/>
  <c r="HS12" i="8"/>
  <c r="HT12" i="8"/>
  <c r="ID12" i="8"/>
  <c r="HR13" i="8"/>
  <c r="HS13" i="8"/>
  <c r="HT13" i="8"/>
  <c r="HY13" i="8" s="1"/>
  <c r="ID13" i="8"/>
  <c r="HR14" i="8"/>
  <c r="HR15" i="8"/>
  <c r="HS15" i="8"/>
  <c r="HT15" i="8"/>
  <c r="HZ15" i="8" s="1"/>
  <c r="ID15" i="8"/>
  <c r="HR16" i="8"/>
  <c r="HS16" i="8"/>
  <c r="HT16" i="8"/>
  <c r="HY16" i="8" s="1"/>
  <c r="ID16" i="8"/>
  <c r="HR17" i="8"/>
  <c r="HS17" i="8"/>
  <c r="HT17" i="8"/>
  <c r="HW17" i="8" s="1"/>
  <c r="ID17" i="8"/>
  <c r="HR18" i="8"/>
  <c r="HS18" i="8"/>
  <c r="HR19" i="8"/>
  <c r="HS19" i="8"/>
  <c r="HT19" i="8"/>
  <c r="HV19" i="8" s="1"/>
  <c r="ID19" i="8"/>
  <c r="HR20" i="8"/>
  <c r="HS20" i="8"/>
  <c r="HT20" i="8"/>
  <c r="HZ20" i="8" s="1"/>
  <c r="ID20" i="8"/>
  <c r="HR21" i="8"/>
  <c r="HS21" i="8"/>
  <c r="HT21" i="8"/>
  <c r="HX21" i="8" s="1"/>
  <c r="ID21" i="8"/>
  <c r="HR22" i="8"/>
  <c r="HR23" i="8"/>
  <c r="HS23" i="8"/>
  <c r="HT23" i="8"/>
  <c r="ID23" i="8"/>
  <c r="HR24" i="8"/>
  <c r="HS24" i="8"/>
  <c r="HT24" i="8"/>
  <c r="ID24" i="8"/>
  <c r="HR25" i="8"/>
  <c r="HS25" i="8"/>
  <c r="HT25" i="8"/>
  <c r="ID25" i="8"/>
  <c r="HR26" i="8"/>
  <c r="HS26" i="8"/>
  <c r="HT26" i="8"/>
  <c r="ID26" i="8"/>
  <c r="HR27" i="8"/>
  <c r="HS27" i="8"/>
  <c r="HT27" i="8"/>
  <c r="HU27" i="8" s="1"/>
  <c r="ID27" i="8"/>
  <c r="HR28" i="8"/>
  <c r="HS28" i="8"/>
  <c r="HT28" i="8"/>
  <c r="HW28" i="8" s="1"/>
  <c r="ID28" i="8"/>
  <c r="HR29" i="8"/>
  <c r="HS29" i="8"/>
  <c r="HT29" i="8"/>
  <c r="HY29" i="8" s="1"/>
  <c r="ID29" i="8"/>
  <c r="HR30" i="8"/>
  <c r="HS30" i="8"/>
  <c r="HT30" i="8"/>
  <c r="HY30" i="8" s="1"/>
  <c r="ID30" i="8"/>
  <c r="HR31" i="8"/>
  <c r="HS31" i="8"/>
  <c r="HT31" i="8"/>
  <c r="HU31" i="8" s="1"/>
  <c r="ID31" i="8"/>
  <c r="HR32" i="8"/>
  <c r="HS32" i="8"/>
  <c r="HT32" i="8"/>
  <c r="HX32" i="8" s="1"/>
  <c r="ID32" i="8"/>
  <c r="HS33" i="8"/>
  <c r="HT33" i="8"/>
  <c r="HY33" i="8" s="1"/>
  <c r="ID33" i="8"/>
  <c r="HR34" i="8"/>
  <c r="HS34" i="8"/>
  <c r="HT34" i="8"/>
  <c r="ID34" i="8"/>
  <c r="HR35" i="8"/>
  <c r="HS35" i="8"/>
  <c r="HT35" i="8"/>
  <c r="HU35" i="8" s="1"/>
  <c r="ID35" i="8"/>
  <c r="HR36" i="8"/>
  <c r="HS36" i="8"/>
  <c r="HT36" i="8"/>
  <c r="HV36" i="8" s="1"/>
  <c r="ID36" i="8"/>
  <c r="HR37" i="8"/>
  <c r="HS37" i="8"/>
  <c r="HT37" i="8"/>
  <c r="HZ37" i="8" s="1"/>
  <c r="ID37" i="8"/>
  <c r="HR38" i="8"/>
  <c r="HS38" i="8"/>
  <c r="HT38" i="8"/>
  <c r="ID38" i="8"/>
  <c r="HR39" i="8"/>
  <c r="HS39" i="8"/>
  <c r="HT39" i="8"/>
  <c r="HU39" i="8" s="1"/>
  <c r="ID39" i="8"/>
  <c r="HR40" i="8"/>
  <c r="HS40" i="8"/>
  <c r="HT40" i="8"/>
  <c r="HW40" i="8" s="1"/>
  <c r="ID40" i="8"/>
  <c r="HR41" i="8"/>
  <c r="HS41" i="8"/>
  <c r="HT41" i="8"/>
  <c r="HV41" i="8" s="1"/>
  <c r="ID41" i="8"/>
  <c r="HR42" i="8"/>
  <c r="HS42" i="8"/>
  <c r="HT42" i="8"/>
  <c r="ID42" i="8"/>
  <c r="HR43" i="8"/>
  <c r="HS43" i="8"/>
  <c r="HT43" i="8"/>
  <c r="HU43" i="8" s="1"/>
  <c r="ID43" i="8"/>
  <c r="HR44" i="8"/>
  <c r="HS44" i="8"/>
  <c r="HT44" i="8"/>
  <c r="HV44" i="8" s="1"/>
  <c r="ID44" i="8"/>
  <c r="HR45" i="8"/>
  <c r="HR46" i="8"/>
  <c r="HR47" i="8"/>
  <c r="HS47" i="8"/>
  <c r="HT47" i="8"/>
  <c r="HU47" i="8" s="1"/>
  <c r="ID47" i="8"/>
  <c r="HR48" i="8"/>
  <c r="HS48" i="8"/>
  <c r="HT48" i="8"/>
  <c r="HU48" i="8" s="1"/>
  <c r="ID48" i="8"/>
  <c r="HR49" i="8"/>
  <c r="HS49" i="8"/>
  <c r="HT49" i="8"/>
  <c r="HZ49" i="8" s="1"/>
  <c r="ID49" i="8"/>
  <c r="HR50" i="8"/>
  <c r="HS50" i="8"/>
  <c r="HT50" i="8"/>
  <c r="HU50" i="8" s="1"/>
  <c r="ID50" i="8"/>
  <c r="HR51" i="8"/>
  <c r="HS51" i="8"/>
  <c r="HT51" i="8"/>
  <c r="HU51" i="8" s="1"/>
  <c r="ID51" i="8"/>
  <c r="HR52" i="8"/>
  <c r="HS52" i="8"/>
  <c r="HT52" i="8"/>
  <c r="HW52" i="8" s="1"/>
  <c r="ID52" i="8"/>
  <c r="HR53" i="8"/>
  <c r="HS53" i="8"/>
  <c r="HT53" i="8"/>
  <c r="HY53" i="8" s="1"/>
  <c r="ID53" i="8"/>
  <c r="HR54" i="8"/>
  <c r="HS54" i="8"/>
  <c r="HT54" i="8"/>
  <c r="ID54" i="8"/>
  <c r="HR55" i="8"/>
  <c r="HS55" i="8"/>
  <c r="HT55" i="8"/>
  <c r="HU55" i="8" s="1"/>
  <c r="ID55" i="8"/>
  <c r="ID3" i="8"/>
  <c r="HS3" i="8"/>
  <c r="HR3" i="8"/>
  <c r="HC4" i="8"/>
  <c r="HD4" i="8"/>
  <c r="HE4" i="8"/>
  <c r="HJ4" i="8" s="1"/>
  <c r="HO4" i="8"/>
  <c r="HC5" i="8"/>
  <c r="HD5" i="8"/>
  <c r="HE5" i="8"/>
  <c r="HG5" i="8" s="1"/>
  <c r="HO5" i="8"/>
  <c r="HC6" i="8"/>
  <c r="HC7" i="8"/>
  <c r="HD7" i="8"/>
  <c r="HE7" i="8"/>
  <c r="HF7" i="8" s="1"/>
  <c r="HO7" i="8"/>
  <c r="HC8" i="8"/>
  <c r="HD8" i="8"/>
  <c r="HE8" i="8"/>
  <c r="HK8" i="8" s="1"/>
  <c r="HO8" i="8"/>
  <c r="HC9" i="8"/>
  <c r="HD9" i="8"/>
  <c r="HE9" i="8"/>
  <c r="HH9" i="8" s="1"/>
  <c r="HO9" i="8"/>
  <c r="HC10" i="8"/>
  <c r="HD10" i="8"/>
  <c r="HE10" i="8"/>
  <c r="HG10" i="8" s="1"/>
  <c r="HC11" i="8"/>
  <c r="HD11" i="8"/>
  <c r="HE11" i="8"/>
  <c r="HI11" i="8" s="1"/>
  <c r="HO11" i="8"/>
  <c r="HC12" i="8"/>
  <c r="HD12" i="8"/>
  <c r="HE12" i="8"/>
  <c r="HF12" i="8" s="1"/>
  <c r="HO12" i="8"/>
  <c r="HC13" i="8"/>
  <c r="HD13" i="8"/>
  <c r="HE13" i="8"/>
  <c r="HF13" i="8" s="1"/>
  <c r="HO13" i="8"/>
  <c r="HC14" i="8"/>
  <c r="HC15" i="8"/>
  <c r="HD15" i="8"/>
  <c r="HE15" i="8"/>
  <c r="HJ15" i="8" s="1"/>
  <c r="HO15" i="8"/>
  <c r="HC16" i="8"/>
  <c r="HD16" i="8"/>
  <c r="HE16" i="8"/>
  <c r="HJ16" i="8" s="1"/>
  <c r="HO16" i="8"/>
  <c r="HC17" i="8"/>
  <c r="HD17" i="8"/>
  <c r="HE17" i="8"/>
  <c r="HI17" i="8" s="1"/>
  <c r="HO17" i="8"/>
  <c r="HC18" i="8"/>
  <c r="HD18" i="8"/>
  <c r="HE18" i="8"/>
  <c r="HF18" i="8" s="1"/>
  <c r="HC19" i="8"/>
  <c r="HD19" i="8"/>
  <c r="HE19" i="8"/>
  <c r="HO19" i="8"/>
  <c r="HC20" i="8"/>
  <c r="HD20" i="8"/>
  <c r="HE20" i="8"/>
  <c r="HK20" i="8" s="1"/>
  <c r="HO20" i="8"/>
  <c r="HC21" i="8"/>
  <c r="HD21" i="8"/>
  <c r="HE21" i="8"/>
  <c r="HK21" i="8" s="1"/>
  <c r="HO21" i="8"/>
  <c r="HC22" i="8"/>
  <c r="HC23" i="8"/>
  <c r="HD23" i="8"/>
  <c r="HE23" i="8"/>
  <c r="HH23" i="8" s="1"/>
  <c r="HO23" i="8"/>
  <c r="HC24" i="8"/>
  <c r="HD24" i="8"/>
  <c r="HE24" i="8"/>
  <c r="HJ24" i="8" s="1"/>
  <c r="HO24" i="8"/>
  <c r="HC25" i="8"/>
  <c r="HD25" i="8"/>
  <c r="HE25" i="8"/>
  <c r="HI25" i="8" s="1"/>
  <c r="HO25" i="8"/>
  <c r="HC26" i="8"/>
  <c r="HD26" i="8"/>
  <c r="HE26" i="8"/>
  <c r="HF26" i="8" s="1"/>
  <c r="HO26" i="8"/>
  <c r="HC27" i="8"/>
  <c r="HD27" i="8"/>
  <c r="HE27" i="8"/>
  <c r="HI27" i="8" s="1"/>
  <c r="HO27" i="8"/>
  <c r="HC28" i="8"/>
  <c r="HD28" i="8"/>
  <c r="HE28" i="8"/>
  <c r="HJ28" i="8" s="1"/>
  <c r="HO28" i="8"/>
  <c r="HC29" i="8"/>
  <c r="HD29" i="8"/>
  <c r="HE29" i="8"/>
  <c r="HH29" i="8" s="1"/>
  <c r="HO29" i="8"/>
  <c r="HC30" i="8"/>
  <c r="HD30" i="8"/>
  <c r="HE30" i="8"/>
  <c r="HF30" i="8" s="1"/>
  <c r="HO30" i="8"/>
  <c r="HC31" i="8"/>
  <c r="HD31" i="8"/>
  <c r="HE31" i="8"/>
  <c r="HH31" i="8" s="1"/>
  <c r="HO31" i="8"/>
  <c r="HC32" i="8"/>
  <c r="HD32" i="8"/>
  <c r="HE32" i="8"/>
  <c r="HJ32" i="8" s="1"/>
  <c r="HO32" i="8"/>
  <c r="HD33" i="8"/>
  <c r="HE33" i="8"/>
  <c r="HF33" i="8" s="1"/>
  <c r="HO33" i="8"/>
  <c r="HC34" i="8"/>
  <c r="HD34" i="8"/>
  <c r="HE34" i="8"/>
  <c r="HG34" i="8" s="1"/>
  <c r="HO34" i="8"/>
  <c r="HC35" i="8"/>
  <c r="HD35" i="8"/>
  <c r="HE35" i="8"/>
  <c r="HH35" i="8" s="1"/>
  <c r="HO35" i="8"/>
  <c r="HC36" i="8"/>
  <c r="HD36" i="8"/>
  <c r="HE36" i="8"/>
  <c r="HI36" i="8" s="1"/>
  <c r="HO36" i="8"/>
  <c r="HC37" i="8"/>
  <c r="HD37" i="8"/>
  <c r="HE37" i="8"/>
  <c r="HI37" i="8" s="1"/>
  <c r="HO37" i="8"/>
  <c r="HC38" i="8"/>
  <c r="HD38" i="8"/>
  <c r="HE38" i="8"/>
  <c r="HI38" i="8" s="1"/>
  <c r="HO38" i="8"/>
  <c r="HC39" i="8"/>
  <c r="HD39" i="8"/>
  <c r="HE39" i="8"/>
  <c r="HI39" i="8" s="1"/>
  <c r="HO39" i="8"/>
  <c r="HC40" i="8"/>
  <c r="HD40" i="8"/>
  <c r="HE40" i="8"/>
  <c r="HI40" i="8" s="1"/>
  <c r="HO40" i="8"/>
  <c r="HC41" i="8"/>
  <c r="HD41" i="8"/>
  <c r="HE41" i="8"/>
  <c r="HJ41" i="8" s="1"/>
  <c r="HO41" i="8"/>
  <c r="HC42" i="8"/>
  <c r="HD42" i="8"/>
  <c r="HE42" i="8"/>
  <c r="HG42" i="8" s="1"/>
  <c r="HO42" i="8"/>
  <c r="HC43" i="8"/>
  <c r="HD43" i="8"/>
  <c r="HE43" i="8"/>
  <c r="HH43" i="8" s="1"/>
  <c r="HO43" i="8"/>
  <c r="HC44" i="8"/>
  <c r="HD44" i="8"/>
  <c r="HE44" i="8"/>
  <c r="HO44" i="8"/>
  <c r="HC45" i="8"/>
  <c r="HC46" i="8"/>
  <c r="HC47" i="8"/>
  <c r="HD47" i="8"/>
  <c r="HE47" i="8"/>
  <c r="HH47" i="8" s="1"/>
  <c r="HO47" i="8"/>
  <c r="HC48" i="8"/>
  <c r="HD48" i="8"/>
  <c r="HE48" i="8"/>
  <c r="HF48" i="8" s="1"/>
  <c r="HO48" i="8"/>
  <c r="HC49" i="8"/>
  <c r="HD49" i="8"/>
  <c r="HE49" i="8"/>
  <c r="HF49" i="8" s="1"/>
  <c r="HO49" i="8"/>
  <c r="HC50" i="8"/>
  <c r="HD50" i="8"/>
  <c r="HE50" i="8"/>
  <c r="HF50" i="8" s="1"/>
  <c r="HO50" i="8"/>
  <c r="HC51" i="8"/>
  <c r="HD51" i="8"/>
  <c r="HE51" i="8"/>
  <c r="HH51" i="8" s="1"/>
  <c r="HO51" i="8"/>
  <c r="HC52" i="8"/>
  <c r="HD52" i="8"/>
  <c r="HE52" i="8"/>
  <c r="HJ52" i="8" s="1"/>
  <c r="HO52" i="8"/>
  <c r="HC53" i="8"/>
  <c r="HD53" i="8"/>
  <c r="HE53" i="8"/>
  <c r="HH53" i="8" s="1"/>
  <c r="HO53" i="8"/>
  <c r="HC54" i="8"/>
  <c r="HD54" i="8"/>
  <c r="HE54" i="8"/>
  <c r="HF54" i="8" s="1"/>
  <c r="HO54" i="8"/>
  <c r="HC55" i="8"/>
  <c r="HD55" i="8"/>
  <c r="HE55" i="8"/>
  <c r="HH55" i="8" s="1"/>
  <c r="HO55" i="8"/>
  <c r="HO3" i="8"/>
  <c r="HD3" i="8"/>
  <c r="HC3" i="8"/>
  <c r="GN4" i="8"/>
  <c r="GO4" i="8"/>
  <c r="GP4" i="8"/>
  <c r="GU4" i="8" s="1"/>
  <c r="GZ4" i="8"/>
  <c r="GN5" i="8"/>
  <c r="GO5" i="8"/>
  <c r="GP5" i="8"/>
  <c r="GS5" i="8" s="1"/>
  <c r="GZ5" i="8"/>
  <c r="GN6" i="8"/>
  <c r="GN7" i="8"/>
  <c r="GO7" i="8"/>
  <c r="GP7" i="8"/>
  <c r="GS7" i="8" s="1"/>
  <c r="GZ7" i="8"/>
  <c r="GN8" i="8"/>
  <c r="GO8" i="8"/>
  <c r="GP8" i="8"/>
  <c r="GV8" i="8" s="1"/>
  <c r="GZ8" i="8"/>
  <c r="GN9" i="8"/>
  <c r="GO9" i="8"/>
  <c r="GP9" i="8"/>
  <c r="GT9" i="8" s="1"/>
  <c r="GZ9" i="8"/>
  <c r="GN10" i="8"/>
  <c r="GZ10" i="8"/>
  <c r="GN11" i="8"/>
  <c r="GO11" i="8"/>
  <c r="GP11" i="8"/>
  <c r="GT11" i="8" s="1"/>
  <c r="GZ11" i="8"/>
  <c r="GN12" i="8"/>
  <c r="GO12" i="8"/>
  <c r="GP12" i="8"/>
  <c r="GU12" i="8" s="1"/>
  <c r="GZ12" i="8"/>
  <c r="GN13" i="8"/>
  <c r="GO13" i="8"/>
  <c r="GP13" i="8"/>
  <c r="GS13" i="8" s="1"/>
  <c r="GZ13" i="8"/>
  <c r="GN14" i="8"/>
  <c r="GN15" i="8"/>
  <c r="GO15" i="8"/>
  <c r="GP15" i="8"/>
  <c r="GQ15" i="8" s="1"/>
  <c r="GZ15" i="8"/>
  <c r="GN16" i="8"/>
  <c r="GO16" i="8"/>
  <c r="GP16" i="8"/>
  <c r="GS16" i="8" s="1"/>
  <c r="GZ16" i="8"/>
  <c r="GN17" i="8"/>
  <c r="GO17" i="8"/>
  <c r="GP17" i="8"/>
  <c r="GU17" i="8" s="1"/>
  <c r="GZ17" i="8"/>
  <c r="GN18" i="8"/>
  <c r="GO18" i="8"/>
  <c r="GP18" i="8"/>
  <c r="GQ18" i="8" s="1"/>
  <c r="GN19" i="8"/>
  <c r="GO19" i="8"/>
  <c r="GP19" i="8"/>
  <c r="GZ19" i="8"/>
  <c r="GN20" i="8"/>
  <c r="GO20" i="8"/>
  <c r="GP20" i="8"/>
  <c r="GS20" i="8" s="1"/>
  <c r="GZ20" i="8"/>
  <c r="GN21" i="8"/>
  <c r="GO21" i="8"/>
  <c r="GP21" i="8"/>
  <c r="GS21" i="8" s="1"/>
  <c r="GZ21" i="8"/>
  <c r="GN22" i="8"/>
  <c r="GN23" i="8"/>
  <c r="GO23" i="8"/>
  <c r="GP23" i="8"/>
  <c r="GT23" i="8" s="1"/>
  <c r="GZ23" i="8"/>
  <c r="GN24" i="8"/>
  <c r="GO24" i="8"/>
  <c r="GP24" i="8"/>
  <c r="GS24" i="8" s="1"/>
  <c r="GZ24" i="8"/>
  <c r="GN25" i="8"/>
  <c r="GO25" i="8"/>
  <c r="GP25" i="8"/>
  <c r="GQ25" i="8" s="1"/>
  <c r="GZ25" i="8"/>
  <c r="GN26" i="8"/>
  <c r="GO26" i="8"/>
  <c r="GP26" i="8"/>
  <c r="GQ26" i="8" s="1"/>
  <c r="GZ26" i="8"/>
  <c r="GN27" i="8"/>
  <c r="GO27" i="8"/>
  <c r="GP27" i="8"/>
  <c r="GQ27" i="8" s="1"/>
  <c r="GZ27" i="8"/>
  <c r="GN28" i="8"/>
  <c r="GO28" i="8"/>
  <c r="GP28" i="8"/>
  <c r="GS28" i="8" s="1"/>
  <c r="GZ28" i="8"/>
  <c r="GN29" i="8"/>
  <c r="GO29" i="8"/>
  <c r="GP29" i="8"/>
  <c r="GU29" i="8" s="1"/>
  <c r="GZ29" i="8"/>
  <c r="GN30" i="8"/>
  <c r="GO30" i="8"/>
  <c r="GP30" i="8"/>
  <c r="GR30" i="8" s="1"/>
  <c r="GZ30" i="8"/>
  <c r="GN31" i="8"/>
  <c r="GO31" i="8"/>
  <c r="GP31" i="8"/>
  <c r="GQ31" i="8" s="1"/>
  <c r="GZ31" i="8"/>
  <c r="GN32" i="8"/>
  <c r="GO32" i="8"/>
  <c r="GP32" i="8"/>
  <c r="GS32" i="8" s="1"/>
  <c r="GZ32" i="8"/>
  <c r="GO33" i="8"/>
  <c r="GP33" i="8"/>
  <c r="GU33" i="8" s="1"/>
  <c r="GZ33" i="8"/>
  <c r="GN34" i="8"/>
  <c r="GO34" i="8"/>
  <c r="GP34" i="8"/>
  <c r="GZ34" i="8"/>
  <c r="GN35" i="8"/>
  <c r="GO35" i="8"/>
  <c r="GP35" i="8"/>
  <c r="GQ35" i="8" s="1"/>
  <c r="GZ35" i="8"/>
  <c r="GN36" i="8"/>
  <c r="GO36" i="8"/>
  <c r="GP36" i="8"/>
  <c r="GV36" i="8" s="1"/>
  <c r="GZ36" i="8"/>
  <c r="GN37" i="8"/>
  <c r="GO37" i="8"/>
  <c r="GP37" i="8"/>
  <c r="GU37" i="8" s="1"/>
  <c r="GZ37" i="8"/>
  <c r="GN38" i="8"/>
  <c r="GO38" i="8"/>
  <c r="GP38" i="8"/>
  <c r="GS38" i="8" s="1"/>
  <c r="GZ38" i="8"/>
  <c r="GN39" i="8"/>
  <c r="GO39" i="8"/>
  <c r="GP39" i="8"/>
  <c r="GV39" i="8" s="1"/>
  <c r="GZ39" i="8"/>
  <c r="GN40" i="8"/>
  <c r="GO40" i="8"/>
  <c r="GP40" i="8"/>
  <c r="GU40" i="8" s="1"/>
  <c r="GZ40" i="8"/>
  <c r="GN41" i="8"/>
  <c r="GO41" i="8"/>
  <c r="GP41" i="8"/>
  <c r="GV41" i="8" s="1"/>
  <c r="GZ41" i="8"/>
  <c r="GN42" i="8"/>
  <c r="GO42" i="8"/>
  <c r="GP42" i="8"/>
  <c r="GR42" i="8" s="1"/>
  <c r="GZ42" i="8"/>
  <c r="GN43" i="8"/>
  <c r="GO43" i="8"/>
  <c r="GP43" i="8"/>
  <c r="GT43" i="8" s="1"/>
  <c r="GZ43" i="8"/>
  <c r="GN44" i="8"/>
  <c r="GO44" i="8"/>
  <c r="GP44" i="8"/>
  <c r="GV44" i="8" s="1"/>
  <c r="GZ44" i="8"/>
  <c r="GN45" i="8"/>
  <c r="GN46" i="8"/>
  <c r="GN47" i="8"/>
  <c r="GO47" i="8"/>
  <c r="GP47" i="8"/>
  <c r="GZ47" i="8"/>
  <c r="GN48" i="8"/>
  <c r="GO48" i="8"/>
  <c r="GP48" i="8"/>
  <c r="GU48" i="8" s="1"/>
  <c r="GZ48" i="8"/>
  <c r="GN49" i="8"/>
  <c r="GO49" i="8"/>
  <c r="GP49" i="8"/>
  <c r="GZ49" i="8"/>
  <c r="GN50" i="8"/>
  <c r="GO50" i="8"/>
  <c r="GP50" i="8"/>
  <c r="GU50" i="8" s="1"/>
  <c r="GZ50" i="8"/>
  <c r="GN51" i="8"/>
  <c r="GO51" i="8"/>
  <c r="GP51" i="8"/>
  <c r="GR51" i="8" s="1"/>
  <c r="GZ51" i="8"/>
  <c r="GN52" i="8"/>
  <c r="GO52" i="8"/>
  <c r="GP52" i="8"/>
  <c r="GU52" i="8" s="1"/>
  <c r="GZ52" i="8"/>
  <c r="GN53" i="8"/>
  <c r="GO53" i="8"/>
  <c r="GP53" i="8"/>
  <c r="GZ53" i="8"/>
  <c r="GN54" i="8"/>
  <c r="GO54" i="8"/>
  <c r="GP54" i="8"/>
  <c r="GR54" i="8" s="1"/>
  <c r="GZ54" i="8"/>
  <c r="GN55" i="8"/>
  <c r="GO55" i="8"/>
  <c r="GP55" i="8"/>
  <c r="GT55" i="8" s="1"/>
  <c r="GZ55" i="8"/>
  <c r="GZ3" i="8"/>
  <c r="GO3" i="8"/>
  <c r="GN3" i="8"/>
  <c r="FY7" i="8"/>
  <c r="FZ7" i="8"/>
  <c r="GA7" i="8"/>
  <c r="GD7" i="8" s="1"/>
  <c r="GK7" i="8"/>
  <c r="FY8" i="8"/>
  <c r="FZ8" i="8"/>
  <c r="GA8" i="8"/>
  <c r="GB8" i="8" s="1"/>
  <c r="GK8" i="8"/>
  <c r="FY9" i="8"/>
  <c r="FZ9" i="8"/>
  <c r="GA9" i="8"/>
  <c r="GK9" i="8"/>
  <c r="FY10" i="8"/>
  <c r="GK10" i="8"/>
  <c r="FY11" i="8"/>
  <c r="FZ11" i="8"/>
  <c r="GA11" i="8"/>
  <c r="GG11" i="8" s="1"/>
  <c r="GK11" i="8"/>
  <c r="FY12" i="8"/>
  <c r="FZ12" i="8"/>
  <c r="GA12" i="8"/>
  <c r="GE12" i="8" s="1"/>
  <c r="GK12" i="8"/>
  <c r="FY13" i="8"/>
  <c r="FZ13" i="8"/>
  <c r="GA13" i="8"/>
  <c r="GC13" i="8" s="1"/>
  <c r="GK13" i="8"/>
  <c r="FY14" i="8"/>
  <c r="FY15" i="8"/>
  <c r="FZ15" i="8"/>
  <c r="GA15" i="8"/>
  <c r="GG15" i="8" s="1"/>
  <c r="GK15" i="8"/>
  <c r="FY16" i="8"/>
  <c r="FZ16" i="8"/>
  <c r="GA16" i="8"/>
  <c r="GE16" i="8" s="1"/>
  <c r="GK16" i="8"/>
  <c r="FY17" i="8"/>
  <c r="FZ17" i="8"/>
  <c r="GK17" i="8"/>
  <c r="FY18" i="8"/>
  <c r="GK18" i="8"/>
  <c r="FY19" i="8"/>
  <c r="FZ19" i="8"/>
  <c r="GA19" i="8"/>
  <c r="GK19" i="8"/>
  <c r="FY20" i="8"/>
  <c r="FZ20" i="8"/>
  <c r="GA20" i="8"/>
  <c r="GD20" i="8" s="1"/>
  <c r="GK20" i="8"/>
  <c r="FY21" i="8"/>
  <c r="FZ21" i="8"/>
  <c r="GK21" i="8"/>
  <c r="FY22" i="8"/>
  <c r="FY23" i="8"/>
  <c r="FZ23" i="8"/>
  <c r="GA23" i="8"/>
  <c r="GE23" i="8" s="1"/>
  <c r="GK23" i="8"/>
  <c r="FY24" i="8"/>
  <c r="FZ24" i="8"/>
  <c r="GA24" i="8"/>
  <c r="GG24" i="8" s="1"/>
  <c r="GK24" i="8"/>
  <c r="FY25" i="8"/>
  <c r="FZ25" i="8"/>
  <c r="GK25" i="8"/>
  <c r="FY26" i="8"/>
  <c r="FZ26" i="8"/>
  <c r="GA26" i="8"/>
  <c r="GE26" i="8" s="1"/>
  <c r="GK26" i="8"/>
  <c r="FY27" i="8"/>
  <c r="FZ27" i="8"/>
  <c r="GA27" i="8"/>
  <c r="GF27" i="8" s="1"/>
  <c r="GK27" i="8"/>
  <c r="FY28" i="8"/>
  <c r="FZ28" i="8"/>
  <c r="GA28" i="8"/>
  <c r="GB28" i="8" s="1"/>
  <c r="GK28" i="8"/>
  <c r="FY29" i="8"/>
  <c r="FZ29" i="8"/>
  <c r="GK29" i="8"/>
  <c r="FY30" i="8"/>
  <c r="FZ30" i="8"/>
  <c r="GA30" i="8"/>
  <c r="GE30" i="8" s="1"/>
  <c r="GK30" i="8"/>
  <c r="FY31" i="8"/>
  <c r="FZ31" i="8"/>
  <c r="GA31" i="8"/>
  <c r="GG31" i="8" s="1"/>
  <c r="GK31" i="8"/>
  <c r="FY32" i="8"/>
  <c r="FZ32" i="8"/>
  <c r="GA32" i="8"/>
  <c r="GD32" i="8" s="1"/>
  <c r="GK32" i="8"/>
  <c r="FZ33" i="8"/>
  <c r="GK33" i="8"/>
  <c r="FY34" i="8"/>
  <c r="FZ34" i="8"/>
  <c r="GA34" i="8"/>
  <c r="GE34" i="8" s="1"/>
  <c r="GK34" i="8"/>
  <c r="FY35" i="8"/>
  <c r="FZ35" i="8"/>
  <c r="GA35" i="8"/>
  <c r="GK35" i="8"/>
  <c r="FY36" i="8"/>
  <c r="FZ36" i="8"/>
  <c r="GA36" i="8"/>
  <c r="GD36" i="8" s="1"/>
  <c r="GK36" i="8"/>
  <c r="FY37" i="8"/>
  <c r="FZ37" i="8"/>
  <c r="GK37" i="8"/>
  <c r="FY38" i="8"/>
  <c r="FZ38" i="8"/>
  <c r="GA38" i="8"/>
  <c r="GB38" i="8" s="1"/>
  <c r="GK38" i="8"/>
  <c r="FY39" i="8"/>
  <c r="FZ39" i="8"/>
  <c r="GA39" i="8"/>
  <c r="GB39" i="8" s="1"/>
  <c r="GK39" i="8"/>
  <c r="FY40" i="8"/>
  <c r="FZ40" i="8"/>
  <c r="GA40" i="8"/>
  <c r="GB40" i="8" s="1"/>
  <c r="GK40" i="8"/>
  <c r="FY41" i="8"/>
  <c r="FZ41" i="8"/>
  <c r="GA41" i="8"/>
  <c r="GK41" i="8"/>
  <c r="FY42" i="8"/>
  <c r="FZ42" i="8"/>
  <c r="GA42" i="8"/>
  <c r="GC42" i="8" s="1"/>
  <c r="GK42" i="8"/>
  <c r="FY43" i="8"/>
  <c r="FZ43" i="8"/>
  <c r="GA43" i="8"/>
  <c r="GB43" i="8" s="1"/>
  <c r="GK43" i="8"/>
  <c r="FY44" i="8"/>
  <c r="FZ44" i="8"/>
  <c r="GA44" i="8"/>
  <c r="GD44" i="8" s="1"/>
  <c r="GK44" i="8"/>
  <c r="FY45" i="8"/>
  <c r="FZ45" i="8"/>
  <c r="GA45" i="8"/>
  <c r="GG45" i="8" s="1"/>
  <c r="FY46" i="8"/>
  <c r="FY47" i="8"/>
  <c r="FZ47" i="8"/>
  <c r="GA47" i="8"/>
  <c r="GK47" i="8"/>
  <c r="FY48" i="8"/>
  <c r="FZ48" i="8"/>
  <c r="GA48" i="8"/>
  <c r="GK48" i="8"/>
  <c r="FY49" i="8"/>
  <c r="FZ49" i="8"/>
  <c r="GA49" i="8"/>
  <c r="GE49" i="8" s="1"/>
  <c r="GK49" i="8"/>
  <c r="FY50" i="8"/>
  <c r="FZ50" i="8"/>
  <c r="GA50" i="8"/>
  <c r="GB50" i="8" s="1"/>
  <c r="GK50" i="8"/>
  <c r="FY51" i="8"/>
  <c r="FZ51" i="8"/>
  <c r="GA51" i="8"/>
  <c r="GG51" i="8" s="1"/>
  <c r="GK51" i="8"/>
  <c r="FY52" i="8"/>
  <c r="FZ52" i="8"/>
  <c r="GA52" i="8"/>
  <c r="GF52" i="8" s="1"/>
  <c r="GK52" i="8"/>
  <c r="FY53" i="8"/>
  <c r="FZ53" i="8"/>
  <c r="GA53" i="8"/>
  <c r="GC53" i="8" s="1"/>
  <c r="GK53" i="8"/>
  <c r="FY54" i="8"/>
  <c r="FZ54" i="8"/>
  <c r="GA54" i="8"/>
  <c r="GB54" i="8" s="1"/>
  <c r="GK54" i="8"/>
  <c r="FY55" i="8"/>
  <c r="FZ55" i="8"/>
  <c r="GA55" i="8"/>
  <c r="GG55" i="8" s="1"/>
  <c r="GK55" i="8"/>
  <c r="FY4" i="8"/>
  <c r="FZ4" i="8"/>
  <c r="GA4" i="8"/>
  <c r="GG4" i="8" s="1"/>
  <c r="GK4" i="8"/>
  <c r="FY5" i="8"/>
  <c r="FZ5" i="8"/>
  <c r="GA5" i="8"/>
  <c r="GG5" i="8" s="1"/>
  <c r="GK5" i="8"/>
  <c r="FY6" i="8"/>
  <c r="GK3" i="8"/>
  <c r="FZ3" i="8"/>
  <c r="FY3" i="8"/>
  <c r="FJ4" i="8"/>
  <c r="FK4" i="8"/>
  <c r="FL4" i="8"/>
  <c r="FR4" i="8" s="1"/>
  <c r="FV4" i="8"/>
  <c r="FJ5" i="8"/>
  <c r="FK5" i="8"/>
  <c r="FL5" i="8"/>
  <c r="FN5" i="8" s="1"/>
  <c r="FV5" i="8"/>
  <c r="FJ6" i="8"/>
  <c r="FJ7" i="8"/>
  <c r="FK7" i="8"/>
  <c r="FL7" i="8"/>
  <c r="FV7" i="8"/>
  <c r="FJ8" i="8"/>
  <c r="FK8" i="8"/>
  <c r="FL8" i="8"/>
  <c r="FP8" i="8" s="1"/>
  <c r="FV8" i="8"/>
  <c r="FJ9" i="8"/>
  <c r="FK9" i="8"/>
  <c r="FL9" i="8"/>
  <c r="FO9" i="8" s="1"/>
  <c r="FV9" i="8"/>
  <c r="FJ10" i="8"/>
  <c r="FJ11" i="8"/>
  <c r="FK11" i="8"/>
  <c r="FL11" i="8"/>
  <c r="FN11" i="8" s="1"/>
  <c r="FV11" i="8"/>
  <c r="FJ12" i="8"/>
  <c r="FK12" i="8"/>
  <c r="FL12" i="8"/>
  <c r="FV12" i="8"/>
  <c r="FJ13" i="8"/>
  <c r="FK13" i="8"/>
  <c r="FL13" i="8"/>
  <c r="FM13" i="8" s="1"/>
  <c r="FV13" i="8"/>
  <c r="FJ14" i="8"/>
  <c r="FJ15" i="8"/>
  <c r="FK15" i="8"/>
  <c r="FL15" i="8"/>
  <c r="FV15" i="8"/>
  <c r="FJ16" i="8"/>
  <c r="FK16" i="8"/>
  <c r="FL16" i="8"/>
  <c r="FO16" i="8" s="1"/>
  <c r="FV16" i="8"/>
  <c r="FJ17" i="8"/>
  <c r="FK17" i="8"/>
  <c r="FL17" i="8"/>
  <c r="FN17" i="8" s="1"/>
  <c r="FV17" i="8"/>
  <c r="FJ18" i="8"/>
  <c r="FJ19" i="8"/>
  <c r="FK19" i="8"/>
  <c r="FL19" i="8"/>
  <c r="FP19" i="8" s="1"/>
  <c r="FV19" i="8"/>
  <c r="FJ20" i="8"/>
  <c r="FK20" i="8"/>
  <c r="FL20" i="8"/>
  <c r="FM20" i="8" s="1"/>
  <c r="FV20" i="8"/>
  <c r="FJ21" i="8"/>
  <c r="FK21" i="8"/>
  <c r="FL21" i="8"/>
  <c r="FN21" i="8" s="1"/>
  <c r="FV21" i="8"/>
  <c r="FJ22" i="8"/>
  <c r="FJ23" i="8"/>
  <c r="FK23" i="8"/>
  <c r="FL23" i="8"/>
  <c r="FO23" i="8" s="1"/>
  <c r="FV23" i="8"/>
  <c r="FJ24" i="8"/>
  <c r="FK24" i="8"/>
  <c r="FL24" i="8"/>
  <c r="FV24" i="8"/>
  <c r="FJ25" i="8"/>
  <c r="FK25" i="8"/>
  <c r="FL25" i="8"/>
  <c r="FP25" i="8" s="1"/>
  <c r="FV25" i="8"/>
  <c r="FJ26" i="8"/>
  <c r="FK26" i="8"/>
  <c r="FL26" i="8"/>
  <c r="FP26" i="8" s="1"/>
  <c r="FV26" i="8"/>
  <c r="FJ27" i="8"/>
  <c r="FK27" i="8"/>
  <c r="FL27" i="8"/>
  <c r="FO27" i="8" s="1"/>
  <c r="FV27" i="8"/>
  <c r="FJ28" i="8"/>
  <c r="FK28" i="8"/>
  <c r="FL28" i="8"/>
  <c r="FQ28" i="8" s="1"/>
  <c r="FV28" i="8"/>
  <c r="FJ29" i="8"/>
  <c r="FK29" i="8"/>
  <c r="FL29" i="8"/>
  <c r="FP29" i="8" s="1"/>
  <c r="FV29" i="8"/>
  <c r="FJ30" i="8"/>
  <c r="FK30" i="8"/>
  <c r="FL30" i="8"/>
  <c r="FM30" i="8" s="1"/>
  <c r="FV30" i="8"/>
  <c r="FJ31" i="8"/>
  <c r="FK31" i="8"/>
  <c r="FL31" i="8"/>
  <c r="FO31" i="8" s="1"/>
  <c r="FV31" i="8"/>
  <c r="FJ32" i="8"/>
  <c r="FK32" i="8"/>
  <c r="FL32" i="8"/>
  <c r="FQ32" i="8" s="1"/>
  <c r="FV32" i="8"/>
  <c r="FK33" i="8"/>
  <c r="FL33" i="8"/>
  <c r="FM33" i="8" s="1"/>
  <c r="FV33" i="8"/>
  <c r="FJ34" i="8"/>
  <c r="FK34" i="8"/>
  <c r="FL34" i="8"/>
  <c r="FR34" i="8" s="1"/>
  <c r="FV34" i="8"/>
  <c r="FJ35" i="8"/>
  <c r="FK35" i="8"/>
  <c r="FL35" i="8"/>
  <c r="FO35" i="8" s="1"/>
  <c r="FV35" i="8"/>
  <c r="FJ36" i="8"/>
  <c r="FK36" i="8"/>
  <c r="FL36" i="8"/>
  <c r="FM36" i="8" s="1"/>
  <c r="FV36" i="8"/>
  <c r="FJ37" i="8"/>
  <c r="FK37" i="8"/>
  <c r="FL37" i="8"/>
  <c r="FO37" i="8" s="1"/>
  <c r="FV37" i="8"/>
  <c r="FJ38" i="8"/>
  <c r="FK38" i="8"/>
  <c r="FL38" i="8"/>
  <c r="FV38" i="8"/>
  <c r="FJ39" i="8"/>
  <c r="FK39" i="8"/>
  <c r="FL39" i="8"/>
  <c r="FO39" i="8" s="1"/>
  <c r="FV39" i="8"/>
  <c r="FJ40" i="8"/>
  <c r="FK40" i="8"/>
  <c r="FL40" i="8"/>
  <c r="FR40" i="8" s="1"/>
  <c r="FV40" i="8"/>
  <c r="FJ41" i="8"/>
  <c r="FK41" i="8"/>
  <c r="FL41" i="8"/>
  <c r="FR41" i="8" s="1"/>
  <c r="FV41" i="8"/>
  <c r="FJ42" i="8"/>
  <c r="FK42" i="8"/>
  <c r="FL42" i="8"/>
  <c r="FV42" i="8"/>
  <c r="FJ43" i="8"/>
  <c r="FK43" i="8"/>
  <c r="FL43" i="8"/>
  <c r="FO43" i="8" s="1"/>
  <c r="FV43" i="8"/>
  <c r="FJ44" i="8"/>
  <c r="FK44" i="8"/>
  <c r="FL44" i="8"/>
  <c r="FV44" i="8"/>
  <c r="FJ45" i="8"/>
  <c r="FJ46" i="8"/>
  <c r="FV46" i="8"/>
  <c r="FJ47" i="8"/>
  <c r="FK47" i="8"/>
  <c r="FL47" i="8"/>
  <c r="FV47" i="8"/>
  <c r="FJ48" i="8"/>
  <c r="FK48" i="8"/>
  <c r="FL48" i="8"/>
  <c r="FO48" i="8" s="1"/>
  <c r="FV48" i="8"/>
  <c r="FJ49" i="8"/>
  <c r="FK49" i="8"/>
  <c r="FL49" i="8"/>
  <c r="FR49" i="8" s="1"/>
  <c r="FV49" i="8"/>
  <c r="FJ50" i="8"/>
  <c r="FK50" i="8"/>
  <c r="FL50" i="8"/>
  <c r="FV50" i="8"/>
  <c r="FJ51" i="8"/>
  <c r="FK51" i="8"/>
  <c r="FL51" i="8"/>
  <c r="FR51" i="8" s="1"/>
  <c r="FV51" i="8"/>
  <c r="FJ52" i="8"/>
  <c r="FK52" i="8"/>
  <c r="FL52" i="8"/>
  <c r="FV52" i="8"/>
  <c r="FJ53" i="8"/>
  <c r="FK53" i="8"/>
  <c r="FL53" i="8"/>
  <c r="FP53" i="8" s="1"/>
  <c r="FV53" i="8"/>
  <c r="FJ54" i="8"/>
  <c r="FK54" i="8"/>
  <c r="FL54" i="8"/>
  <c r="FP54" i="8" s="1"/>
  <c r="FV54" i="8"/>
  <c r="FJ55" i="8"/>
  <c r="FK55" i="8"/>
  <c r="FL55" i="8"/>
  <c r="FR55" i="8" s="1"/>
  <c r="FV55" i="8"/>
  <c r="FV3" i="8"/>
  <c r="FK3" i="8"/>
  <c r="FJ3" i="8"/>
  <c r="EU4" i="8"/>
  <c r="EV4" i="8"/>
  <c r="EW4" i="8"/>
  <c r="EY4" i="8" s="1"/>
  <c r="FG4" i="8"/>
  <c r="EU5" i="8"/>
  <c r="EV5" i="8"/>
  <c r="EW5" i="8"/>
  <c r="FG5" i="8"/>
  <c r="EU6" i="8"/>
  <c r="EU7" i="8"/>
  <c r="EV7" i="8"/>
  <c r="EW7" i="8"/>
  <c r="FG7" i="8"/>
  <c r="EU8" i="8"/>
  <c r="EV8" i="8"/>
  <c r="EW8" i="8"/>
  <c r="FG8" i="8"/>
  <c r="EU9" i="8"/>
  <c r="EV9" i="8"/>
  <c r="EW9" i="8"/>
  <c r="FC9" i="8" s="1"/>
  <c r="FG9" i="8"/>
  <c r="EU10" i="8"/>
  <c r="EU11" i="8"/>
  <c r="EV11" i="8"/>
  <c r="EW11" i="8"/>
  <c r="FC11" i="8" s="1"/>
  <c r="FG11" i="8"/>
  <c r="EU12" i="8"/>
  <c r="EV12" i="8"/>
  <c r="EW12" i="8"/>
  <c r="EZ12" i="8" s="1"/>
  <c r="FG12" i="8"/>
  <c r="EU13" i="8"/>
  <c r="EV13" i="8"/>
  <c r="EW13" i="8"/>
  <c r="FB13" i="8" s="1"/>
  <c r="FG13" i="8"/>
  <c r="EU14" i="8"/>
  <c r="EU15" i="8"/>
  <c r="EV15" i="8"/>
  <c r="EW15" i="8"/>
  <c r="FA15" i="8" s="1"/>
  <c r="FG15" i="8"/>
  <c r="EU16" i="8"/>
  <c r="EV16" i="8"/>
  <c r="EW16" i="8"/>
  <c r="EZ16" i="8" s="1"/>
  <c r="FG16" i="8"/>
  <c r="EU17" i="8"/>
  <c r="EV17" i="8"/>
  <c r="EW17" i="8"/>
  <c r="FG17" i="8"/>
  <c r="EU18" i="8"/>
  <c r="EU19" i="8"/>
  <c r="EV19" i="8"/>
  <c r="EW19" i="8"/>
  <c r="FG19" i="8"/>
  <c r="EU20" i="8"/>
  <c r="EV20" i="8"/>
  <c r="EW20" i="8"/>
  <c r="EX20" i="8" s="1"/>
  <c r="FG20" i="8"/>
  <c r="EU21" i="8"/>
  <c r="EV21" i="8"/>
  <c r="EW21" i="8"/>
  <c r="FG21" i="8"/>
  <c r="EU22" i="8"/>
  <c r="FG22" i="8"/>
  <c r="EU23" i="8"/>
  <c r="EV23" i="8"/>
  <c r="EW23" i="8"/>
  <c r="FC23" i="8" s="1"/>
  <c r="FG23" i="8"/>
  <c r="EU24" i="8"/>
  <c r="EV24" i="8"/>
  <c r="EW24" i="8"/>
  <c r="FC24" i="8" s="1"/>
  <c r="FG24" i="8"/>
  <c r="EU25" i="8"/>
  <c r="EV25" i="8"/>
  <c r="EW25" i="8"/>
  <c r="FB25" i="8" s="1"/>
  <c r="FG25" i="8"/>
  <c r="EU26" i="8"/>
  <c r="EV26" i="8"/>
  <c r="EW26" i="8"/>
  <c r="EY26" i="8" s="1"/>
  <c r="FG26" i="8"/>
  <c r="EU27" i="8"/>
  <c r="EV27" i="8"/>
  <c r="EW27" i="8"/>
  <c r="FB27" i="8" s="1"/>
  <c r="FG27" i="8"/>
  <c r="EU28" i="8"/>
  <c r="EV28" i="8"/>
  <c r="EW28" i="8"/>
  <c r="EZ28" i="8" s="1"/>
  <c r="FG28" i="8"/>
  <c r="EU29" i="8"/>
  <c r="EV29" i="8"/>
  <c r="EW29" i="8"/>
  <c r="EZ29" i="8" s="1"/>
  <c r="FG29" i="8"/>
  <c r="EU30" i="8"/>
  <c r="EV30" i="8"/>
  <c r="EW30" i="8"/>
  <c r="EY30" i="8" s="1"/>
  <c r="FG30" i="8"/>
  <c r="EU31" i="8"/>
  <c r="EV31" i="8"/>
  <c r="EW31" i="8"/>
  <c r="EX31" i="8" s="1"/>
  <c r="FG31" i="8"/>
  <c r="EU32" i="8"/>
  <c r="EV32" i="8"/>
  <c r="EW32" i="8"/>
  <c r="EZ32" i="8" s="1"/>
  <c r="FG32" i="8"/>
  <c r="EV33" i="8"/>
  <c r="EW33" i="8"/>
  <c r="FB33" i="8" s="1"/>
  <c r="FG33" i="8"/>
  <c r="EU34" i="8"/>
  <c r="EV34" i="8"/>
  <c r="EW34" i="8"/>
  <c r="FA34" i="8" s="1"/>
  <c r="FG34" i="8"/>
  <c r="EU35" i="8"/>
  <c r="EV35" i="8"/>
  <c r="EW35" i="8"/>
  <c r="EZ35" i="8" s="1"/>
  <c r="FG35" i="8"/>
  <c r="EU36" i="8"/>
  <c r="EV36" i="8"/>
  <c r="EW36" i="8"/>
  <c r="EZ36" i="8" s="1"/>
  <c r="FG36" i="8"/>
  <c r="EU37" i="8"/>
  <c r="EV37" i="8"/>
  <c r="EW37" i="8"/>
  <c r="FG37" i="8"/>
  <c r="EU38" i="8"/>
  <c r="EV38" i="8"/>
  <c r="EW38" i="8"/>
  <c r="FC38" i="8" s="1"/>
  <c r="FG38" i="8"/>
  <c r="EU39" i="8"/>
  <c r="EV39" i="8"/>
  <c r="EW39" i="8"/>
  <c r="FA39" i="8" s="1"/>
  <c r="FG39" i="8"/>
  <c r="EU40" i="8"/>
  <c r="EV40" i="8"/>
  <c r="EW40" i="8"/>
  <c r="FA40" i="8" s="1"/>
  <c r="FG40" i="8"/>
  <c r="EU41" i="8"/>
  <c r="EV41" i="8"/>
  <c r="EW41" i="8"/>
  <c r="FG41" i="8"/>
  <c r="EU42" i="8"/>
  <c r="EV42" i="8"/>
  <c r="EW42" i="8"/>
  <c r="EY42" i="8" s="1"/>
  <c r="FG42" i="8"/>
  <c r="EU43" i="8"/>
  <c r="EV43" i="8"/>
  <c r="EW43" i="8"/>
  <c r="EX43" i="8" s="1"/>
  <c r="FG43" i="8"/>
  <c r="EU44" i="8"/>
  <c r="EV44" i="8"/>
  <c r="EW44" i="8"/>
  <c r="FG44" i="8"/>
  <c r="EU45" i="8"/>
  <c r="EU46" i="8"/>
  <c r="EU47" i="8"/>
  <c r="EV47" i="8"/>
  <c r="EW47" i="8"/>
  <c r="EX47" i="8" s="1"/>
  <c r="FG47" i="8"/>
  <c r="EU48" i="8"/>
  <c r="EV48" i="8"/>
  <c r="EW48" i="8"/>
  <c r="EY48" i="8" s="1"/>
  <c r="FG48" i="8"/>
  <c r="EU49" i="8"/>
  <c r="EV49" i="8"/>
  <c r="EW49" i="8"/>
  <c r="FC49" i="8" s="1"/>
  <c r="FG49" i="8"/>
  <c r="EU50" i="8"/>
  <c r="EV50" i="8"/>
  <c r="EW50" i="8"/>
  <c r="EX50" i="8" s="1"/>
  <c r="FG50" i="8"/>
  <c r="EU51" i="8"/>
  <c r="EV51" i="8"/>
  <c r="EW51" i="8"/>
  <c r="EY51" i="8" s="1"/>
  <c r="FG51" i="8"/>
  <c r="EU52" i="8"/>
  <c r="EV52" i="8"/>
  <c r="EW52" i="8"/>
  <c r="EY52" i="8" s="1"/>
  <c r="FG52" i="8"/>
  <c r="EU53" i="8"/>
  <c r="EV53" i="8"/>
  <c r="EW53" i="8"/>
  <c r="EX53" i="8" s="1"/>
  <c r="FG53" i="8"/>
  <c r="EU54" i="8"/>
  <c r="EV54" i="8"/>
  <c r="EW54" i="8"/>
  <c r="FC54" i="8" s="1"/>
  <c r="FG54" i="8"/>
  <c r="EU55" i="8"/>
  <c r="EV55" i="8"/>
  <c r="EW55" i="8"/>
  <c r="FB55" i="8" s="1"/>
  <c r="FG55" i="8"/>
  <c r="FG3" i="8"/>
  <c r="EV3" i="8"/>
  <c r="EU3" i="8"/>
  <c r="EF4" i="8"/>
  <c r="EG4" i="8"/>
  <c r="EH4" i="8"/>
  <c r="EI4" i="8" s="1"/>
  <c r="ER4" i="8"/>
  <c r="EF5" i="8"/>
  <c r="EG5" i="8"/>
  <c r="EH5" i="8"/>
  <c r="EI5" i="8" s="1"/>
  <c r="ER5" i="8"/>
  <c r="EF6" i="8"/>
  <c r="EF7" i="8"/>
  <c r="EG7" i="8"/>
  <c r="EH7" i="8"/>
  <c r="EM7" i="8" s="1"/>
  <c r="ER7" i="8"/>
  <c r="EF8" i="8"/>
  <c r="EG8" i="8"/>
  <c r="EH8" i="8"/>
  <c r="EN8" i="8" s="1"/>
  <c r="ER8" i="8"/>
  <c r="EF9" i="8"/>
  <c r="EG9" i="8"/>
  <c r="EH9" i="8"/>
  <c r="EK9" i="8" s="1"/>
  <c r="ER9" i="8"/>
  <c r="EF10" i="8"/>
  <c r="EF11" i="8"/>
  <c r="EG11" i="8"/>
  <c r="EH11" i="8"/>
  <c r="EI11" i="8" s="1"/>
  <c r="ER11" i="8"/>
  <c r="EF12" i="8"/>
  <c r="EG12" i="8"/>
  <c r="EH12" i="8"/>
  <c r="EI12" i="8" s="1"/>
  <c r="ER12" i="8"/>
  <c r="EF13" i="8"/>
  <c r="EG13" i="8"/>
  <c r="EH13" i="8"/>
  <c r="ER13" i="8"/>
  <c r="EF14" i="8"/>
  <c r="EF15" i="8"/>
  <c r="EG15" i="8"/>
  <c r="EH15" i="8"/>
  <c r="EL15" i="8" s="1"/>
  <c r="ER15" i="8"/>
  <c r="EF16" i="8"/>
  <c r="EG16" i="8"/>
  <c r="EH16" i="8"/>
  <c r="EI16" i="8" s="1"/>
  <c r="ER16" i="8"/>
  <c r="EF17" i="8"/>
  <c r="EG17" i="8"/>
  <c r="EH17" i="8"/>
  <c r="EK17" i="8" s="1"/>
  <c r="ER17" i="8"/>
  <c r="EF18" i="8"/>
  <c r="EF19" i="8"/>
  <c r="EG19" i="8"/>
  <c r="EH19" i="8"/>
  <c r="EL19" i="8" s="1"/>
  <c r="ER19" i="8"/>
  <c r="EF20" i="8"/>
  <c r="EG20" i="8"/>
  <c r="EH20" i="8"/>
  <c r="EN20" i="8" s="1"/>
  <c r="ER20" i="8"/>
  <c r="EF21" i="8"/>
  <c r="EG21" i="8"/>
  <c r="EH21" i="8"/>
  <c r="EI21" i="8" s="1"/>
  <c r="ER21" i="8"/>
  <c r="EF22" i="8"/>
  <c r="EF23" i="8"/>
  <c r="EG23" i="8"/>
  <c r="EH23" i="8"/>
  <c r="EM23" i="8" s="1"/>
  <c r="ER23" i="8"/>
  <c r="EF24" i="8"/>
  <c r="EG24" i="8"/>
  <c r="EH24" i="8"/>
  <c r="EI24" i="8" s="1"/>
  <c r="ER24" i="8"/>
  <c r="EF25" i="8"/>
  <c r="EG25" i="8"/>
  <c r="EH25" i="8"/>
  <c r="EJ25" i="8" s="1"/>
  <c r="ER25" i="8"/>
  <c r="EF26" i="8"/>
  <c r="EG26" i="8"/>
  <c r="EH26" i="8"/>
  <c r="EI26" i="8" s="1"/>
  <c r="ER26" i="8"/>
  <c r="EF27" i="8"/>
  <c r="EG27" i="8"/>
  <c r="EH27" i="8"/>
  <c r="EK27" i="8" s="1"/>
  <c r="ER27" i="8"/>
  <c r="EF28" i="8"/>
  <c r="EG28" i="8"/>
  <c r="EH28" i="8"/>
  <c r="EN28" i="8" s="1"/>
  <c r="ER28" i="8"/>
  <c r="EF29" i="8"/>
  <c r="EG29" i="8"/>
  <c r="EH29" i="8"/>
  <c r="EK29" i="8" s="1"/>
  <c r="ER29" i="8"/>
  <c r="EF30" i="8"/>
  <c r="EG30" i="8"/>
  <c r="EH30" i="8"/>
  <c r="EL30" i="8" s="1"/>
  <c r="ER30" i="8"/>
  <c r="EF31" i="8"/>
  <c r="EG31" i="8"/>
  <c r="EH31" i="8"/>
  <c r="EK31" i="8" s="1"/>
  <c r="ER31" i="8"/>
  <c r="EF32" i="8"/>
  <c r="EG32" i="8"/>
  <c r="EH32" i="8"/>
  <c r="EM32" i="8" s="1"/>
  <c r="ER32" i="8"/>
  <c r="EG33" i="8"/>
  <c r="EH33" i="8"/>
  <c r="EI33" i="8" s="1"/>
  <c r="ER33" i="8"/>
  <c r="EF34" i="8"/>
  <c r="EG34" i="8"/>
  <c r="EH34" i="8"/>
  <c r="EI34" i="8" s="1"/>
  <c r="ER34" i="8"/>
  <c r="EF35" i="8"/>
  <c r="EG35" i="8"/>
  <c r="EH35" i="8"/>
  <c r="EL35" i="8" s="1"/>
  <c r="ER35" i="8"/>
  <c r="EF36" i="8"/>
  <c r="EG36" i="8"/>
  <c r="EH36" i="8"/>
  <c r="EM36" i="8" s="1"/>
  <c r="ER36" i="8"/>
  <c r="EF37" i="8"/>
  <c r="EG37" i="8"/>
  <c r="EH37" i="8"/>
  <c r="EK37" i="8" s="1"/>
  <c r="ER37" i="8"/>
  <c r="EF38" i="8"/>
  <c r="EG38" i="8"/>
  <c r="EH38" i="8"/>
  <c r="EI38" i="8" s="1"/>
  <c r="ER38" i="8"/>
  <c r="EF39" i="8"/>
  <c r="EG39" i="8"/>
  <c r="EH39" i="8"/>
  <c r="EK39" i="8" s="1"/>
  <c r="ER39" i="8"/>
  <c r="EF40" i="8"/>
  <c r="EG40" i="8"/>
  <c r="EH40" i="8"/>
  <c r="EM40" i="8" s="1"/>
  <c r="ER40" i="8"/>
  <c r="EF41" i="8"/>
  <c r="EG41" i="8"/>
  <c r="EH41" i="8"/>
  <c r="EN41" i="8" s="1"/>
  <c r="ER41" i="8"/>
  <c r="EF42" i="8"/>
  <c r="EG42" i="8"/>
  <c r="EH42" i="8"/>
  <c r="EI42" i="8" s="1"/>
  <c r="ER42" i="8"/>
  <c r="EF43" i="8"/>
  <c r="EG43" i="8"/>
  <c r="EH43" i="8"/>
  <c r="EK43" i="8" s="1"/>
  <c r="ER43" i="8"/>
  <c r="EF44" i="8"/>
  <c r="EG44" i="8"/>
  <c r="EH44" i="8"/>
  <c r="EN44" i="8" s="1"/>
  <c r="ER44" i="8"/>
  <c r="EF45" i="8"/>
  <c r="EF46" i="8"/>
  <c r="EF47" i="8"/>
  <c r="EG47" i="8"/>
  <c r="EH47" i="8"/>
  <c r="EM47" i="8" s="1"/>
  <c r="ER47" i="8"/>
  <c r="EF48" i="8"/>
  <c r="EG48" i="8"/>
  <c r="EH48" i="8"/>
  <c r="EN48" i="8" s="1"/>
  <c r="ER48" i="8"/>
  <c r="EF49" i="8"/>
  <c r="EG49" i="8"/>
  <c r="EH49" i="8"/>
  <c r="EI49" i="8" s="1"/>
  <c r="ER49" i="8"/>
  <c r="EF50" i="8"/>
  <c r="EG50" i="8"/>
  <c r="EH50" i="8"/>
  <c r="ER50" i="8"/>
  <c r="EF51" i="8"/>
  <c r="EG51" i="8"/>
  <c r="EH51" i="8"/>
  <c r="EL51" i="8" s="1"/>
  <c r="ER51" i="8"/>
  <c r="EF52" i="8"/>
  <c r="EG52" i="8"/>
  <c r="EH52" i="8"/>
  <c r="EM52" i="8" s="1"/>
  <c r="ER52" i="8"/>
  <c r="EF53" i="8"/>
  <c r="EG53" i="8"/>
  <c r="EH53" i="8"/>
  <c r="EN53" i="8" s="1"/>
  <c r="ER53" i="8"/>
  <c r="EF54" i="8"/>
  <c r="EG54" i="8"/>
  <c r="ER54" i="8"/>
  <c r="EF55" i="8"/>
  <c r="EG55" i="8"/>
  <c r="EH55" i="8"/>
  <c r="EK55" i="8" s="1"/>
  <c r="ER55" i="8"/>
  <c r="ER3" i="8"/>
  <c r="EG3" i="8"/>
  <c r="EF3" i="8"/>
  <c r="DQ7" i="8"/>
  <c r="DR7" i="8"/>
  <c r="DS7" i="8"/>
  <c r="DX7" i="8" s="1"/>
  <c r="EC7" i="8"/>
  <c r="DQ8" i="8"/>
  <c r="DR8" i="8"/>
  <c r="DS8" i="8"/>
  <c r="DV8" i="8" s="1"/>
  <c r="EC8" i="8"/>
  <c r="DQ9" i="8"/>
  <c r="DR9" i="8"/>
  <c r="DS9" i="8"/>
  <c r="EC9" i="8"/>
  <c r="DQ10" i="8"/>
  <c r="DQ11" i="8"/>
  <c r="DR11" i="8"/>
  <c r="DS11" i="8"/>
  <c r="EC11" i="8"/>
  <c r="DQ12" i="8"/>
  <c r="DR12" i="8"/>
  <c r="DS12" i="8"/>
  <c r="DT12" i="8" s="1"/>
  <c r="EC12" i="8"/>
  <c r="DQ13" i="8"/>
  <c r="DR13" i="8"/>
  <c r="DS13" i="8"/>
  <c r="DT13" i="8" s="1"/>
  <c r="EC13" i="8"/>
  <c r="DQ14" i="8"/>
  <c r="DQ15" i="8"/>
  <c r="DR15" i="8"/>
  <c r="DS15" i="8"/>
  <c r="DU15" i="8" s="1"/>
  <c r="EC15" i="8"/>
  <c r="DQ16" i="8"/>
  <c r="DR16" i="8"/>
  <c r="DS16" i="8"/>
  <c r="DY16" i="8" s="1"/>
  <c r="EC16" i="8"/>
  <c r="DQ17" i="8"/>
  <c r="DR17" i="8"/>
  <c r="DS17" i="8"/>
  <c r="DT17" i="8" s="1"/>
  <c r="EC17" i="8"/>
  <c r="DQ18" i="8"/>
  <c r="DQ19" i="8"/>
  <c r="DR19" i="8"/>
  <c r="DS19" i="8"/>
  <c r="DX19" i="8" s="1"/>
  <c r="EC19" i="8"/>
  <c r="DQ20" i="8"/>
  <c r="DR20" i="8"/>
  <c r="DS20" i="8"/>
  <c r="EC20" i="8"/>
  <c r="DQ21" i="8"/>
  <c r="DR21" i="8"/>
  <c r="DS21" i="8"/>
  <c r="DT21" i="8" s="1"/>
  <c r="EC21" i="8"/>
  <c r="DQ22" i="8"/>
  <c r="DQ23" i="8"/>
  <c r="DR23" i="8"/>
  <c r="DS23" i="8"/>
  <c r="DX23" i="8" s="1"/>
  <c r="EC23" i="8"/>
  <c r="DQ24" i="8"/>
  <c r="DR24" i="8"/>
  <c r="DS24" i="8"/>
  <c r="DV24" i="8" s="1"/>
  <c r="EC24" i="8"/>
  <c r="DQ25" i="8"/>
  <c r="DR25" i="8"/>
  <c r="EC25" i="8"/>
  <c r="DQ26" i="8"/>
  <c r="DR26" i="8"/>
  <c r="DS26" i="8"/>
  <c r="DV26" i="8" s="1"/>
  <c r="EC26" i="8"/>
  <c r="DQ27" i="8"/>
  <c r="DR27" i="8"/>
  <c r="DS27" i="8"/>
  <c r="DY27" i="8" s="1"/>
  <c r="EC27" i="8"/>
  <c r="DQ28" i="8"/>
  <c r="DR28" i="8"/>
  <c r="DS28" i="8"/>
  <c r="DT28" i="8" s="1"/>
  <c r="EC28" i="8"/>
  <c r="DQ29" i="8"/>
  <c r="DR29" i="8"/>
  <c r="DS29" i="8"/>
  <c r="DV29" i="8" s="1"/>
  <c r="EC29" i="8"/>
  <c r="DQ30" i="8"/>
  <c r="DR30" i="8"/>
  <c r="DS30" i="8"/>
  <c r="DV30" i="8" s="1"/>
  <c r="EC30" i="8"/>
  <c r="DQ31" i="8"/>
  <c r="DR31" i="8"/>
  <c r="DS31" i="8"/>
  <c r="DX31" i="8" s="1"/>
  <c r="EC31" i="8"/>
  <c r="DQ32" i="8"/>
  <c r="DR32" i="8"/>
  <c r="DS32" i="8"/>
  <c r="DT32" i="8" s="1"/>
  <c r="EC32" i="8"/>
  <c r="DR33" i="8"/>
  <c r="EC33" i="8"/>
  <c r="DQ34" i="8"/>
  <c r="DR34" i="8"/>
  <c r="DS34" i="8"/>
  <c r="DV34" i="8" s="1"/>
  <c r="EC34" i="8"/>
  <c r="DQ35" i="8"/>
  <c r="DR35" i="8"/>
  <c r="DS35" i="8"/>
  <c r="DX35" i="8" s="1"/>
  <c r="EC35" i="8"/>
  <c r="DQ36" i="8"/>
  <c r="DR36" i="8"/>
  <c r="DS36" i="8"/>
  <c r="DY36" i="8" s="1"/>
  <c r="EC36" i="8"/>
  <c r="DQ37" i="8"/>
  <c r="DR37" i="8"/>
  <c r="DS37" i="8"/>
  <c r="DT37" i="8" s="1"/>
  <c r="EC37" i="8"/>
  <c r="DQ38" i="8"/>
  <c r="DR38" i="8"/>
  <c r="DS38" i="8"/>
  <c r="DV38" i="8" s="1"/>
  <c r="EC38" i="8"/>
  <c r="DQ39" i="8"/>
  <c r="DR39" i="8"/>
  <c r="DS39" i="8"/>
  <c r="DX39" i="8" s="1"/>
  <c r="EC39" i="8"/>
  <c r="DQ40" i="8"/>
  <c r="DR40" i="8"/>
  <c r="DS40" i="8"/>
  <c r="DV40" i="8" s="1"/>
  <c r="EC40" i="8"/>
  <c r="DQ41" i="8"/>
  <c r="DR41" i="8"/>
  <c r="EC41" i="8"/>
  <c r="DQ42" i="8"/>
  <c r="DR42" i="8"/>
  <c r="DS42" i="8"/>
  <c r="DV42" i="8" s="1"/>
  <c r="EC42" i="8"/>
  <c r="DQ43" i="8"/>
  <c r="DR43" i="8"/>
  <c r="DS43" i="8"/>
  <c r="DX43" i="8" s="1"/>
  <c r="EC43" i="8"/>
  <c r="DQ44" i="8"/>
  <c r="DR44" i="8"/>
  <c r="DS44" i="8"/>
  <c r="DT44" i="8" s="1"/>
  <c r="EC44" i="8"/>
  <c r="DQ45" i="8"/>
  <c r="DQ46" i="8"/>
  <c r="DQ47" i="8"/>
  <c r="DR47" i="8"/>
  <c r="DS47" i="8"/>
  <c r="DY47" i="8" s="1"/>
  <c r="EC47" i="8"/>
  <c r="DQ48" i="8"/>
  <c r="DR48" i="8"/>
  <c r="DS48" i="8"/>
  <c r="DT48" i="8" s="1"/>
  <c r="EC48" i="8"/>
  <c r="DQ49" i="8"/>
  <c r="DR49" i="8"/>
  <c r="DS49" i="8"/>
  <c r="DU49" i="8" s="1"/>
  <c r="EC49" i="8"/>
  <c r="DQ50" i="8"/>
  <c r="DR50" i="8"/>
  <c r="DS50" i="8"/>
  <c r="EC50" i="8"/>
  <c r="DQ51" i="8"/>
  <c r="DR51" i="8"/>
  <c r="DS51" i="8"/>
  <c r="DY51" i="8" s="1"/>
  <c r="EC51" i="8"/>
  <c r="DQ52" i="8"/>
  <c r="DR52" i="8"/>
  <c r="DS52" i="8"/>
  <c r="DX52" i="8" s="1"/>
  <c r="EC52" i="8"/>
  <c r="DQ53" i="8"/>
  <c r="DR53" i="8"/>
  <c r="DS53" i="8"/>
  <c r="EC53" i="8"/>
  <c r="DQ54" i="8"/>
  <c r="DR54" i="8"/>
  <c r="DS54" i="8"/>
  <c r="DV54" i="8" s="1"/>
  <c r="EC54" i="8"/>
  <c r="DQ55" i="8"/>
  <c r="DR55" i="8"/>
  <c r="DS55" i="8"/>
  <c r="DT55" i="8" s="1"/>
  <c r="EC55" i="8"/>
  <c r="DQ4" i="8"/>
  <c r="DR4" i="8"/>
  <c r="DS4" i="8"/>
  <c r="DY4" i="8" s="1"/>
  <c r="EC4" i="8"/>
  <c r="DQ5" i="8"/>
  <c r="DR5" i="8"/>
  <c r="DS5" i="8"/>
  <c r="DT5" i="8" s="1"/>
  <c r="EC5" i="8"/>
  <c r="DQ6" i="8"/>
  <c r="EC3" i="8"/>
  <c r="DR3" i="8"/>
  <c r="DQ3" i="8"/>
  <c r="DB7" i="8"/>
  <c r="DC7" i="8"/>
  <c r="DD7" i="8"/>
  <c r="DH7" i="8" s="1"/>
  <c r="DN7" i="8"/>
  <c r="DB8" i="8"/>
  <c r="DC8" i="8"/>
  <c r="DD8" i="8"/>
  <c r="DE8" i="8" s="1"/>
  <c r="DN8" i="8"/>
  <c r="DB9" i="8"/>
  <c r="DC9" i="8"/>
  <c r="DD9" i="8"/>
  <c r="DG9" i="8" s="1"/>
  <c r="DN9" i="8"/>
  <c r="DB10" i="8"/>
  <c r="DB11" i="8"/>
  <c r="DC11" i="8"/>
  <c r="DD11" i="8"/>
  <c r="DN11" i="8"/>
  <c r="DB12" i="8"/>
  <c r="DC12" i="8"/>
  <c r="DD12" i="8"/>
  <c r="DH12" i="8" s="1"/>
  <c r="DN12" i="8"/>
  <c r="DB13" i="8"/>
  <c r="DC13" i="8"/>
  <c r="DN13" i="8"/>
  <c r="DB14" i="8"/>
  <c r="DB15" i="8"/>
  <c r="DC15" i="8"/>
  <c r="DD15" i="8"/>
  <c r="DF15" i="8" s="1"/>
  <c r="DN15" i="8"/>
  <c r="DB16" i="8"/>
  <c r="DC16" i="8"/>
  <c r="DD16" i="8"/>
  <c r="DJ16" i="8" s="1"/>
  <c r="DN16" i="8"/>
  <c r="DB17" i="8"/>
  <c r="DC17" i="8"/>
  <c r="DN17" i="8"/>
  <c r="DB18" i="8"/>
  <c r="DB19" i="8"/>
  <c r="DC19" i="8"/>
  <c r="DD19" i="8"/>
  <c r="DH19" i="8" s="1"/>
  <c r="DN19" i="8"/>
  <c r="DB20" i="8"/>
  <c r="DC20" i="8"/>
  <c r="DD20" i="8"/>
  <c r="DH20" i="8" s="1"/>
  <c r="DN20" i="8"/>
  <c r="DB21" i="8"/>
  <c r="DC21" i="8"/>
  <c r="DN21" i="8"/>
  <c r="DB22" i="8"/>
  <c r="DB23" i="8"/>
  <c r="DC23" i="8"/>
  <c r="DD23" i="8"/>
  <c r="DJ23" i="8" s="1"/>
  <c r="DN23" i="8"/>
  <c r="DB24" i="8"/>
  <c r="DC24" i="8"/>
  <c r="DD24" i="8"/>
  <c r="DN24" i="8"/>
  <c r="DB25" i="8"/>
  <c r="DC25" i="8"/>
  <c r="DD25" i="8"/>
  <c r="DE25" i="8" s="1"/>
  <c r="DN25" i="8"/>
  <c r="DB26" i="8"/>
  <c r="DC26" i="8"/>
  <c r="DD26" i="8"/>
  <c r="DN26" i="8"/>
  <c r="DB27" i="8"/>
  <c r="DC27" i="8"/>
  <c r="DD27" i="8"/>
  <c r="DI27" i="8" s="1"/>
  <c r="DN27" i="8"/>
  <c r="DB28" i="8"/>
  <c r="DC28" i="8"/>
  <c r="DD28" i="8"/>
  <c r="DI28" i="8" s="1"/>
  <c r="DN28" i="8"/>
  <c r="DB29" i="8"/>
  <c r="DC29" i="8"/>
  <c r="DD29" i="8"/>
  <c r="DF29" i="8" s="1"/>
  <c r="DN29" i="8"/>
  <c r="DB30" i="8"/>
  <c r="DC30" i="8"/>
  <c r="DD30" i="8"/>
  <c r="DE30" i="8" s="1"/>
  <c r="DN30" i="8"/>
  <c r="DB31" i="8"/>
  <c r="DC31" i="8"/>
  <c r="DD31" i="8"/>
  <c r="DG31" i="8" s="1"/>
  <c r="DN31" i="8"/>
  <c r="DB32" i="8"/>
  <c r="DC32" i="8"/>
  <c r="DD32" i="8"/>
  <c r="DI32" i="8" s="1"/>
  <c r="DN32" i="8"/>
  <c r="DC33" i="8"/>
  <c r="DD33" i="8"/>
  <c r="DF33" i="8" s="1"/>
  <c r="DN33" i="8"/>
  <c r="DB34" i="8"/>
  <c r="DC34" i="8"/>
  <c r="DD34" i="8"/>
  <c r="DF34" i="8" s="1"/>
  <c r="DN34" i="8"/>
  <c r="DB35" i="8"/>
  <c r="DC35" i="8"/>
  <c r="DD35" i="8"/>
  <c r="DF35" i="8" s="1"/>
  <c r="DN35" i="8"/>
  <c r="DB36" i="8"/>
  <c r="DC36" i="8"/>
  <c r="DD36" i="8"/>
  <c r="DI36" i="8" s="1"/>
  <c r="DN36" i="8"/>
  <c r="DB37" i="8"/>
  <c r="DC37" i="8"/>
  <c r="DD37" i="8"/>
  <c r="DI37" i="8" s="1"/>
  <c r="DN37" i="8"/>
  <c r="DB38" i="8"/>
  <c r="DC38" i="8"/>
  <c r="DD38" i="8"/>
  <c r="DH38" i="8" s="1"/>
  <c r="DN38" i="8"/>
  <c r="DB39" i="8"/>
  <c r="DC39" i="8"/>
  <c r="DD39" i="8"/>
  <c r="DI39" i="8" s="1"/>
  <c r="DN39" i="8"/>
  <c r="DB40" i="8"/>
  <c r="DC40" i="8"/>
  <c r="DD40" i="8"/>
  <c r="DI40" i="8" s="1"/>
  <c r="DN40" i="8"/>
  <c r="DB41" i="8"/>
  <c r="DC41" i="8"/>
  <c r="DD41" i="8"/>
  <c r="DI41" i="8" s="1"/>
  <c r="DN41" i="8"/>
  <c r="DB42" i="8"/>
  <c r="DC42" i="8"/>
  <c r="DD42" i="8"/>
  <c r="DG42" i="8" s="1"/>
  <c r="DN42" i="8"/>
  <c r="DB43" i="8"/>
  <c r="DC43" i="8"/>
  <c r="DD43" i="8"/>
  <c r="DF43" i="8" s="1"/>
  <c r="DN43" i="8"/>
  <c r="DB44" i="8"/>
  <c r="DC44" i="8"/>
  <c r="DD44" i="8"/>
  <c r="DI44" i="8" s="1"/>
  <c r="DN44" i="8"/>
  <c r="DB45" i="8"/>
  <c r="DB46" i="8"/>
  <c r="DB47" i="8"/>
  <c r="DC47" i="8"/>
  <c r="DN47" i="8"/>
  <c r="DB48" i="8"/>
  <c r="DC48" i="8"/>
  <c r="DD48" i="8"/>
  <c r="DF48" i="8" s="1"/>
  <c r="DN48" i="8"/>
  <c r="DB49" i="8"/>
  <c r="DC49" i="8"/>
  <c r="DD49" i="8"/>
  <c r="DE49" i="8" s="1"/>
  <c r="DN49" i="8"/>
  <c r="DB50" i="8"/>
  <c r="DC50" i="8"/>
  <c r="DD50" i="8"/>
  <c r="DN50" i="8"/>
  <c r="DB51" i="8"/>
  <c r="DC51" i="8"/>
  <c r="DD51" i="8"/>
  <c r="DG51" i="8" s="1"/>
  <c r="DN51" i="8"/>
  <c r="DB52" i="8"/>
  <c r="DC52" i="8"/>
  <c r="DD52" i="8"/>
  <c r="DN52" i="8"/>
  <c r="DB53" i="8"/>
  <c r="DC53" i="8"/>
  <c r="DD53" i="8"/>
  <c r="DF53" i="8" s="1"/>
  <c r="DN53" i="8"/>
  <c r="DB54" i="8"/>
  <c r="DC54" i="8"/>
  <c r="DD54" i="8"/>
  <c r="DG54" i="8" s="1"/>
  <c r="DN54" i="8"/>
  <c r="DB55" i="8"/>
  <c r="DC55" i="8"/>
  <c r="DD55" i="8"/>
  <c r="DG55" i="8" s="1"/>
  <c r="DN55" i="8"/>
  <c r="DB4" i="8"/>
  <c r="DC4" i="8"/>
  <c r="DD4" i="8"/>
  <c r="DJ4" i="8" s="1"/>
  <c r="DN4" i="8"/>
  <c r="DB5" i="8"/>
  <c r="DC5" i="8"/>
  <c r="DD5" i="8"/>
  <c r="DE5" i="8" s="1"/>
  <c r="DN5" i="8"/>
  <c r="DB6" i="8"/>
  <c r="DN3" i="8"/>
  <c r="DC3" i="8"/>
  <c r="DB3" i="8"/>
  <c r="CY4" i="8"/>
  <c r="CY5" i="8"/>
  <c r="CY7" i="8"/>
  <c r="CY8" i="8"/>
  <c r="CY9" i="8"/>
  <c r="CY11" i="8"/>
  <c r="CY12" i="8"/>
  <c r="CY13" i="8"/>
  <c r="CY15" i="8"/>
  <c r="CY16" i="8"/>
  <c r="CY17" i="8"/>
  <c r="CY19" i="8"/>
  <c r="CY20" i="8"/>
  <c r="CY21" i="8"/>
  <c r="CY23" i="8"/>
  <c r="CY24" i="8"/>
  <c r="CY25" i="8"/>
  <c r="CY26" i="8"/>
  <c r="CY27" i="8"/>
  <c r="CY28" i="8"/>
  <c r="CY29" i="8"/>
  <c r="CY30" i="8"/>
  <c r="CY31" i="8"/>
  <c r="CY32" i="8"/>
  <c r="CY33" i="8"/>
  <c r="CY34" i="8"/>
  <c r="CY35" i="8"/>
  <c r="CY36" i="8"/>
  <c r="CY37" i="8"/>
  <c r="CY38" i="8"/>
  <c r="CY39" i="8"/>
  <c r="CY40" i="8"/>
  <c r="CY41" i="8"/>
  <c r="CY42" i="8"/>
  <c r="CY43" i="8"/>
  <c r="CY44" i="8"/>
  <c r="CY45" i="8"/>
  <c r="CY47" i="8"/>
  <c r="CY48" i="8"/>
  <c r="CY49" i="8"/>
  <c r="CY50" i="8"/>
  <c r="CY51" i="8"/>
  <c r="CY52" i="8"/>
  <c r="CY53" i="8"/>
  <c r="CY54" i="8"/>
  <c r="CY55" i="8"/>
  <c r="CY3" i="8"/>
  <c r="CM4" i="8"/>
  <c r="CN4" i="8"/>
  <c r="CO4" i="8"/>
  <c r="CQ4" i="8" s="1"/>
  <c r="CM5" i="8"/>
  <c r="CN5" i="8"/>
  <c r="CO5" i="8"/>
  <c r="CR5" i="8" s="1"/>
  <c r="CM6" i="8"/>
  <c r="CM7" i="8"/>
  <c r="CN7" i="8"/>
  <c r="CO7" i="8"/>
  <c r="CP7" i="8" s="1"/>
  <c r="CM8" i="8"/>
  <c r="CN8" i="8"/>
  <c r="CO8" i="8"/>
  <c r="CR8" i="8" s="1"/>
  <c r="CM9" i="8"/>
  <c r="CN9" i="8"/>
  <c r="CO9" i="8"/>
  <c r="CT9" i="8" s="1"/>
  <c r="CM10" i="8"/>
  <c r="CM11" i="8"/>
  <c r="CN11" i="8"/>
  <c r="CO11" i="8"/>
  <c r="CM12" i="8"/>
  <c r="CN12" i="8"/>
  <c r="CO12" i="8"/>
  <c r="CU12" i="8" s="1"/>
  <c r="CM13" i="8"/>
  <c r="CN13" i="8"/>
  <c r="CO13" i="8"/>
  <c r="CP13" i="8" s="1"/>
  <c r="CM14" i="8"/>
  <c r="CM15" i="8"/>
  <c r="CN15" i="8"/>
  <c r="CO15" i="8"/>
  <c r="CM16" i="8"/>
  <c r="CN16" i="8"/>
  <c r="CO16" i="8"/>
  <c r="CS16" i="8" s="1"/>
  <c r="CM17" i="8"/>
  <c r="CN17" i="8"/>
  <c r="CO17" i="8"/>
  <c r="CS17" i="8" s="1"/>
  <c r="CM18" i="8"/>
  <c r="CM19" i="8"/>
  <c r="CN19" i="8"/>
  <c r="CO19" i="8"/>
  <c r="CS19" i="8" s="1"/>
  <c r="CM20" i="8"/>
  <c r="CN20" i="8"/>
  <c r="CO20" i="8"/>
  <c r="CM21" i="8"/>
  <c r="CN21" i="8"/>
  <c r="CO21" i="8"/>
  <c r="CU21" i="8" s="1"/>
  <c r="CM22" i="8"/>
  <c r="CM23" i="8"/>
  <c r="CN23" i="8"/>
  <c r="CO23" i="8"/>
  <c r="CU23" i="8" s="1"/>
  <c r="CM24" i="8"/>
  <c r="CN24" i="8"/>
  <c r="CO24" i="8"/>
  <c r="CM25" i="8"/>
  <c r="CN25" i="8"/>
  <c r="CO25" i="8"/>
  <c r="CT25" i="8" s="1"/>
  <c r="CM26" i="8"/>
  <c r="CN26" i="8"/>
  <c r="CO26" i="8"/>
  <c r="CM27" i="8"/>
  <c r="CN27" i="8"/>
  <c r="CO27" i="8"/>
  <c r="CR27" i="8" s="1"/>
  <c r="CM28" i="8"/>
  <c r="CN28" i="8"/>
  <c r="CO28" i="8"/>
  <c r="CP28" i="8" s="1"/>
  <c r="CM29" i="8"/>
  <c r="CN29" i="8"/>
  <c r="CO29" i="8"/>
  <c r="CR29" i="8" s="1"/>
  <c r="CM30" i="8"/>
  <c r="CN30" i="8"/>
  <c r="CO30" i="8"/>
  <c r="CT30" i="8" s="1"/>
  <c r="CM31" i="8"/>
  <c r="CN31" i="8"/>
  <c r="CO31" i="8"/>
  <c r="CU31" i="8" s="1"/>
  <c r="CM32" i="8"/>
  <c r="CN32" i="8"/>
  <c r="CO32" i="8"/>
  <c r="CP32" i="8" s="1"/>
  <c r="CN33" i="8"/>
  <c r="CO33" i="8"/>
  <c r="CU33" i="8" s="1"/>
  <c r="CM34" i="8"/>
  <c r="CN34" i="8"/>
  <c r="CO34" i="8"/>
  <c r="CT34" i="8" s="1"/>
  <c r="CM35" i="8"/>
  <c r="CN35" i="8"/>
  <c r="CO35" i="8"/>
  <c r="CT35" i="8" s="1"/>
  <c r="CM36" i="8"/>
  <c r="CN36" i="8"/>
  <c r="CO36" i="8"/>
  <c r="CS36" i="8" s="1"/>
  <c r="CM37" i="8"/>
  <c r="CN37" i="8"/>
  <c r="CO37" i="8"/>
  <c r="CM38" i="8"/>
  <c r="CN38" i="8"/>
  <c r="CO38" i="8"/>
  <c r="CQ38" i="8" s="1"/>
  <c r="CM39" i="8"/>
  <c r="CN39" i="8"/>
  <c r="CO39" i="8"/>
  <c r="CP39" i="8" s="1"/>
  <c r="CM40" i="8"/>
  <c r="CN40" i="8"/>
  <c r="CO40" i="8"/>
  <c r="CS40" i="8" s="1"/>
  <c r="CM41" i="8"/>
  <c r="CN41" i="8"/>
  <c r="CO41" i="8"/>
  <c r="CT41" i="8" s="1"/>
  <c r="CM42" i="8"/>
  <c r="CN42" i="8"/>
  <c r="CO42" i="8"/>
  <c r="CP42" i="8" s="1"/>
  <c r="CM43" i="8"/>
  <c r="CN43" i="8"/>
  <c r="CO43" i="8"/>
  <c r="CR43" i="8" s="1"/>
  <c r="CM44" i="8"/>
  <c r="CN44" i="8"/>
  <c r="CO44" i="8"/>
  <c r="CP44" i="8" s="1"/>
  <c r="CM45" i="8"/>
  <c r="CN45" i="8"/>
  <c r="CO45" i="8"/>
  <c r="CS45" i="8" s="1"/>
  <c r="CM46" i="8"/>
  <c r="CM47" i="8"/>
  <c r="CN47" i="8"/>
  <c r="CO47" i="8"/>
  <c r="CU47" i="8" s="1"/>
  <c r="CM48" i="8"/>
  <c r="CN48" i="8"/>
  <c r="CO48" i="8"/>
  <c r="CQ48" i="8" s="1"/>
  <c r="CM49" i="8"/>
  <c r="CN49" i="8"/>
  <c r="CO49" i="8"/>
  <c r="CU49" i="8" s="1"/>
  <c r="CM50" i="8"/>
  <c r="CN50" i="8"/>
  <c r="CO50" i="8"/>
  <c r="CP50" i="8" s="1"/>
  <c r="CM51" i="8"/>
  <c r="CN51" i="8"/>
  <c r="CO51" i="8"/>
  <c r="CS51" i="8" s="1"/>
  <c r="CM52" i="8"/>
  <c r="CN52" i="8"/>
  <c r="CO52" i="8"/>
  <c r="CU52" i="8" s="1"/>
  <c r="CM53" i="8"/>
  <c r="CN53" i="8"/>
  <c r="CO53" i="8"/>
  <c r="CP53" i="8" s="1"/>
  <c r="CM54" i="8"/>
  <c r="CN54" i="8"/>
  <c r="CO54" i="8"/>
  <c r="CP54" i="8" s="1"/>
  <c r="CM55" i="8"/>
  <c r="CN55" i="8"/>
  <c r="CO55" i="8"/>
  <c r="CS55" i="8" s="1"/>
  <c r="CN3" i="8"/>
  <c r="CM3" i="8"/>
  <c r="BX7" i="8"/>
  <c r="BY7" i="8"/>
  <c r="BZ7" i="8"/>
  <c r="CE7" i="8" s="1"/>
  <c r="CJ7" i="8"/>
  <c r="BX8" i="8"/>
  <c r="BY8" i="8"/>
  <c r="BZ8" i="8"/>
  <c r="CA8" i="8" s="1"/>
  <c r="CJ8" i="8"/>
  <c r="BX9" i="8"/>
  <c r="BY9" i="8"/>
  <c r="BZ9" i="8"/>
  <c r="CC9" i="8" s="1"/>
  <c r="CJ9" i="8"/>
  <c r="BX10" i="8"/>
  <c r="BX11" i="8"/>
  <c r="BY11" i="8"/>
  <c r="BZ11" i="8"/>
  <c r="CC11" i="8" s="1"/>
  <c r="CJ11" i="8"/>
  <c r="BX12" i="8"/>
  <c r="BY12" i="8"/>
  <c r="BZ12" i="8"/>
  <c r="CD12" i="8" s="1"/>
  <c r="CJ12" i="8"/>
  <c r="BX13" i="8"/>
  <c r="BY13" i="8"/>
  <c r="BZ13" i="8"/>
  <c r="CA13" i="8" s="1"/>
  <c r="CJ13" i="8"/>
  <c r="BX14" i="8"/>
  <c r="BX15" i="8"/>
  <c r="BY15" i="8"/>
  <c r="BZ15" i="8"/>
  <c r="CD15" i="8" s="1"/>
  <c r="CJ15" i="8"/>
  <c r="BX16" i="8"/>
  <c r="BY16" i="8"/>
  <c r="BZ16" i="8"/>
  <c r="CA16" i="8" s="1"/>
  <c r="CJ16" i="8"/>
  <c r="BX17" i="8"/>
  <c r="BY17" i="8"/>
  <c r="BZ17" i="8"/>
  <c r="CF17" i="8" s="1"/>
  <c r="CJ17" i="8"/>
  <c r="BX18" i="8"/>
  <c r="BX19" i="8"/>
  <c r="BY19" i="8"/>
  <c r="BZ19" i="8"/>
  <c r="CF19" i="8" s="1"/>
  <c r="CJ19" i="8"/>
  <c r="BX20" i="8"/>
  <c r="BY20" i="8"/>
  <c r="BZ20" i="8"/>
  <c r="CA20" i="8" s="1"/>
  <c r="CJ20" i="8"/>
  <c r="BX21" i="8"/>
  <c r="BY21" i="8"/>
  <c r="BZ21" i="8"/>
  <c r="CB21" i="8" s="1"/>
  <c r="CJ21" i="8"/>
  <c r="BX22" i="8"/>
  <c r="BX23" i="8"/>
  <c r="BY23" i="8"/>
  <c r="BZ23" i="8"/>
  <c r="CC23" i="8" s="1"/>
  <c r="CJ23" i="8"/>
  <c r="BX24" i="8"/>
  <c r="BY24" i="8"/>
  <c r="BZ24" i="8"/>
  <c r="CC24" i="8" s="1"/>
  <c r="CJ24" i="8"/>
  <c r="BX25" i="8"/>
  <c r="BY25" i="8"/>
  <c r="BZ25" i="8"/>
  <c r="CC25" i="8" s="1"/>
  <c r="CJ25" i="8"/>
  <c r="BX26" i="8"/>
  <c r="BY26" i="8"/>
  <c r="BZ26" i="8"/>
  <c r="CB26" i="8" s="1"/>
  <c r="CJ26" i="8"/>
  <c r="BX27" i="8"/>
  <c r="BY27" i="8"/>
  <c r="BZ27" i="8"/>
  <c r="CD27" i="8" s="1"/>
  <c r="CJ27" i="8"/>
  <c r="BX28" i="8"/>
  <c r="BY28" i="8"/>
  <c r="BZ28" i="8"/>
  <c r="CD28" i="8" s="1"/>
  <c r="CJ28" i="8"/>
  <c r="BX29" i="8"/>
  <c r="BY29" i="8"/>
  <c r="CJ29" i="8"/>
  <c r="BX30" i="8"/>
  <c r="BY30" i="8"/>
  <c r="BZ30" i="8"/>
  <c r="CD30" i="8" s="1"/>
  <c r="CJ30" i="8"/>
  <c r="BX31" i="8"/>
  <c r="BY31" i="8"/>
  <c r="BZ31" i="8"/>
  <c r="CE31" i="8" s="1"/>
  <c r="CJ31" i="8"/>
  <c r="BX32" i="8"/>
  <c r="BY32" i="8"/>
  <c r="BZ32" i="8"/>
  <c r="CB32" i="8" s="1"/>
  <c r="CJ32" i="8"/>
  <c r="BY33" i="8"/>
  <c r="CJ33" i="8"/>
  <c r="BX34" i="8"/>
  <c r="BY34" i="8"/>
  <c r="CJ34" i="8"/>
  <c r="BX35" i="8"/>
  <c r="BY35" i="8"/>
  <c r="BZ35" i="8"/>
  <c r="CD35" i="8" s="1"/>
  <c r="CJ35" i="8"/>
  <c r="BX36" i="8"/>
  <c r="BY36" i="8"/>
  <c r="BZ36" i="8"/>
  <c r="CE36" i="8" s="1"/>
  <c r="CJ36" i="8"/>
  <c r="BX37" i="8"/>
  <c r="BY37" i="8"/>
  <c r="BZ37" i="8"/>
  <c r="CC37" i="8" s="1"/>
  <c r="CJ37" i="8"/>
  <c r="BX38" i="8"/>
  <c r="BY38" i="8"/>
  <c r="BZ38" i="8"/>
  <c r="CC38" i="8" s="1"/>
  <c r="CJ38" i="8"/>
  <c r="BX39" i="8"/>
  <c r="BY39" i="8"/>
  <c r="BZ39" i="8"/>
  <c r="CJ39" i="8"/>
  <c r="BX40" i="8"/>
  <c r="BY40" i="8"/>
  <c r="BZ40" i="8"/>
  <c r="CD40" i="8" s="1"/>
  <c r="CJ40" i="8"/>
  <c r="BX41" i="8"/>
  <c r="BY41" i="8"/>
  <c r="BZ41" i="8"/>
  <c r="CJ41" i="8"/>
  <c r="BX42" i="8"/>
  <c r="BY42" i="8"/>
  <c r="BZ42" i="8"/>
  <c r="CA42" i="8" s="1"/>
  <c r="CJ42" i="8"/>
  <c r="BX43" i="8"/>
  <c r="BY43" i="8"/>
  <c r="BZ43" i="8"/>
  <c r="CA43" i="8" s="1"/>
  <c r="CJ43" i="8"/>
  <c r="BX44" i="8"/>
  <c r="BY44" i="8"/>
  <c r="BZ44" i="8"/>
  <c r="CA44" i="8" s="1"/>
  <c r="CJ44" i="8"/>
  <c r="BX45" i="8"/>
  <c r="BX46" i="8"/>
  <c r="BX47" i="8"/>
  <c r="BY47" i="8"/>
  <c r="BZ47" i="8"/>
  <c r="CF47" i="8" s="1"/>
  <c r="CJ47" i="8"/>
  <c r="BX48" i="8"/>
  <c r="BY48" i="8"/>
  <c r="BZ48" i="8"/>
  <c r="CF48" i="8" s="1"/>
  <c r="CJ48" i="8"/>
  <c r="BX49" i="8"/>
  <c r="BY49" i="8"/>
  <c r="BZ49" i="8"/>
  <c r="CA49" i="8" s="1"/>
  <c r="CJ49" i="8"/>
  <c r="BX50" i="8"/>
  <c r="BY50" i="8"/>
  <c r="BZ50" i="8"/>
  <c r="CD50" i="8" s="1"/>
  <c r="CJ50" i="8"/>
  <c r="BX51" i="8"/>
  <c r="BY51" i="8"/>
  <c r="BZ51" i="8"/>
  <c r="CC51" i="8" s="1"/>
  <c r="CJ51" i="8"/>
  <c r="BX52" i="8"/>
  <c r="BY52" i="8"/>
  <c r="BZ52" i="8"/>
  <c r="CA52" i="8" s="1"/>
  <c r="CJ52" i="8"/>
  <c r="BX53" i="8"/>
  <c r="BY53" i="8"/>
  <c r="BZ53" i="8"/>
  <c r="CA53" i="8" s="1"/>
  <c r="CJ53" i="8"/>
  <c r="BX54" i="8"/>
  <c r="BY54" i="8"/>
  <c r="BZ54" i="8"/>
  <c r="CC54" i="8" s="1"/>
  <c r="CJ54" i="8"/>
  <c r="BX55" i="8"/>
  <c r="BY55" i="8"/>
  <c r="BZ55" i="8"/>
  <c r="CE55" i="8" s="1"/>
  <c r="CJ55" i="8"/>
  <c r="BX4" i="8"/>
  <c r="BY4" i="8"/>
  <c r="BZ4" i="8"/>
  <c r="CF4" i="8" s="1"/>
  <c r="CJ4" i="8"/>
  <c r="BX5" i="8"/>
  <c r="BY5" i="8"/>
  <c r="BZ5" i="8"/>
  <c r="CA5" i="8" s="1"/>
  <c r="CJ5" i="8"/>
  <c r="BX6" i="8"/>
  <c r="CJ3" i="8"/>
  <c r="BY3" i="8"/>
  <c r="BX3" i="8"/>
  <c r="BI7" i="8"/>
  <c r="BJ7" i="8"/>
  <c r="BK7" i="8"/>
  <c r="BM7" i="8" s="1"/>
  <c r="BU7" i="8"/>
  <c r="BI8" i="8"/>
  <c r="BJ8" i="8"/>
  <c r="BK8" i="8"/>
  <c r="BO8" i="8" s="1"/>
  <c r="BU8" i="8"/>
  <c r="BI9" i="8"/>
  <c r="BJ9" i="8"/>
  <c r="BK9" i="8"/>
  <c r="BQ9" i="8" s="1"/>
  <c r="BU9" i="8"/>
  <c r="BI10" i="8"/>
  <c r="BJ10" i="8"/>
  <c r="BK10" i="8"/>
  <c r="BQ10" i="8" s="1"/>
  <c r="BI11" i="8"/>
  <c r="BJ11" i="8"/>
  <c r="BK11" i="8"/>
  <c r="BM11" i="8" s="1"/>
  <c r="BU11" i="8"/>
  <c r="BI12" i="8"/>
  <c r="BJ12" i="8"/>
  <c r="BK12" i="8"/>
  <c r="BN12" i="8" s="1"/>
  <c r="BU12" i="8"/>
  <c r="BI13" i="8"/>
  <c r="BJ13" i="8"/>
  <c r="BK13" i="8"/>
  <c r="BU13" i="8"/>
  <c r="BI14" i="8"/>
  <c r="BI15" i="8"/>
  <c r="BJ15" i="8"/>
  <c r="BK15" i="8"/>
  <c r="BQ15" i="8" s="1"/>
  <c r="BU15" i="8"/>
  <c r="BI16" i="8"/>
  <c r="BJ16" i="8"/>
  <c r="BK16" i="8"/>
  <c r="BM16" i="8" s="1"/>
  <c r="BU16" i="8"/>
  <c r="BI17" i="8"/>
  <c r="BJ17" i="8"/>
  <c r="BK17" i="8"/>
  <c r="BQ17" i="8" s="1"/>
  <c r="BU17" i="8"/>
  <c r="BI18" i="8"/>
  <c r="BI19" i="8"/>
  <c r="BJ19" i="8"/>
  <c r="BK19" i="8"/>
  <c r="BQ19" i="8" s="1"/>
  <c r="BU19" i="8"/>
  <c r="BI20" i="8"/>
  <c r="BJ20" i="8"/>
  <c r="BK20" i="8"/>
  <c r="BL20" i="8" s="1"/>
  <c r="BU20" i="8"/>
  <c r="BI21" i="8"/>
  <c r="BJ21" i="8"/>
  <c r="BK21" i="8"/>
  <c r="BQ21" i="8" s="1"/>
  <c r="BU21" i="8"/>
  <c r="BI22" i="8"/>
  <c r="BI23" i="8"/>
  <c r="BJ23" i="8"/>
  <c r="BK23" i="8"/>
  <c r="BQ23" i="8" s="1"/>
  <c r="BU23" i="8"/>
  <c r="BI24" i="8"/>
  <c r="BJ24" i="8"/>
  <c r="BK24" i="8"/>
  <c r="BL24" i="8" s="1"/>
  <c r="BU24" i="8"/>
  <c r="BI25" i="8"/>
  <c r="BJ25" i="8"/>
  <c r="BK25" i="8"/>
  <c r="BQ25" i="8" s="1"/>
  <c r="BU25" i="8"/>
  <c r="BI26" i="8"/>
  <c r="BJ26" i="8"/>
  <c r="BK26" i="8"/>
  <c r="BO26" i="8" s="1"/>
  <c r="BU26" i="8"/>
  <c r="BI27" i="8"/>
  <c r="BJ27" i="8"/>
  <c r="BK27" i="8"/>
  <c r="BM27" i="8" s="1"/>
  <c r="BU27" i="8"/>
  <c r="BI28" i="8"/>
  <c r="BJ28" i="8"/>
  <c r="BK28" i="8"/>
  <c r="BU28" i="8"/>
  <c r="BI29" i="8"/>
  <c r="BJ29" i="8"/>
  <c r="BK29" i="8"/>
  <c r="BU29" i="8"/>
  <c r="BI30" i="8"/>
  <c r="BJ30" i="8"/>
  <c r="BK30" i="8"/>
  <c r="BP30" i="8" s="1"/>
  <c r="BU30" i="8"/>
  <c r="BI31" i="8"/>
  <c r="BJ31" i="8"/>
  <c r="BK31" i="8"/>
  <c r="BL31" i="8" s="1"/>
  <c r="BU31" i="8"/>
  <c r="BI32" i="8"/>
  <c r="BJ32" i="8"/>
  <c r="BK32" i="8"/>
  <c r="BL32" i="8" s="1"/>
  <c r="BU32" i="8"/>
  <c r="BJ33" i="8"/>
  <c r="BK33" i="8"/>
  <c r="BQ33" i="8" s="1"/>
  <c r="BU33" i="8"/>
  <c r="BI34" i="8"/>
  <c r="BJ34" i="8"/>
  <c r="BK34" i="8"/>
  <c r="BL34" i="8" s="1"/>
  <c r="BU34" i="8"/>
  <c r="BI35" i="8"/>
  <c r="BJ35" i="8"/>
  <c r="BK35" i="8"/>
  <c r="BM35" i="8" s="1"/>
  <c r="BU35" i="8"/>
  <c r="BI36" i="8"/>
  <c r="BJ36" i="8"/>
  <c r="BK36" i="8"/>
  <c r="BP36" i="8" s="1"/>
  <c r="BU36" i="8"/>
  <c r="BI37" i="8"/>
  <c r="BJ37" i="8"/>
  <c r="BK37" i="8"/>
  <c r="BL37" i="8" s="1"/>
  <c r="BU37" i="8"/>
  <c r="BI38" i="8"/>
  <c r="BJ38" i="8"/>
  <c r="BK38" i="8"/>
  <c r="BL38" i="8" s="1"/>
  <c r="BU38" i="8"/>
  <c r="BI39" i="8"/>
  <c r="BJ39" i="8"/>
  <c r="BK39" i="8"/>
  <c r="BO39" i="8" s="1"/>
  <c r="BU39" i="8"/>
  <c r="BI40" i="8"/>
  <c r="BJ40" i="8"/>
  <c r="BK40" i="8"/>
  <c r="BL40" i="8" s="1"/>
  <c r="BU40" i="8"/>
  <c r="BI41" i="8"/>
  <c r="BJ41" i="8"/>
  <c r="BK41" i="8"/>
  <c r="BQ41" i="8" s="1"/>
  <c r="BU41" i="8"/>
  <c r="BI42" i="8"/>
  <c r="BJ42" i="8"/>
  <c r="BK42" i="8"/>
  <c r="BO42" i="8" s="1"/>
  <c r="BU42" i="8"/>
  <c r="BI43" i="8"/>
  <c r="BJ43" i="8"/>
  <c r="BK43" i="8"/>
  <c r="BP43" i="8" s="1"/>
  <c r="BU43" i="8"/>
  <c r="BI44" i="8"/>
  <c r="BJ44" i="8"/>
  <c r="BK44" i="8"/>
  <c r="BP44" i="8" s="1"/>
  <c r="BU44" i="8"/>
  <c r="BI45" i="8"/>
  <c r="BI46" i="8"/>
  <c r="BU46" i="8"/>
  <c r="BI47" i="8"/>
  <c r="BJ47" i="8"/>
  <c r="BK47" i="8"/>
  <c r="BO47" i="8" s="1"/>
  <c r="BU47" i="8"/>
  <c r="BI48" i="8"/>
  <c r="BJ48" i="8"/>
  <c r="BK48" i="8"/>
  <c r="BP48" i="8" s="1"/>
  <c r="BU48" i="8"/>
  <c r="BI49" i="8"/>
  <c r="BJ49" i="8"/>
  <c r="BK49" i="8"/>
  <c r="BL49" i="8" s="1"/>
  <c r="BU49" i="8"/>
  <c r="BI50" i="8"/>
  <c r="BJ50" i="8"/>
  <c r="BK50" i="8"/>
  <c r="BO50" i="8" s="1"/>
  <c r="BU50" i="8"/>
  <c r="BI51" i="8"/>
  <c r="BJ51" i="8"/>
  <c r="BK51" i="8"/>
  <c r="BQ51" i="8" s="1"/>
  <c r="BU51" i="8"/>
  <c r="BI52" i="8"/>
  <c r="BJ52" i="8"/>
  <c r="BK52" i="8"/>
  <c r="BP52" i="8" s="1"/>
  <c r="BU52" i="8"/>
  <c r="BI53" i="8"/>
  <c r="BJ53" i="8"/>
  <c r="BK53" i="8"/>
  <c r="BM53" i="8" s="1"/>
  <c r="BU53" i="8"/>
  <c r="BI54" i="8"/>
  <c r="BJ54" i="8"/>
  <c r="BK54" i="8"/>
  <c r="BM54" i="8" s="1"/>
  <c r="BU54" i="8"/>
  <c r="BI55" i="8"/>
  <c r="BJ55" i="8"/>
  <c r="BK55" i="8"/>
  <c r="BN55" i="8" s="1"/>
  <c r="BU55" i="8"/>
  <c r="BI4" i="8"/>
  <c r="BJ4" i="8"/>
  <c r="BK4" i="8"/>
  <c r="BQ4" i="8" s="1"/>
  <c r="BU4" i="8"/>
  <c r="BI5" i="8"/>
  <c r="BJ5" i="8"/>
  <c r="BK5" i="8"/>
  <c r="BL5" i="8" s="1"/>
  <c r="BU5" i="8"/>
  <c r="BI6" i="8"/>
  <c r="BU3" i="8"/>
  <c r="BJ3" i="8"/>
  <c r="BI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3" i="8"/>
  <c r="Q4" i="8"/>
  <c r="Q5" i="8"/>
  <c r="Q7" i="8"/>
  <c r="R7" i="8"/>
  <c r="S7" i="8" s="1"/>
  <c r="Q8" i="8"/>
  <c r="R8" i="8"/>
  <c r="S8" i="8" s="1"/>
  <c r="Q9" i="8"/>
  <c r="R9" i="8"/>
  <c r="S9" i="8" s="1"/>
  <c r="Q11" i="8"/>
  <c r="R11" i="8"/>
  <c r="U11" i="8" s="1"/>
  <c r="Q12" i="8"/>
  <c r="Q13" i="8"/>
  <c r="Q15" i="8"/>
  <c r="R15" i="8"/>
  <c r="W15" i="8" s="1"/>
  <c r="Q16" i="8"/>
  <c r="R16" i="8"/>
  <c r="T16" i="8" s="1"/>
  <c r="Q17" i="8"/>
  <c r="R17" i="8"/>
  <c r="T17" i="8" s="1"/>
  <c r="Q19" i="8"/>
  <c r="R19" i="8"/>
  <c r="U19" i="8" s="1"/>
  <c r="Q20" i="8"/>
  <c r="R20" i="8"/>
  <c r="U20" i="8" s="1"/>
  <c r="Q21" i="8"/>
  <c r="Q22" i="8"/>
  <c r="Q23" i="8"/>
  <c r="R23" i="8"/>
  <c r="X23" i="8" s="1"/>
  <c r="Q24" i="8"/>
  <c r="R24" i="8"/>
  <c r="W24" i="8" s="1"/>
  <c r="Q25" i="8"/>
  <c r="R25" i="8"/>
  <c r="S25" i="8" s="1"/>
  <c r="Q26" i="8"/>
  <c r="R26" i="8"/>
  <c r="X26" i="8" s="1"/>
  <c r="Q27" i="8"/>
  <c r="R27" i="8"/>
  <c r="U27" i="8" s="1"/>
  <c r="Q28" i="8"/>
  <c r="Q29" i="8"/>
  <c r="Q30" i="8"/>
  <c r="Q31" i="8"/>
  <c r="R31" i="8"/>
  <c r="W31" i="8" s="1"/>
  <c r="Q32" i="8"/>
  <c r="R32" i="8"/>
  <c r="V32" i="8" s="1"/>
  <c r="Q33" i="8"/>
  <c r="R33" i="8"/>
  <c r="X33" i="8" s="1"/>
  <c r="Q34" i="8"/>
  <c r="R34" i="8"/>
  <c r="X34" i="8" s="1"/>
  <c r="Q35" i="8"/>
  <c r="R35" i="8"/>
  <c r="S35" i="8" s="1"/>
  <c r="Q36" i="8"/>
  <c r="Q37" i="8"/>
  <c r="Q38" i="8"/>
  <c r="Q39" i="8"/>
  <c r="R39" i="8"/>
  <c r="W39" i="8" s="1"/>
  <c r="Q40" i="8"/>
  <c r="R40" i="8"/>
  <c r="W40" i="8" s="1"/>
  <c r="Q41" i="8"/>
  <c r="R41" i="8"/>
  <c r="X41" i="8" s="1"/>
  <c r="Q42" i="8"/>
  <c r="R42" i="8"/>
  <c r="W42" i="8" s="1"/>
  <c r="Q43" i="8"/>
  <c r="R43" i="8"/>
  <c r="W43" i="8" s="1"/>
  <c r="Q44" i="8"/>
  <c r="Q45" i="8"/>
  <c r="Q46" i="8"/>
  <c r="R46" i="8"/>
  <c r="W46" i="8" s="1"/>
  <c r="Q47" i="8"/>
  <c r="R47" i="8"/>
  <c r="S47" i="8" s="1"/>
  <c r="Q48" i="8"/>
  <c r="R48" i="8"/>
  <c r="W48" i="8" s="1"/>
  <c r="Q49" i="8"/>
  <c r="R49" i="8"/>
  <c r="W49" i="8" s="1"/>
  <c r="Q50" i="8"/>
  <c r="R50" i="8"/>
  <c r="W50" i="8" s="1"/>
  <c r="Q51" i="8"/>
  <c r="R51" i="8"/>
  <c r="W51" i="8" s="1"/>
  <c r="Q52" i="8"/>
  <c r="Q53" i="8"/>
  <c r="Q54" i="8"/>
  <c r="Q55" i="8"/>
  <c r="Q3" i="8"/>
  <c r="AL7" i="8"/>
  <c r="AH43" i="8"/>
  <c r="AJ7" i="8"/>
  <c r="AL15" i="8"/>
  <c r="AL11" i="8"/>
  <c r="G48" i="8"/>
  <c r="F47" i="8"/>
  <c r="AH31" i="8"/>
  <c r="AH29" i="8"/>
  <c r="AI29" i="8"/>
  <c r="AJ29" i="8"/>
  <c r="AK41" i="8"/>
  <c r="AL41" i="8"/>
  <c r="AI33" i="8"/>
  <c r="AJ33" i="8"/>
  <c r="AK33" i="8"/>
  <c r="AL33" i="8"/>
  <c r="AM33" i="8"/>
  <c r="AH5" i="8"/>
  <c r="AI5" i="8"/>
  <c r="AJ5" i="8"/>
  <c r="AK5" i="8"/>
  <c r="AL5" i="8"/>
  <c r="AK37" i="8"/>
  <c r="AG34" i="8"/>
  <c r="AI34" i="8" s="1"/>
  <c r="AI31" i="8"/>
  <c r="AI7" i="8"/>
  <c r="AM39" i="8"/>
  <c r="AM31" i="8"/>
  <c r="AM15" i="8"/>
  <c r="AM11" i="8"/>
  <c r="E11" i="8"/>
  <c r="H6" i="8"/>
  <c r="G54" i="8"/>
  <c r="G47" i="8"/>
  <c r="D47" i="8"/>
  <c r="H45" i="8"/>
  <c r="I22" i="8"/>
  <c r="H11" i="8"/>
  <c r="H22" i="8"/>
  <c r="H8" i="8"/>
  <c r="I38" i="8"/>
  <c r="D45" i="8"/>
  <c r="H38" i="8"/>
  <c r="G23" i="8"/>
  <c r="H19" i="8"/>
  <c r="F8" i="8"/>
  <c r="H27" i="8"/>
  <c r="F19" i="8"/>
  <c r="G13" i="8"/>
  <c r="E5" i="8"/>
  <c r="E38" i="8"/>
  <c r="E19" i="8"/>
  <c r="E27" i="8"/>
  <c r="D35" i="8"/>
  <c r="I28" i="8"/>
  <c r="D19" i="8"/>
  <c r="I12" i="8"/>
  <c r="D11" i="8"/>
  <c r="I4" i="8"/>
  <c r="H44" i="8"/>
  <c r="H12" i="8"/>
  <c r="H4" i="8"/>
  <c r="E34" i="8"/>
  <c r="G28" i="8"/>
  <c r="G12" i="8"/>
  <c r="G4" i="8"/>
  <c r="I27" i="8"/>
  <c r="I19" i="8"/>
  <c r="I11" i="8"/>
  <c r="F4" i="8"/>
  <c r="E44" i="8"/>
  <c r="E28" i="8"/>
  <c r="E4" i="8"/>
  <c r="R21" i="8"/>
  <c r="U21" i="8" s="1"/>
  <c r="MX22" i="8"/>
  <c r="NI22" i="8"/>
  <c r="LE22" i="8"/>
  <c r="LF22" i="8"/>
  <c r="LG22" i="8" s="1"/>
  <c r="IS22" i="8"/>
  <c r="CY22" i="8"/>
  <c r="CN22" i="8"/>
  <c r="CO22" i="8"/>
  <c r="CU22" i="8" s="1"/>
  <c r="LT22" i="8"/>
  <c r="LU22" i="8"/>
  <c r="MA22" i="8" s="1"/>
  <c r="LP22" i="8"/>
  <c r="JL22" i="8"/>
  <c r="JM22" i="8"/>
  <c r="JN22" i="8" s="1"/>
  <c r="ME22" i="8"/>
  <c r="JW22" i="8"/>
  <c r="IW22" i="8"/>
  <c r="IX22" i="8"/>
  <c r="IZ22" i="8" s="1"/>
  <c r="FZ22" i="8"/>
  <c r="GA22" i="8"/>
  <c r="MI22" i="8"/>
  <c r="MJ22" i="8"/>
  <c r="MN22" i="8" s="1"/>
  <c r="JH22" i="8"/>
  <c r="HS22" i="8"/>
  <c r="HD22" i="8"/>
  <c r="HE22" i="8"/>
  <c r="HF22" i="8" s="1"/>
  <c r="GO22" i="8"/>
  <c r="GP22" i="8"/>
  <c r="GS22" i="8" s="1"/>
  <c r="GK22" i="8"/>
  <c r="MT22" i="8"/>
  <c r="ID22" i="8"/>
  <c r="HO22" i="8"/>
  <c r="GZ22" i="8"/>
  <c r="FK22" i="8"/>
  <c r="FL22" i="8"/>
  <c r="DR22" i="8"/>
  <c r="DS22" i="8"/>
  <c r="DX22" i="8" s="1"/>
  <c r="DC22" i="8"/>
  <c r="DD22" i="8"/>
  <c r="DE22" i="8" s="1"/>
  <c r="BY22" i="8"/>
  <c r="BZ22" i="8"/>
  <c r="CD22" i="8" s="1"/>
  <c r="BJ22" i="8"/>
  <c r="BK22" i="8"/>
  <c r="KP22" i="8"/>
  <c r="KQ22" i="8"/>
  <c r="KR22" i="8" s="1"/>
  <c r="FV22" i="8"/>
  <c r="EV22" i="8"/>
  <c r="EW22" i="8"/>
  <c r="EZ22" i="8" s="1"/>
  <c r="EG22" i="8"/>
  <c r="EH22" i="8"/>
  <c r="EN22" i="8" s="1"/>
  <c r="EC22" i="8"/>
  <c r="DN22" i="8"/>
  <c r="CJ22" i="8"/>
  <c r="BU22" i="8"/>
  <c r="LA22" i="8"/>
  <c r="KA22" i="8"/>
  <c r="KB22" i="8"/>
  <c r="KC22" i="8" s="1"/>
  <c r="ER22" i="8"/>
  <c r="MX14" i="8"/>
  <c r="NI14" i="8"/>
  <c r="LE14" i="8"/>
  <c r="LF14" i="8"/>
  <c r="LH14" i="8" s="1"/>
  <c r="IS14" i="8"/>
  <c r="CY14" i="8"/>
  <c r="CN14" i="8"/>
  <c r="CO14" i="8"/>
  <c r="CU14" i="8" s="1"/>
  <c r="Q14" i="8"/>
  <c r="LT14" i="8"/>
  <c r="LU14" i="8"/>
  <c r="LW14" i="8" s="1"/>
  <c r="LP14" i="8"/>
  <c r="JL14" i="8"/>
  <c r="JM14" i="8"/>
  <c r="JN14" i="8" s="1"/>
  <c r="ME14" i="8"/>
  <c r="JW14" i="8"/>
  <c r="IW14" i="8"/>
  <c r="IX14" i="8"/>
  <c r="JB14" i="8" s="1"/>
  <c r="GO14" i="8"/>
  <c r="FZ14" i="8"/>
  <c r="GA14" i="8"/>
  <c r="GB14" i="8" s="1"/>
  <c r="MI14" i="8"/>
  <c r="MJ14" i="8"/>
  <c r="MM14" i="8" s="1"/>
  <c r="JH14" i="8"/>
  <c r="HS14" i="8"/>
  <c r="HT14" i="8"/>
  <c r="HU14" i="8" s="1"/>
  <c r="HD14" i="8"/>
  <c r="HE14" i="8"/>
  <c r="HG14" i="8" s="1"/>
  <c r="GZ14" i="8"/>
  <c r="GK14" i="8"/>
  <c r="BJ14" i="8"/>
  <c r="BK14" i="8"/>
  <c r="BL14" i="8" s="1"/>
  <c r="MT14" i="8"/>
  <c r="ID14" i="8"/>
  <c r="HO14" i="8"/>
  <c r="FK14" i="8"/>
  <c r="FL14" i="8"/>
  <c r="FM14" i="8" s="1"/>
  <c r="DR14" i="8"/>
  <c r="DS14" i="8"/>
  <c r="DV14" i="8" s="1"/>
  <c r="DC14" i="8"/>
  <c r="DD14" i="8"/>
  <c r="DE14" i="8" s="1"/>
  <c r="BY14" i="8"/>
  <c r="BZ14" i="8"/>
  <c r="CA14" i="8" s="1"/>
  <c r="BU14" i="8"/>
  <c r="KP14" i="8"/>
  <c r="KQ14" i="8"/>
  <c r="KU14" i="8" s="1"/>
  <c r="FV14" i="8"/>
  <c r="EV14" i="8"/>
  <c r="EW14" i="8"/>
  <c r="FC14" i="8" s="1"/>
  <c r="EG14" i="8"/>
  <c r="EH14" i="8"/>
  <c r="EK14" i="8" s="1"/>
  <c r="EC14" i="8"/>
  <c r="DN14" i="8"/>
  <c r="CJ14" i="8"/>
  <c r="LA14" i="8"/>
  <c r="KA14" i="8"/>
  <c r="KB14" i="8"/>
  <c r="KF14" i="8" s="1"/>
  <c r="FG14" i="8"/>
  <c r="ER14" i="8"/>
  <c r="MX6" i="8"/>
  <c r="MY6" i="8"/>
  <c r="NA6" i="8" s="1"/>
  <c r="NI6" i="8"/>
  <c r="LE6" i="8"/>
  <c r="LF6" i="8"/>
  <c r="LH6" i="8" s="1"/>
  <c r="JL6" i="8"/>
  <c r="JM6" i="8"/>
  <c r="JP6" i="8" s="1"/>
  <c r="IW6" i="8"/>
  <c r="IX6" i="8"/>
  <c r="IZ6" i="8" s="1"/>
  <c r="IS6" i="8"/>
  <c r="FZ6" i="8"/>
  <c r="GA6" i="8"/>
  <c r="CY6" i="8"/>
  <c r="CN6" i="8"/>
  <c r="CO6" i="8"/>
  <c r="CT6" i="8" s="1"/>
  <c r="BY6" i="8"/>
  <c r="BZ6" i="8"/>
  <c r="CC6" i="8" s="1"/>
  <c r="Q6" i="8"/>
  <c r="LT6" i="8"/>
  <c r="LU6" i="8"/>
  <c r="LW6" i="8" s="1"/>
  <c r="LP6" i="8"/>
  <c r="JW6" i="8"/>
  <c r="JH6" i="8"/>
  <c r="GK6" i="8"/>
  <c r="DR6" i="8"/>
  <c r="DS6" i="8"/>
  <c r="DU6" i="8" s="1"/>
  <c r="DC6" i="8"/>
  <c r="DD6" i="8"/>
  <c r="DJ6" i="8" s="1"/>
  <c r="CJ6" i="8"/>
  <c r="ME6" i="8"/>
  <c r="GO6" i="8"/>
  <c r="EC6" i="8"/>
  <c r="DN6" i="8"/>
  <c r="MI6" i="8"/>
  <c r="MJ6" i="8"/>
  <c r="HS6" i="8"/>
  <c r="HD6" i="8"/>
  <c r="HE6" i="8"/>
  <c r="HG6" i="8" s="1"/>
  <c r="GZ6" i="8"/>
  <c r="BJ6" i="8"/>
  <c r="BK6" i="8"/>
  <c r="BL6" i="8" s="1"/>
  <c r="MT6" i="8"/>
  <c r="ID6" i="8"/>
  <c r="HO6" i="8"/>
  <c r="FK6" i="8"/>
  <c r="FL6" i="8"/>
  <c r="FP6" i="8" s="1"/>
  <c r="BU6" i="8"/>
  <c r="KP6" i="8"/>
  <c r="KQ6" i="8"/>
  <c r="KR6" i="8" s="1"/>
  <c r="KA6" i="8"/>
  <c r="KB6" i="8"/>
  <c r="KD6" i="8" s="1"/>
  <c r="FV6" i="8"/>
  <c r="EV6" i="8"/>
  <c r="EW6" i="8"/>
  <c r="EG6" i="8"/>
  <c r="EH6" i="8"/>
  <c r="EK6" i="8" s="1"/>
  <c r="LA6" i="8"/>
  <c r="KL6" i="8"/>
  <c r="FG6" i="8"/>
  <c r="ER6" i="8"/>
  <c r="MX46" i="8"/>
  <c r="MY46" i="8"/>
  <c r="LE46" i="8"/>
  <c r="LF46" i="8"/>
  <c r="LA46" i="8"/>
  <c r="CY46" i="8"/>
  <c r="CN46" i="8"/>
  <c r="CO46" i="8"/>
  <c r="CP46" i="8" s="1"/>
  <c r="LP46" i="8"/>
  <c r="KA46" i="8"/>
  <c r="KB46" i="8"/>
  <c r="KC46" i="8" s="1"/>
  <c r="JL46" i="8"/>
  <c r="JM46" i="8"/>
  <c r="JN46" i="8" s="1"/>
  <c r="LT46" i="8"/>
  <c r="LU46" i="8"/>
  <c r="LZ46" i="8" s="1"/>
  <c r="KL46" i="8"/>
  <c r="JW46" i="8"/>
  <c r="FZ46" i="8"/>
  <c r="GA46" i="8"/>
  <c r="GB46" i="8" s="1"/>
  <c r="MI46" i="8"/>
  <c r="MJ46" i="8"/>
  <c r="MK46" i="8" s="1"/>
  <c r="ME46" i="8"/>
  <c r="IH46" i="8"/>
  <c r="II46" i="8"/>
  <c r="HS46" i="8"/>
  <c r="HT46" i="8"/>
  <c r="HX46" i="8" s="1"/>
  <c r="HD46" i="8"/>
  <c r="HE46" i="8"/>
  <c r="HG46" i="8" s="1"/>
  <c r="GK46" i="8"/>
  <c r="BJ46" i="8"/>
  <c r="BK46" i="8"/>
  <c r="BL46" i="8" s="1"/>
  <c r="MT46" i="8"/>
  <c r="IS46" i="8"/>
  <c r="ID46" i="8"/>
  <c r="HO46" i="8"/>
  <c r="GO46" i="8"/>
  <c r="GP46" i="8"/>
  <c r="GR46" i="8" s="1"/>
  <c r="BY46" i="8"/>
  <c r="BZ46" i="8"/>
  <c r="NI46" i="8"/>
  <c r="GZ46" i="8"/>
  <c r="EV46" i="8"/>
  <c r="EW46" i="8"/>
  <c r="EZ46" i="8" s="1"/>
  <c r="EG46" i="8"/>
  <c r="EH46" i="8"/>
  <c r="EJ46" i="8" s="1"/>
  <c r="DR46" i="8"/>
  <c r="DS46" i="8"/>
  <c r="DV46" i="8" s="1"/>
  <c r="DC46" i="8"/>
  <c r="DD46" i="8"/>
  <c r="DG46" i="8" s="1"/>
  <c r="CJ46" i="8"/>
  <c r="IW46" i="8"/>
  <c r="IX46" i="8"/>
  <c r="IY46" i="8" s="1"/>
  <c r="FK46" i="8"/>
  <c r="FL46" i="8"/>
  <c r="FG46" i="8"/>
  <c r="ER46" i="8"/>
  <c r="EC46" i="8"/>
  <c r="DN46" i="8"/>
  <c r="LD33" i="8"/>
  <c r="LS33" i="8"/>
  <c r="JK33" i="8"/>
  <c r="IG33" i="8"/>
  <c r="FY33" i="8"/>
  <c r="EU33" i="8"/>
  <c r="MH33" i="8"/>
  <c r="HR33" i="8"/>
  <c r="HC33" i="8"/>
  <c r="MW33" i="8"/>
  <c r="IV33" i="8"/>
  <c r="GN33" i="8"/>
  <c r="DQ33" i="8"/>
  <c r="DB33" i="8"/>
  <c r="BX33" i="8"/>
  <c r="BI33" i="8"/>
  <c r="KO33" i="8"/>
  <c r="FJ33" i="8"/>
  <c r="EF33" i="8"/>
  <c r="CM33" i="8"/>
  <c r="KP46" i="8"/>
  <c r="KQ46" i="8"/>
  <c r="KR46" i="8" s="1"/>
  <c r="JZ33" i="8"/>
  <c r="MI45" i="8"/>
  <c r="MJ45" i="8"/>
  <c r="MK45" i="8" s="1"/>
  <c r="ME45" i="8"/>
  <c r="IH45" i="8"/>
  <c r="II45" i="8"/>
  <c r="IM45" i="8" s="1"/>
  <c r="HS45" i="8"/>
  <c r="HT45" i="8"/>
  <c r="HD45" i="8"/>
  <c r="HE45" i="8"/>
  <c r="HF45" i="8" s="1"/>
  <c r="GK45" i="8"/>
  <c r="MT45" i="8"/>
  <c r="IS45" i="8"/>
  <c r="ID45" i="8"/>
  <c r="HO45" i="8"/>
  <c r="GO45" i="8"/>
  <c r="GP45" i="8"/>
  <c r="GU45" i="8" s="1"/>
  <c r="EV45" i="8"/>
  <c r="EW45" i="8"/>
  <c r="FA45" i="8" s="1"/>
  <c r="BY45" i="8"/>
  <c r="BZ45" i="8"/>
  <c r="CA45" i="8" s="1"/>
  <c r="MX45" i="8"/>
  <c r="MY45" i="8"/>
  <c r="GZ45" i="8"/>
  <c r="EG45" i="8"/>
  <c r="EH45" i="8"/>
  <c r="EK45" i="8" s="1"/>
  <c r="DR45" i="8"/>
  <c r="DS45" i="8"/>
  <c r="DU45" i="8" s="1"/>
  <c r="DC45" i="8"/>
  <c r="DD45" i="8"/>
  <c r="DE45" i="8" s="1"/>
  <c r="CJ45" i="8"/>
  <c r="BJ45" i="8"/>
  <c r="BK45" i="8"/>
  <c r="BQ45" i="8" s="1"/>
  <c r="NI45" i="8"/>
  <c r="IW45" i="8"/>
  <c r="IX45" i="8"/>
  <c r="JD45" i="8" s="1"/>
  <c r="FK45" i="8"/>
  <c r="FL45" i="8"/>
  <c r="FQ45" i="8" s="1"/>
  <c r="FG45" i="8"/>
  <c r="ER45" i="8"/>
  <c r="EC45" i="8"/>
  <c r="DN45" i="8"/>
  <c r="BU45" i="8"/>
  <c r="KP45" i="8"/>
  <c r="KQ45" i="8"/>
  <c r="KT45" i="8" s="1"/>
  <c r="JH45" i="8"/>
  <c r="FV45" i="8"/>
  <c r="LE45" i="8"/>
  <c r="LF45" i="8"/>
  <c r="LG45" i="8" s="1"/>
  <c r="LA45" i="8"/>
  <c r="LP45" i="8"/>
  <c r="KA45" i="8"/>
  <c r="KB45" i="8"/>
  <c r="KE45" i="8" s="1"/>
  <c r="JL45" i="8"/>
  <c r="JM45" i="8"/>
  <c r="NI18" i="8"/>
  <c r="MT18" i="8"/>
  <c r="ID18" i="8"/>
  <c r="HO18" i="8"/>
  <c r="GZ18" i="8"/>
  <c r="FK18" i="8"/>
  <c r="FL18" i="8"/>
  <c r="FO18" i="8" s="1"/>
  <c r="DR18" i="8"/>
  <c r="DS18" i="8"/>
  <c r="DC18" i="8"/>
  <c r="DD18" i="8"/>
  <c r="DJ18" i="8" s="1"/>
  <c r="CN18" i="8"/>
  <c r="CO18" i="8"/>
  <c r="CT18" i="8" s="1"/>
  <c r="BY18" i="8"/>
  <c r="BZ18" i="8"/>
  <c r="CA18" i="8" s="1"/>
  <c r="BJ18" i="8"/>
  <c r="BK18" i="8"/>
  <c r="BL18" i="8" s="1"/>
  <c r="KP18" i="8"/>
  <c r="KQ18" i="8"/>
  <c r="KT18" i="8" s="1"/>
  <c r="FV18" i="8"/>
  <c r="EV18" i="8"/>
  <c r="EW18" i="8"/>
  <c r="EY18" i="8" s="1"/>
  <c r="EG18" i="8"/>
  <c r="EH18" i="8"/>
  <c r="EC18" i="8"/>
  <c r="DN18" i="8"/>
  <c r="CJ18" i="8"/>
  <c r="BU18" i="8"/>
  <c r="MX18" i="8"/>
  <c r="MY18" i="8"/>
  <c r="ND18" i="8" s="1"/>
  <c r="LA18" i="8"/>
  <c r="KA18" i="8"/>
  <c r="KB18" i="8"/>
  <c r="KC18" i="8" s="1"/>
  <c r="FG18" i="8"/>
  <c r="ER18" i="8"/>
  <c r="KL18" i="8"/>
  <c r="IH18" i="8"/>
  <c r="II18" i="8"/>
  <c r="IK18" i="8" s="1"/>
  <c r="LE18" i="8"/>
  <c r="LF18" i="8"/>
  <c r="LG18" i="8" s="1"/>
  <c r="IS18" i="8"/>
  <c r="CY18" i="8"/>
  <c r="Q18" i="8"/>
  <c r="R18" i="8"/>
  <c r="S18" i="8" s="1"/>
  <c r="LT18" i="8"/>
  <c r="LU18" i="8"/>
  <c r="LX18" i="8" s="1"/>
  <c r="LP18" i="8"/>
  <c r="JL18" i="8"/>
  <c r="JM18" i="8"/>
  <c r="ME18" i="8"/>
  <c r="JW18" i="8"/>
  <c r="IW18" i="8"/>
  <c r="IX18" i="8"/>
  <c r="IY18" i="8" s="1"/>
  <c r="FZ18" i="8"/>
  <c r="GA18" i="8"/>
  <c r="GF18" i="8" s="1"/>
  <c r="NI10" i="8"/>
  <c r="MT10" i="8"/>
  <c r="ID10" i="8"/>
  <c r="HO10" i="8"/>
  <c r="FK10" i="8"/>
  <c r="FL10" i="8"/>
  <c r="FR10" i="8" s="1"/>
  <c r="DR10" i="8"/>
  <c r="DS10" i="8"/>
  <c r="DU10" i="8" s="1"/>
  <c r="DC10" i="8"/>
  <c r="DD10" i="8"/>
  <c r="DF10" i="8" s="1"/>
  <c r="CN10" i="8"/>
  <c r="CO10" i="8"/>
  <c r="CP10" i="8" s="1"/>
  <c r="BY10" i="8"/>
  <c r="BZ10" i="8"/>
  <c r="CE10" i="8" s="1"/>
  <c r="BU10" i="8"/>
  <c r="KP10" i="8"/>
  <c r="KQ10" i="8"/>
  <c r="KV10" i="8" s="1"/>
  <c r="KA10" i="8"/>
  <c r="KB10" i="8"/>
  <c r="KC10" i="8" s="1"/>
  <c r="FV10" i="8"/>
  <c r="EV10" i="8"/>
  <c r="EW10" i="8"/>
  <c r="EY10" i="8" s="1"/>
  <c r="EG10" i="8"/>
  <c r="EH10" i="8"/>
  <c r="EJ10" i="8" s="1"/>
  <c r="EC10" i="8"/>
  <c r="DN10" i="8"/>
  <c r="CJ10" i="8"/>
  <c r="LA10" i="8"/>
  <c r="KL10" i="8"/>
  <c r="FG10" i="8"/>
  <c r="ER10" i="8"/>
  <c r="IH10" i="8"/>
  <c r="II10" i="8"/>
  <c r="IJ10" i="8" s="1"/>
  <c r="LE10" i="8"/>
  <c r="LF10" i="8"/>
  <c r="LK10" i="8" s="1"/>
  <c r="IW10" i="8"/>
  <c r="IX10" i="8"/>
  <c r="IY10" i="8" s="1"/>
  <c r="IS10" i="8"/>
  <c r="CY10" i="8"/>
  <c r="Q10" i="8"/>
  <c r="R10" i="8"/>
  <c r="S10" i="8" s="1"/>
  <c r="LT10" i="8"/>
  <c r="LU10" i="8"/>
  <c r="LZ10" i="8" s="1"/>
  <c r="LP10" i="8"/>
  <c r="JL10" i="8"/>
  <c r="JM10" i="8"/>
  <c r="JN10" i="8" s="1"/>
  <c r="JH10" i="8"/>
  <c r="ME10" i="8"/>
  <c r="JW10" i="8"/>
  <c r="GO10" i="8"/>
  <c r="FZ10" i="8"/>
  <c r="GA10" i="8"/>
  <c r="GE10" i="8" s="1"/>
  <c r="NI53" i="8"/>
  <c r="MW45" i="8"/>
  <c r="MX25" i="8"/>
  <c r="MY25" i="8"/>
  <c r="ND25" i="8" s="1"/>
  <c r="MX37" i="8"/>
  <c r="MY37" i="8"/>
  <c r="NA37" i="8" s="1"/>
  <c r="NI37" i="8"/>
  <c r="MW25" i="8"/>
  <c r="NI52" i="8"/>
  <c r="MW53" i="8"/>
  <c r="MX52" i="8"/>
  <c r="MY52" i="8"/>
  <c r="NI42" i="8"/>
  <c r="MX29" i="8"/>
  <c r="MY29" i="8"/>
  <c r="NC29" i="8" s="1"/>
  <c r="MI53" i="8"/>
  <c r="MJ53" i="8"/>
  <c r="MN53" i="8" s="1"/>
  <c r="MW49" i="8"/>
  <c r="MW41" i="8"/>
  <c r="MX30" i="8"/>
  <c r="MY30" i="8"/>
  <c r="NA30" i="8" s="1"/>
  <c r="NI30" i="8"/>
  <c r="MX21" i="8"/>
  <c r="MY21" i="8"/>
  <c r="NA21" i="8" s="1"/>
  <c r="MX17" i="8"/>
  <c r="MY17" i="8"/>
  <c r="ND17" i="8" s="1"/>
  <c r="NI13" i="8"/>
  <c r="MX9" i="8"/>
  <c r="MY9" i="8"/>
  <c r="MZ9" i="8" s="1"/>
  <c r="NI9" i="8"/>
  <c r="NI5" i="8"/>
  <c r="MX33" i="8"/>
  <c r="MY33" i="8"/>
  <c r="ND33" i="8" s="1"/>
  <c r="MW17" i="8"/>
  <c r="MW9" i="8"/>
  <c r="NI51" i="8"/>
  <c r="KP3" i="8"/>
  <c r="ME3" i="8"/>
  <c r="MT3" i="8"/>
  <c r="LP3" i="8"/>
  <c r="JZ3" i="8"/>
  <c r="KO3" i="8"/>
  <c r="LS3" i="8"/>
  <c r="LD3" i="8"/>
  <c r="MH3" i="8"/>
  <c r="R22" i="8"/>
  <c r="X22" i="8" s="1"/>
  <c r="JS4" i="8"/>
  <c r="JP4" i="8"/>
  <c r="JR4" i="8"/>
  <c r="KF39" i="8"/>
  <c r="KC39" i="8"/>
  <c r="R13" i="8"/>
  <c r="U13" i="8" s="1"/>
  <c r="R12" i="8"/>
  <c r="V12" i="8" s="1"/>
  <c r="IM49" i="8"/>
  <c r="R53" i="8"/>
  <c r="W53" i="8" s="1"/>
  <c r="R5" i="8"/>
  <c r="S5" i="8" s="1"/>
  <c r="R45" i="8"/>
  <c r="W45" i="8" s="1"/>
  <c r="R37" i="8"/>
  <c r="V37" i="8" s="1"/>
  <c r="R29" i="8"/>
  <c r="X29" i="8" s="1"/>
  <c r="NA53" i="8"/>
  <c r="MZ53" i="8"/>
  <c r="ND53" i="8"/>
  <c r="IJ51" i="8"/>
  <c r="IL51" i="8"/>
  <c r="NA49" i="8"/>
  <c r="MZ49" i="8"/>
  <c r="ND49" i="8"/>
  <c r="R38" i="8"/>
  <c r="S38" i="8" s="1"/>
  <c r="R6" i="8"/>
  <c r="S6" i="8" s="1"/>
  <c r="IK40" i="8"/>
  <c r="R30" i="8"/>
  <c r="T30" i="8" s="1"/>
  <c r="KC11" i="8"/>
  <c r="KG43" i="8"/>
  <c r="R54" i="8"/>
  <c r="W54" i="8" s="1"/>
  <c r="IL19" i="8"/>
  <c r="KE43" i="8"/>
  <c r="R55" i="8"/>
  <c r="IJ19" i="8"/>
  <c r="KC43" i="8"/>
  <c r="KE39" i="8"/>
  <c r="KC27" i="8"/>
  <c r="NE51" i="8"/>
  <c r="NA51" i="8"/>
  <c r="ND38" i="8"/>
  <c r="NC35" i="8"/>
  <c r="ND35" i="8"/>
  <c r="NE35" i="8"/>
  <c r="NA35" i="8"/>
  <c r="NB35" i="8"/>
  <c r="NC27" i="8"/>
  <c r="ND27" i="8"/>
  <c r="NE27" i="8"/>
  <c r="NA27" i="8"/>
  <c r="NB27" i="8"/>
  <c r="NB23" i="8"/>
  <c r="NC43" i="8"/>
  <c r="ND43" i="8"/>
  <c r="NE43" i="8"/>
  <c r="NA43" i="8"/>
  <c r="NB43" i="8"/>
  <c r="NE8" i="8"/>
  <c r="MZ36" i="8"/>
  <c r="NE12" i="8"/>
  <c r="NB12" i="8"/>
  <c r="MZ12" i="8"/>
  <c r="NA12" i="8"/>
  <c r="NC12" i="8"/>
  <c r="ND12" i="8"/>
  <c r="NB47" i="8"/>
  <c r="NA42" i="8"/>
  <c r="NB42" i="8"/>
  <c r="NC42" i="8"/>
  <c r="ND42" i="8"/>
  <c r="NE42" i="8"/>
  <c r="MZ42" i="8"/>
  <c r="NB26" i="8"/>
  <c r="NC26" i="8"/>
  <c r="NE24" i="8"/>
  <c r="MZ24" i="8"/>
  <c r="NB24" i="8"/>
  <c r="NA24" i="8"/>
  <c r="NC24" i="8"/>
  <c r="ND24" i="8"/>
  <c r="MZ11" i="8"/>
  <c r="MZ51" i="8"/>
  <c r="MZ43" i="8"/>
  <c r="NE40" i="8"/>
  <c r="MZ40" i="8"/>
  <c r="NA40" i="8"/>
  <c r="NC40" i="8"/>
  <c r="ND40" i="8"/>
  <c r="MZ35" i="8"/>
  <c r="NE32" i="8"/>
  <c r="MZ32" i="8"/>
  <c r="NA32" i="8"/>
  <c r="NC32" i="8"/>
  <c r="ND32" i="8"/>
  <c r="MZ27" i="8"/>
  <c r="NC15" i="8"/>
  <c r="MZ15" i="8"/>
  <c r="ND15" i="8"/>
  <c r="NE15" i="8"/>
  <c r="NA15" i="8"/>
  <c r="NB15" i="8"/>
  <c r="NE53" i="8"/>
  <c r="NE49" i="8"/>
  <c r="MY22" i="8"/>
  <c r="MY14" i="8"/>
  <c r="NA14" i="8" s="1"/>
  <c r="MY10" i="8"/>
  <c r="NA10" i="8" s="1"/>
  <c r="NC53" i="8"/>
  <c r="NC49" i="8"/>
  <c r="NC41" i="8"/>
  <c r="NB53" i="8"/>
  <c r="NB49" i="8"/>
  <c r="NB41" i="8"/>
  <c r="MK33" i="8"/>
  <c r="ML33" i="8"/>
  <c r="MM33" i="8"/>
  <c r="MN33" i="8"/>
  <c r="MO33" i="8"/>
  <c r="MP33" i="8"/>
  <c r="ML22" i="8"/>
  <c r="MM22" i="8"/>
  <c r="MN31" i="8"/>
  <c r="MO31" i="8"/>
  <c r="MP31" i="8"/>
  <c r="MK31" i="8"/>
  <c r="ML31" i="8"/>
  <c r="MN27" i="8"/>
  <c r="MK19" i="8"/>
  <c r="MM19" i="8"/>
  <c r="MN11" i="8"/>
  <c r="MO11" i="8"/>
  <c r="MP11" i="8"/>
  <c r="MK11" i="8"/>
  <c r="MM11" i="8"/>
  <c r="ML11" i="8"/>
  <c r="MM54" i="8"/>
  <c r="MN54" i="8"/>
  <c r="MP52" i="8"/>
  <c r="MK52" i="8"/>
  <c r="ML52" i="8"/>
  <c r="MM52" i="8"/>
  <c r="MN52" i="8"/>
  <c r="ML38" i="8"/>
  <c r="ML36" i="8"/>
  <c r="MM36" i="8"/>
  <c r="MO29" i="8"/>
  <c r="MP24" i="8"/>
  <c r="MM24" i="8"/>
  <c r="MN24" i="8"/>
  <c r="MP16" i="8"/>
  <c r="MO8" i="8"/>
  <c r="MN8" i="8"/>
  <c r="MK21" i="8"/>
  <c r="MK13" i="8"/>
  <c r="ML13" i="8"/>
  <c r="MM13" i="8"/>
  <c r="MN13" i="8"/>
  <c r="MO13" i="8"/>
  <c r="MP13" i="8"/>
  <c r="MN5" i="8"/>
  <c r="MO5" i="8"/>
  <c r="ML50" i="8"/>
  <c r="MM50" i="8"/>
  <c r="MN50" i="8"/>
  <c r="MO50" i="8"/>
  <c r="MP50" i="8"/>
  <c r="MK48" i="8"/>
  <c r="ML48" i="8"/>
  <c r="MM48" i="8"/>
  <c r="MN48" i="8"/>
  <c r="MP34" i="8"/>
  <c r="MP32" i="8"/>
  <c r="MM32" i="8"/>
  <c r="MM26" i="8"/>
  <c r="MN26" i="8"/>
  <c r="MK18" i="8"/>
  <c r="MO10" i="8"/>
  <c r="MP10" i="8"/>
  <c r="MP55" i="8"/>
  <c r="MK55" i="8"/>
  <c r="ML55" i="8"/>
  <c r="MN39" i="8"/>
  <c r="MO39" i="8"/>
  <c r="MP39" i="8"/>
  <c r="MK39" i="8"/>
  <c r="ML39" i="8"/>
  <c r="MO28" i="8"/>
  <c r="MN28" i="8"/>
  <c r="MN15" i="8"/>
  <c r="MK15" i="8"/>
  <c r="MP7" i="8"/>
  <c r="MN44" i="8"/>
  <c r="MK37" i="8"/>
  <c r="ML37" i="8"/>
  <c r="MM37" i="8"/>
  <c r="MN37" i="8"/>
  <c r="MO37" i="8"/>
  <c r="MP37" i="8"/>
  <c r="ML30" i="8"/>
  <c r="MM30" i="8"/>
  <c r="MP30" i="8"/>
  <c r="MP20" i="8"/>
  <c r="MK20" i="8"/>
  <c r="ML20" i="8"/>
  <c r="MM20" i="8"/>
  <c r="MN20" i="8"/>
  <c r="MO20" i="8"/>
  <c r="MN12" i="8"/>
  <c r="MP4" i="8"/>
  <c r="MK4" i="8"/>
  <c r="ML4" i="8"/>
  <c r="MM4" i="8"/>
  <c r="MN4" i="8"/>
  <c r="MO4" i="8"/>
  <c r="MN35" i="8"/>
  <c r="MO35" i="8"/>
  <c r="MP35" i="8"/>
  <c r="MK35" i="8"/>
  <c r="ML35" i="8"/>
  <c r="MK17" i="8"/>
  <c r="MN17" i="8"/>
  <c r="MM9" i="8"/>
  <c r="LZ41" i="8"/>
  <c r="LW34" i="8"/>
  <c r="LZ34" i="8"/>
  <c r="LW5" i="8"/>
  <c r="LZ5" i="8"/>
  <c r="MA5" i="8"/>
  <c r="LV53" i="8"/>
  <c r="LW53" i="8"/>
  <c r="LX53" i="8"/>
  <c r="LY53" i="8"/>
  <c r="LZ53" i="8"/>
  <c r="MA53" i="8"/>
  <c r="MA44" i="8"/>
  <c r="LV44" i="8"/>
  <c r="LW44" i="8"/>
  <c r="LX44" i="8"/>
  <c r="LY44" i="8"/>
  <c r="LY37" i="8"/>
  <c r="LY15" i="8"/>
  <c r="LZ15" i="8"/>
  <c r="MA15" i="8"/>
  <c r="LV15" i="8"/>
  <c r="LY7" i="8"/>
  <c r="LX7" i="8"/>
  <c r="LZ7" i="8"/>
  <c r="MA7" i="8"/>
  <c r="LV7" i="8"/>
  <c r="LW7" i="8"/>
  <c r="MA50" i="8"/>
  <c r="LV21" i="8"/>
  <c r="LZ21" i="8"/>
  <c r="MA21" i="8"/>
  <c r="LY51" i="8"/>
  <c r="LZ51" i="8"/>
  <c r="MA51" i="8"/>
  <c r="LV51" i="8"/>
  <c r="LW51" i="8"/>
  <c r="LY35" i="8"/>
  <c r="MA35" i="8"/>
  <c r="LV33" i="8"/>
  <c r="LW33" i="8"/>
  <c r="LX33" i="8"/>
  <c r="LY33" i="8"/>
  <c r="MA33" i="8"/>
  <c r="MA28" i="8"/>
  <c r="LZ28" i="8"/>
  <c r="LV28" i="8"/>
  <c r="LW28" i="8"/>
  <c r="LX28" i="8"/>
  <c r="LY28" i="8"/>
  <c r="LV20" i="8"/>
  <c r="LX20" i="8"/>
  <c r="LY20" i="8"/>
  <c r="MA12" i="8"/>
  <c r="LV12" i="8"/>
  <c r="LZ12" i="8"/>
  <c r="LW26" i="8"/>
  <c r="LX26" i="8"/>
  <c r="LV26" i="8"/>
  <c r="LY26" i="8"/>
  <c r="LZ26" i="8"/>
  <c r="MA26" i="8"/>
  <c r="LV49" i="8"/>
  <c r="LW49" i="8"/>
  <c r="LX49" i="8"/>
  <c r="LY49" i="8"/>
  <c r="LZ49" i="8"/>
  <c r="MA49" i="8"/>
  <c r="LX42" i="8"/>
  <c r="MA42" i="8"/>
  <c r="MA40" i="8"/>
  <c r="LV40" i="8"/>
  <c r="LW40" i="8"/>
  <c r="LY40" i="8"/>
  <c r="LW17" i="8"/>
  <c r="LZ17" i="8"/>
  <c r="MA17" i="8"/>
  <c r="LV9" i="8"/>
  <c r="LW9" i="8"/>
  <c r="LX9" i="8"/>
  <c r="LY9" i="8"/>
  <c r="LZ9" i="8"/>
  <c r="MA9" i="8"/>
  <c r="LY47" i="8"/>
  <c r="LZ47" i="8"/>
  <c r="MA47" i="8"/>
  <c r="LV47" i="8"/>
  <c r="LW47" i="8"/>
  <c r="LW30" i="8"/>
  <c r="LX30" i="8"/>
  <c r="LY30" i="8"/>
  <c r="LZ30" i="8"/>
  <c r="MA30" i="8"/>
  <c r="LV30" i="8"/>
  <c r="MA14" i="8"/>
  <c r="MA6" i="8"/>
  <c r="LV13" i="8"/>
  <c r="LW13" i="8"/>
  <c r="LZ13" i="8"/>
  <c r="LY55" i="8"/>
  <c r="LZ55" i="8"/>
  <c r="MA55" i="8"/>
  <c r="LV55" i="8"/>
  <c r="LW55" i="8"/>
  <c r="LW54" i="8"/>
  <c r="LX54" i="8"/>
  <c r="LY54" i="8"/>
  <c r="LZ54" i="8"/>
  <c r="MA54" i="8"/>
  <c r="MA52" i="8"/>
  <c r="LV52" i="8"/>
  <c r="LW52" i="8"/>
  <c r="LX52" i="8"/>
  <c r="LY52" i="8"/>
  <c r="LV45" i="8"/>
  <c r="LW45" i="8"/>
  <c r="LX45" i="8"/>
  <c r="LY45" i="8"/>
  <c r="LZ45" i="8"/>
  <c r="MA45" i="8"/>
  <c r="MA38" i="8"/>
  <c r="LX36" i="8"/>
  <c r="LY36" i="8"/>
  <c r="MA32" i="8"/>
  <c r="LZ32" i="8"/>
  <c r="LV32" i="8"/>
  <c r="LW32" i="8"/>
  <c r="LX32" i="8"/>
  <c r="LY32" i="8"/>
  <c r="LY19" i="8"/>
  <c r="LZ19" i="8"/>
  <c r="LV19" i="8"/>
  <c r="LY11" i="8"/>
  <c r="LZ11" i="8"/>
  <c r="MA11" i="8"/>
  <c r="LW11" i="8"/>
  <c r="LW48" i="8"/>
  <c r="LY48" i="8"/>
  <c r="LW18" i="8"/>
  <c r="MA18" i="8"/>
  <c r="LZ48" i="8"/>
  <c r="LV43" i="8"/>
  <c r="MA24" i="8"/>
  <c r="LZ24" i="8"/>
  <c r="LV24" i="8"/>
  <c r="LW24" i="8"/>
  <c r="LX24" i="8"/>
  <c r="LY24" i="8"/>
  <c r="LZ16" i="8"/>
  <c r="LX16" i="8"/>
  <c r="LY4" i="8"/>
  <c r="LG48" i="8"/>
  <c r="LH48" i="8"/>
  <c r="LK48" i="8"/>
  <c r="LL16" i="8"/>
  <c r="LG16" i="8"/>
  <c r="LH16" i="8"/>
  <c r="LI16" i="8"/>
  <c r="LJ16" i="8"/>
  <c r="LK16" i="8"/>
  <c r="LL8" i="8"/>
  <c r="LG8" i="8"/>
  <c r="LH8" i="8"/>
  <c r="LI8" i="8"/>
  <c r="LJ8" i="8"/>
  <c r="LK8" i="8"/>
  <c r="LG53" i="8"/>
  <c r="LH53" i="8"/>
  <c r="LI53" i="8"/>
  <c r="LJ53" i="8"/>
  <c r="LK53" i="8"/>
  <c r="LL53" i="8"/>
  <c r="LG37" i="8"/>
  <c r="LH37" i="8"/>
  <c r="LI37" i="8"/>
  <c r="LJ37" i="8"/>
  <c r="LK37" i="8"/>
  <c r="LL37" i="8"/>
  <c r="LG29" i="8"/>
  <c r="LH29" i="8"/>
  <c r="LI29" i="8"/>
  <c r="LJ29" i="8"/>
  <c r="LK29" i="8"/>
  <c r="LL29" i="8"/>
  <c r="LG13" i="8"/>
  <c r="LH13" i="8"/>
  <c r="LI13" i="8"/>
  <c r="LJ13" i="8"/>
  <c r="LK13" i="8"/>
  <c r="LL13" i="8"/>
  <c r="LG5" i="8"/>
  <c r="LH5" i="8"/>
  <c r="LI5" i="8"/>
  <c r="LJ5" i="8"/>
  <c r="LK5" i="8"/>
  <c r="LL5" i="8"/>
  <c r="LI50" i="8"/>
  <c r="LJ50" i="8"/>
  <c r="LG50" i="8"/>
  <c r="LH26" i="8"/>
  <c r="LK26" i="8"/>
  <c r="LJ55" i="8"/>
  <c r="LK55" i="8"/>
  <c r="LL55" i="8"/>
  <c r="LG55" i="8"/>
  <c r="LH55" i="8"/>
  <c r="LI55" i="8"/>
  <c r="LJ47" i="8"/>
  <c r="LK47" i="8"/>
  <c r="LL47" i="8"/>
  <c r="LG47" i="8"/>
  <c r="LH47" i="8"/>
  <c r="LI47" i="8"/>
  <c r="LJ39" i="8"/>
  <c r="LK39" i="8"/>
  <c r="LL39" i="8"/>
  <c r="LG39" i="8"/>
  <c r="LH39" i="8"/>
  <c r="LI39" i="8"/>
  <c r="LJ31" i="8"/>
  <c r="LK31" i="8"/>
  <c r="LL31" i="8"/>
  <c r="LG31" i="8"/>
  <c r="LH31" i="8"/>
  <c r="LI31" i="8"/>
  <c r="LJ23" i="8"/>
  <c r="LK23" i="8"/>
  <c r="LL23" i="8"/>
  <c r="LG23" i="8"/>
  <c r="LH23" i="8"/>
  <c r="LI23" i="8"/>
  <c r="LJ15" i="8"/>
  <c r="LJ7" i="8"/>
  <c r="LK7" i="8"/>
  <c r="LJ54" i="8"/>
  <c r="LK54" i="8"/>
  <c r="LL52" i="8"/>
  <c r="LJ52" i="8"/>
  <c r="LK52" i="8"/>
  <c r="LL20" i="8"/>
  <c r="LG20" i="8"/>
  <c r="LH20" i="8"/>
  <c r="LI20" i="8"/>
  <c r="LJ20" i="8"/>
  <c r="LK20" i="8"/>
  <c r="LH12" i="8"/>
  <c r="LG49" i="8"/>
  <c r="LH49" i="8"/>
  <c r="LI49" i="8"/>
  <c r="LJ49" i="8"/>
  <c r="LK49" i="8"/>
  <c r="LL49" i="8"/>
  <c r="LG41" i="8"/>
  <c r="LH41" i="8"/>
  <c r="LI41" i="8"/>
  <c r="LJ41" i="8"/>
  <c r="LK41" i="8"/>
  <c r="LL41" i="8"/>
  <c r="LG33" i="8"/>
  <c r="LH33" i="8"/>
  <c r="LI33" i="8"/>
  <c r="LJ33" i="8"/>
  <c r="LK33" i="8"/>
  <c r="LL33" i="8"/>
  <c r="LG25" i="8"/>
  <c r="LH25" i="8"/>
  <c r="LI25" i="8"/>
  <c r="LJ25" i="8"/>
  <c r="LK25" i="8"/>
  <c r="LL25" i="8"/>
  <c r="LI17" i="8"/>
  <c r="LG9" i="8"/>
  <c r="LH46" i="8"/>
  <c r="LI46" i="8"/>
  <c r="LJ46" i="8"/>
  <c r="LG46" i="8"/>
  <c r="LK22" i="8"/>
  <c r="LL22" i="8"/>
  <c r="LJ6" i="8"/>
  <c r="LK6" i="8"/>
  <c r="LL6" i="8"/>
  <c r="LJ51" i="8"/>
  <c r="LK51" i="8"/>
  <c r="LL51" i="8"/>
  <c r="LG51" i="8"/>
  <c r="LH51" i="8"/>
  <c r="LI51" i="8"/>
  <c r="LJ43" i="8"/>
  <c r="LK43" i="8"/>
  <c r="LL43" i="8"/>
  <c r="LG43" i="8"/>
  <c r="LH43" i="8"/>
  <c r="LI43" i="8"/>
  <c r="LJ35" i="8"/>
  <c r="LK35" i="8"/>
  <c r="LL35" i="8"/>
  <c r="LG35" i="8"/>
  <c r="LH35" i="8"/>
  <c r="LI35" i="8"/>
  <c r="LJ27" i="8"/>
  <c r="LK27" i="8"/>
  <c r="LL27" i="8"/>
  <c r="LG27" i="8"/>
  <c r="LH27" i="8"/>
  <c r="LI27" i="8"/>
  <c r="LJ11" i="8"/>
  <c r="LK11" i="8"/>
  <c r="LL11" i="8"/>
  <c r="LG11" i="8"/>
  <c r="LH11" i="8"/>
  <c r="LI11" i="8"/>
  <c r="KU43" i="8"/>
  <c r="KV43" i="8"/>
  <c r="KW43" i="8"/>
  <c r="KR43" i="8"/>
  <c r="KS43" i="8"/>
  <c r="KW19" i="8"/>
  <c r="KS50" i="8"/>
  <c r="KT50" i="8"/>
  <c r="KU50" i="8"/>
  <c r="KV50" i="8"/>
  <c r="KW50" i="8"/>
  <c r="KW48" i="8"/>
  <c r="KR48" i="8"/>
  <c r="KS48" i="8"/>
  <c r="KT48" i="8"/>
  <c r="KU48" i="8"/>
  <c r="KR41" i="8"/>
  <c r="KS41" i="8"/>
  <c r="KT41" i="8"/>
  <c r="KU41" i="8"/>
  <c r="KV41" i="8"/>
  <c r="KW41" i="8"/>
  <c r="KS34" i="8"/>
  <c r="KT34" i="8"/>
  <c r="KU34" i="8"/>
  <c r="KV34" i="8"/>
  <c r="KW34" i="8"/>
  <c r="KW32" i="8"/>
  <c r="KR32" i="8"/>
  <c r="KS32" i="8"/>
  <c r="KT32" i="8"/>
  <c r="KU32" i="8"/>
  <c r="KR16" i="8"/>
  <c r="KU16" i="8"/>
  <c r="KW46" i="8"/>
  <c r="KW44" i="8"/>
  <c r="KR44" i="8"/>
  <c r="KS44" i="8"/>
  <c r="KT44" i="8"/>
  <c r="KS37" i="8"/>
  <c r="KT37" i="8"/>
  <c r="KU37" i="8"/>
  <c r="KV37" i="8"/>
  <c r="KW37" i="8"/>
  <c r="KS30" i="8"/>
  <c r="KT30" i="8"/>
  <c r="KU30" i="8"/>
  <c r="KV30" i="8"/>
  <c r="KW30" i="8"/>
  <c r="KS28" i="8"/>
  <c r="KT28" i="8"/>
  <c r="KR5" i="8"/>
  <c r="KS5" i="8"/>
  <c r="KT5" i="8"/>
  <c r="KU5" i="8"/>
  <c r="KV5" i="8"/>
  <c r="KW5" i="8"/>
  <c r="KU35" i="8"/>
  <c r="KV35" i="8"/>
  <c r="KW35" i="8"/>
  <c r="KR35" i="8"/>
  <c r="KS35" i="8"/>
  <c r="KU15" i="8"/>
  <c r="KV15" i="8"/>
  <c r="KW15" i="8"/>
  <c r="KR15" i="8"/>
  <c r="KS15" i="8"/>
  <c r="KT15" i="8"/>
  <c r="KU7" i="8"/>
  <c r="KV7" i="8"/>
  <c r="KT7" i="8"/>
  <c r="KW7" i="8"/>
  <c r="KR7" i="8"/>
  <c r="KS7" i="8"/>
  <c r="KS42" i="8"/>
  <c r="KT42" i="8"/>
  <c r="KU42" i="8"/>
  <c r="KV42" i="8"/>
  <c r="KW42" i="8"/>
  <c r="KW40" i="8"/>
  <c r="KR40" i="8"/>
  <c r="KS40" i="8"/>
  <c r="KT40" i="8"/>
  <c r="KU40" i="8"/>
  <c r="KR33" i="8"/>
  <c r="KS33" i="8"/>
  <c r="KT33" i="8"/>
  <c r="KU33" i="8"/>
  <c r="KV33" i="8"/>
  <c r="KW33" i="8"/>
  <c r="KS26" i="8"/>
  <c r="KT26" i="8"/>
  <c r="KU26" i="8"/>
  <c r="KV26" i="8"/>
  <c r="KW26" i="8"/>
  <c r="KW24" i="8"/>
  <c r="KR24" i="8"/>
  <c r="KS24" i="8"/>
  <c r="KT24" i="8"/>
  <c r="KU24" i="8"/>
  <c r="KW20" i="8"/>
  <c r="KR20" i="8"/>
  <c r="KV20" i="8"/>
  <c r="KS20" i="8"/>
  <c r="KT20" i="8"/>
  <c r="KU20" i="8"/>
  <c r="KW12" i="8"/>
  <c r="KV12" i="8"/>
  <c r="KR12" i="8"/>
  <c r="KS12" i="8"/>
  <c r="KT12" i="8"/>
  <c r="KU12" i="8"/>
  <c r="KR17" i="8"/>
  <c r="KS17" i="8"/>
  <c r="KT17" i="8"/>
  <c r="KU17" i="8"/>
  <c r="KV17" i="8"/>
  <c r="KW17" i="8"/>
  <c r="KR9" i="8"/>
  <c r="KS9" i="8"/>
  <c r="KT9" i="8"/>
  <c r="KU9" i="8"/>
  <c r="KV9" i="8"/>
  <c r="KW9" i="8"/>
  <c r="KS4" i="8"/>
  <c r="KS54" i="8"/>
  <c r="KT54" i="8"/>
  <c r="KU54" i="8"/>
  <c r="KW52" i="8"/>
  <c r="KR52" i="8"/>
  <c r="KS52" i="8"/>
  <c r="KT52" i="8"/>
  <c r="KU52" i="8"/>
  <c r="KS38" i="8"/>
  <c r="KT38" i="8"/>
  <c r="KU38" i="8"/>
  <c r="KV38" i="8"/>
  <c r="KW38" i="8"/>
  <c r="KW36" i="8"/>
  <c r="KR36" i="8"/>
  <c r="KS36" i="8"/>
  <c r="KT36" i="8"/>
  <c r="KU36" i="8"/>
  <c r="KS22" i="8"/>
  <c r="KT22" i="8"/>
  <c r="KU22" i="8"/>
  <c r="KC37" i="8"/>
  <c r="KD37" i="8"/>
  <c r="KE37" i="8"/>
  <c r="KF37" i="8"/>
  <c r="KG37" i="8"/>
  <c r="KH37" i="8"/>
  <c r="KD54" i="8"/>
  <c r="KE54" i="8"/>
  <c r="KF54" i="8"/>
  <c r="KG54" i="8"/>
  <c r="KH54" i="8"/>
  <c r="KH52" i="8"/>
  <c r="KC52" i="8"/>
  <c r="KD52" i="8"/>
  <c r="KE52" i="8"/>
  <c r="KF52" i="8"/>
  <c r="KH20" i="8"/>
  <c r="KG20" i="8"/>
  <c r="KC20" i="8"/>
  <c r="KD20" i="8"/>
  <c r="KE20" i="8"/>
  <c r="KF20" i="8"/>
  <c r="KC14" i="8"/>
  <c r="KH49" i="8"/>
  <c r="KF5" i="8"/>
  <c r="KH16" i="8"/>
  <c r="KG16" i="8"/>
  <c r="KC16" i="8"/>
  <c r="KD16" i="8"/>
  <c r="KE16" i="8"/>
  <c r="KF16" i="8"/>
  <c r="KF22" i="8"/>
  <c r="KC41" i="8"/>
  <c r="KD41" i="8"/>
  <c r="KE41" i="8"/>
  <c r="KF41" i="8"/>
  <c r="KG41" i="8"/>
  <c r="KH41" i="8"/>
  <c r="KC13" i="8"/>
  <c r="KD13" i="8"/>
  <c r="KE13" i="8"/>
  <c r="KF13" i="8"/>
  <c r="KG13" i="8"/>
  <c r="KH13" i="8"/>
  <c r="KH17" i="8"/>
  <c r="KH4" i="8"/>
  <c r="KC4" i="8"/>
  <c r="KD4" i="8"/>
  <c r="KE4" i="8"/>
  <c r="KG4" i="8"/>
  <c r="KF4" i="8"/>
  <c r="KD50" i="8"/>
  <c r="KE50" i="8"/>
  <c r="KF50" i="8"/>
  <c r="KG50" i="8"/>
  <c r="KH50" i="8"/>
  <c r="KH48" i="8"/>
  <c r="KC48" i="8"/>
  <c r="KD48" i="8"/>
  <c r="KE48" i="8"/>
  <c r="KF48" i="8"/>
  <c r="KG34" i="8"/>
  <c r="KH8" i="8"/>
  <c r="KG8" i="8"/>
  <c r="KC8" i="8"/>
  <c r="KF8" i="8"/>
  <c r="KD43" i="8"/>
  <c r="KD39" i="8"/>
  <c r="KD11" i="8"/>
  <c r="KH43" i="8"/>
  <c r="KH39" i="8"/>
  <c r="KH27" i="8"/>
  <c r="KH11" i="8"/>
  <c r="KG39" i="8"/>
  <c r="KG31" i="8"/>
  <c r="KG19" i="8"/>
  <c r="KG11" i="8"/>
  <c r="JN36" i="8"/>
  <c r="JN29" i="8"/>
  <c r="JO29" i="8"/>
  <c r="JP29" i="8"/>
  <c r="JQ29" i="8"/>
  <c r="JR29" i="8"/>
  <c r="JS29" i="8"/>
  <c r="JQ27" i="8"/>
  <c r="JR27" i="8"/>
  <c r="JS27" i="8"/>
  <c r="JN27" i="8"/>
  <c r="JO27" i="8"/>
  <c r="JS34" i="8"/>
  <c r="JN25" i="8"/>
  <c r="JO25" i="8"/>
  <c r="JP25" i="8"/>
  <c r="JQ25" i="8"/>
  <c r="JR25" i="8"/>
  <c r="JS25" i="8"/>
  <c r="JR19" i="8"/>
  <c r="JQ11" i="8"/>
  <c r="JR11" i="8"/>
  <c r="JS11" i="8"/>
  <c r="JN11" i="8"/>
  <c r="JP11" i="8"/>
  <c r="JO11" i="8"/>
  <c r="JQ23" i="8"/>
  <c r="JR23" i="8"/>
  <c r="JS23" i="8"/>
  <c r="JN23" i="8"/>
  <c r="JO23" i="8"/>
  <c r="JS16" i="8"/>
  <c r="JR16" i="8"/>
  <c r="JN16" i="8"/>
  <c r="JO16" i="8"/>
  <c r="JP16" i="8"/>
  <c r="JQ16" i="8"/>
  <c r="JS8" i="8"/>
  <c r="JR8" i="8"/>
  <c r="JN8" i="8"/>
  <c r="JO8" i="8"/>
  <c r="JP8" i="8"/>
  <c r="JQ8" i="8"/>
  <c r="JP44" i="8"/>
  <c r="JS21" i="8"/>
  <c r="JN13" i="8"/>
  <c r="JO13" i="8"/>
  <c r="JP13" i="8"/>
  <c r="JQ13" i="8"/>
  <c r="JR13" i="8"/>
  <c r="JS13" i="8"/>
  <c r="JQ31" i="8"/>
  <c r="JQ12" i="8"/>
  <c r="JO10" i="8"/>
  <c r="JS40" i="8"/>
  <c r="JO26" i="8"/>
  <c r="JP26" i="8"/>
  <c r="JQ4" i="8"/>
  <c r="JO4" i="8"/>
  <c r="JN4" i="8"/>
  <c r="JB55" i="8"/>
  <c r="JC55" i="8"/>
  <c r="JD55" i="8"/>
  <c r="IY55" i="8"/>
  <c r="IZ34" i="8"/>
  <c r="IY49" i="8"/>
  <c r="IZ49" i="8"/>
  <c r="JA49" i="8"/>
  <c r="JB49" i="8"/>
  <c r="JC49" i="8"/>
  <c r="IY53" i="8"/>
  <c r="IZ53" i="8"/>
  <c r="JA53" i="8"/>
  <c r="JB53" i="8"/>
  <c r="JC53" i="8"/>
  <c r="JD16" i="8"/>
  <c r="JB16" i="8"/>
  <c r="IY16" i="8"/>
  <c r="IZ16" i="8"/>
  <c r="JA16" i="8"/>
  <c r="JA55" i="8"/>
  <c r="JB47" i="8"/>
  <c r="JC47" i="8"/>
  <c r="JD47" i="8"/>
  <c r="IY47" i="8"/>
  <c r="IZ55" i="8"/>
  <c r="JB22" i="8"/>
  <c r="IM55" i="8"/>
  <c r="IN55" i="8"/>
  <c r="IO55" i="8"/>
  <c r="IK55" i="8"/>
  <c r="IM47" i="8"/>
  <c r="IN47" i="8"/>
  <c r="IO47" i="8"/>
  <c r="IK47" i="8"/>
  <c r="IJ47" i="8"/>
  <c r="IM36" i="8"/>
  <c r="IN34" i="8"/>
  <c r="IM21" i="8"/>
  <c r="IJ21" i="8"/>
  <c r="IK21" i="8"/>
  <c r="IL21" i="8"/>
  <c r="IO21" i="8"/>
  <c r="IJ5" i="8"/>
  <c r="IK5" i="8"/>
  <c r="IL5" i="8"/>
  <c r="IM5" i="8"/>
  <c r="IO5" i="8"/>
  <c r="IJ49" i="8"/>
  <c r="IK49" i="8"/>
  <c r="IL49" i="8"/>
  <c r="IO49" i="8"/>
  <c r="IL38" i="8"/>
  <c r="IM38" i="8"/>
  <c r="IM51" i="8"/>
  <c r="IN51" i="8"/>
  <c r="IO51" i="8"/>
  <c r="IK51" i="8"/>
  <c r="IL44" i="8"/>
  <c r="IL55" i="8"/>
  <c r="IO53" i="8"/>
  <c r="IN36" i="8"/>
  <c r="IK19" i="8"/>
  <c r="IO19" i="8"/>
  <c r="IN23" i="8"/>
  <c r="IN19" i="8"/>
  <c r="HZ19" i="8"/>
  <c r="HV38" i="8"/>
  <c r="HT22" i="8"/>
  <c r="HX22" i="8" s="1"/>
  <c r="HT18" i="8"/>
  <c r="HX18" i="8" s="1"/>
  <c r="HT10" i="8"/>
  <c r="HW10" i="8" s="1"/>
  <c r="HT6" i="8"/>
  <c r="HX6" i="8" s="1"/>
  <c r="GP14" i="8"/>
  <c r="GQ14" i="8" s="1"/>
  <c r="GP10" i="8"/>
  <c r="GQ10" i="8" s="1"/>
  <c r="GP6" i="8"/>
  <c r="GQ6" i="8" s="1"/>
  <c r="GB32" i="8"/>
  <c r="GC32" i="8"/>
  <c r="GA37" i="8"/>
  <c r="GC37" i="8" s="1"/>
  <c r="GA33" i="8"/>
  <c r="GA29" i="8"/>
  <c r="GC29" i="8" s="1"/>
  <c r="GA25" i="8"/>
  <c r="GG25" i="8" s="1"/>
  <c r="GA21" i="8"/>
  <c r="GA17" i="8"/>
  <c r="GF17" i="8" s="1"/>
  <c r="FQ54" i="8"/>
  <c r="FM17" i="8"/>
  <c r="FC37" i="8"/>
  <c r="EX41" i="8"/>
  <c r="EH54" i="8"/>
  <c r="EM54" i="8" s="1"/>
  <c r="DU29" i="8"/>
  <c r="DT8" i="8"/>
  <c r="DU8" i="8"/>
  <c r="DT23" i="8"/>
  <c r="DU23" i="8"/>
  <c r="DW23" i="8"/>
  <c r="DY42" i="8"/>
  <c r="DT42" i="8"/>
  <c r="DU42" i="8"/>
  <c r="DS41" i="8"/>
  <c r="DS33" i="8"/>
  <c r="DT33" i="8" s="1"/>
  <c r="DS25" i="8"/>
  <c r="DD21" i="8"/>
  <c r="DG21" i="8" s="1"/>
  <c r="DD17" i="8"/>
  <c r="DG17" i="8" s="1"/>
  <c r="DD13" i="8"/>
  <c r="DD47" i="8"/>
  <c r="DG47" i="8" s="1"/>
  <c r="R14" i="8"/>
  <c r="T14" i="8" s="1"/>
  <c r="R28" i="8"/>
  <c r="V28" i="8" s="1"/>
  <c r="R36" i="8"/>
  <c r="S36" i="8" s="1"/>
  <c r="R52" i="8"/>
  <c r="T52" i="8" s="1"/>
  <c r="R4" i="8"/>
  <c r="S4" i="8" s="1"/>
  <c r="R44" i="8"/>
  <c r="U44" i="8" s="1"/>
  <c r="BZ33" i="8"/>
  <c r="CB33" i="8" s="1"/>
  <c r="BZ29" i="8"/>
  <c r="CB29" i="8" s="1"/>
  <c r="BZ34" i="8"/>
  <c r="CC34" i="8" s="1"/>
  <c r="H3" i="8"/>
  <c r="G3" i="8"/>
  <c r="I3" i="8"/>
  <c r="F3" i="8"/>
  <c r="E3" i="8"/>
  <c r="LJ10" i="8"/>
  <c r="LI10" i="8"/>
  <c r="LZ14" i="8"/>
  <c r="MN46" i="8"/>
  <c r="LY14" i="8"/>
  <c r="MM46" i="8"/>
  <c r="LX14" i="8"/>
  <c r="ML46" i="8"/>
  <c r="LV14" i="8"/>
  <c r="MP46" i="8"/>
  <c r="MZ17" i="8"/>
  <c r="LG14" i="8"/>
  <c r="MZ6" i="8"/>
  <c r="LL14" i="8"/>
  <c r="LJ22" i="8"/>
  <c r="NE6" i="8"/>
  <c r="LK14" i="8"/>
  <c r="LI22" i="8"/>
  <c r="LJ45" i="8"/>
  <c r="MA10" i="8"/>
  <c r="ND6" i="8"/>
  <c r="LJ14" i="8"/>
  <c r="LH22" i="8"/>
  <c r="NC6" i="8"/>
  <c r="LI14" i="8"/>
  <c r="LH45" i="8"/>
  <c r="LY10" i="8"/>
  <c r="NB6" i="8"/>
  <c r="LV10" i="8"/>
  <c r="ML45" i="8"/>
  <c r="MZ10" i="8"/>
  <c r="NA18" i="8"/>
  <c r="NC18" i="8"/>
  <c r="NA22" i="8"/>
  <c r="NB22" i="8"/>
  <c r="NC22" i="8"/>
  <c r="ND22" i="8"/>
  <c r="NE22" i="8"/>
  <c r="MZ22" i="8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5" i="3"/>
  <c r="BL7" i="3"/>
  <c r="BQ7" i="3"/>
  <c r="AW5" i="3"/>
  <c r="AY5" i="3" s="1"/>
  <c r="AW3" i="3"/>
  <c r="AY3" i="3" s="1"/>
  <c r="DN31" i="3"/>
  <c r="DM31" i="3"/>
  <c r="DL31" i="3"/>
  <c r="DK31" i="3"/>
  <c r="DJ31" i="3"/>
  <c r="DI31" i="3"/>
  <c r="DH31" i="3"/>
  <c r="DG31" i="3"/>
  <c r="DF31" i="3"/>
  <c r="DN30" i="3"/>
  <c r="DM30" i="3"/>
  <c r="DL30" i="3"/>
  <c r="DK30" i="3"/>
  <c r="DJ30" i="3"/>
  <c r="DI30" i="3"/>
  <c r="DH30" i="3"/>
  <c r="DG30" i="3"/>
  <c r="DF30" i="3"/>
  <c r="DN29" i="3"/>
  <c r="DM29" i="3"/>
  <c r="DL29" i="3"/>
  <c r="DK29" i="3"/>
  <c r="DJ29" i="3"/>
  <c r="DI29" i="3"/>
  <c r="DH29" i="3"/>
  <c r="DG29" i="3"/>
  <c r="DF29" i="3"/>
  <c r="DN28" i="3"/>
  <c r="DM28" i="3"/>
  <c r="DL28" i="3"/>
  <c r="DK28" i="3"/>
  <c r="DJ28" i="3"/>
  <c r="DI28" i="3"/>
  <c r="DH28" i="3"/>
  <c r="DG28" i="3"/>
  <c r="DF28" i="3"/>
  <c r="DN27" i="3"/>
  <c r="DM27" i="3"/>
  <c r="DL27" i="3"/>
  <c r="DK27" i="3"/>
  <c r="DJ27" i="3"/>
  <c r="DI27" i="3"/>
  <c r="DH27" i="3"/>
  <c r="DG27" i="3"/>
  <c r="DF27" i="3"/>
  <c r="DN26" i="3"/>
  <c r="DM26" i="3"/>
  <c r="DL26" i="3"/>
  <c r="DK26" i="3"/>
  <c r="DJ26" i="3"/>
  <c r="DI26" i="3"/>
  <c r="DH26" i="3"/>
  <c r="DG26" i="3"/>
  <c r="DF26" i="3"/>
  <c r="DN25" i="3"/>
  <c r="DM25" i="3"/>
  <c r="DL25" i="3"/>
  <c r="DK25" i="3"/>
  <c r="DJ25" i="3"/>
  <c r="DI25" i="3"/>
  <c r="DH25" i="3"/>
  <c r="DG25" i="3"/>
  <c r="DF25" i="3"/>
  <c r="DN24" i="3"/>
  <c r="DM24" i="3"/>
  <c r="DL24" i="3"/>
  <c r="DK24" i="3"/>
  <c r="DJ24" i="3"/>
  <c r="DI24" i="3"/>
  <c r="DH24" i="3"/>
  <c r="DG24" i="3"/>
  <c r="DF24" i="3"/>
  <c r="DN23" i="3"/>
  <c r="DM23" i="3"/>
  <c r="DL23" i="3"/>
  <c r="DK23" i="3"/>
  <c r="DJ23" i="3"/>
  <c r="DI23" i="3"/>
  <c r="DH23" i="3"/>
  <c r="DG23" i="3"/>
  <c r="DF23" i="3"/>
  <c r="DN22" i="3"/>
  <c r="DM22" i="3"/>
  <c r="DL22" i="3"/>
  <c r="DK22" i="3"/>
  <c r="DJ22" i="3"/>
  <c r="DI22" i="3"/>
  <c r="DH22" i="3"/>
  <c r="DG22" i="3"/>
  <c r="DF22" i="3"/>
  <c r="DN21" i="3"/>
  <c r="DM21" i="3"/>
  <c r="DL21" i="3"/>
  <c r="DK21" i="3"/>
  <c r="DJ21" i="3"/>
  <c r="DI21" i="3"/>
  <c r="DH21" i="3"/>
  <c r="DG21" i="3"/>
  <c r="DF21" i="3"/>
  <c r="DN20" i="3"/>
  <c r="DM20" i="3"/>
  <c r="DL20" i="3"/>
  <c r="DK20" i="3"/>
  <c r="DJ20" i="3"/>
  <c r="DI20" i="3"/>
  <c r="DH20" i="3"/>
  <c r="DG20" i="3"/>
  <c r="DF20" i="3"/>
  <c r="DN19" i="3"/>
  <c r="DM19" i="3"/>
  <c r="DL19" i="3"/>
  <c r="DK19" i="3"/>
  <c r="DJ19" i="3"/>
  <c r="DI19" i="3"/>
  <c r="DH19" i="3"/>
  <c r="DG19" i="3"/>
  <c r="DF19" i="3"/>
  <c r="DN18" i="3"/>
  <c r="DM18" i="3"/>
  <c r="DL18" i="3"/>
  <c r="DK18" i="3"/>
  <c r="DJ18" i="3"/>
  <c r="DI18" i="3"/>
  <c r="DH18" i="3"/>
  <c r="DG18" i="3"/>
  <c r="DF18" i="3"/>
  <c r="DN17" i="3"/>
  <c r="DM17" i="3"/>
  <c r="DL17" i="3"/>
  <c r="DK17" i="3"/>
  <c r="DJ17" i="3"/>
  <c r="DI17" i="3"/>
  <c r="DH17" i="3"/>
  <c r="DG17" i="3"/>
  <c r="DF17" i="3"/>
  <c r="DN16" i="3"/>
  <c r="DM16" i="3"/>
  <c r="DL16" i="3"/>
  <c r="DK16" i="3"/>
  <c r="DJ16" i="3"/>
  <c r="DI16" i="3"/>
  <c r="DH16" i="3"/>
  <c r="DG16" i="3"/>
  <c r="DF16" i="3"/>
  <c r="DN15" i="3"/>
  <c r="DM15" i="3"/>
  <c r="DL15" i="3"/>
  <c r="DK15" i="3"/>
  <c r="DJ15" i="3"/>
  <c r="DI15" i="3"/>
  <c r="DH15" i="3"/>
  <c r="DG15" i="3"/>
  <c r="DF15" i="3"/>
  <c r="DN14" i="3"/>
  <c r="DM14" i="3"/>
  <c r="DL14" i="3"/>
  <c r="DK14" i="3"/>
  <c r="DJ14" i="3"/>
  <c r="DI14" i="3"/>
  <c r="DH14" i="3"/>
  <c r="DG14" i="3"/>
  <c r="DF14" i="3"/>
  <c r="DN13" i="3"/>
  <c r="DM13" i="3"/>
  <c r="DL13" i="3"/>
  <c r="DK13" i="3"/>
  <c r="DJ13" i="3"/>
  <c r="DI13" i="3"/>
  <c r="DH13" i="3"/>
  <c r="DG13" i="3"/>
  <c r="DF13" i="3"/>
  <c r="DN12" i="3"/>
  <c r="DM12" i="3"/>
  <c r="DL12" i="3"/>
  <c r="DK12" i="3"/>
  <c r="DJ12" i="3"/>
  <c r="DI12" i="3"/>
  <c r="DH12" i="3"/>
  <c r="DG12" i="3"/>
  <c r="DF12" i="3"/>
  <c r="DN11" i="3"/>
  <c r="DM11" i="3"/>
  <c r="DL11" i="3"/>
  <c r="DK11" i="3"/>
  <c r="DJ11" i="3"/>
  <c r="DI11" i="3"/>
  <c r="DH11" i="3"/>
  <c r="DG11" i="3"/>
  <c r="DF11" i="3"/>
  <c r="DN10" i="3"/>
  <c r="DM10" i="3"/>
  <c r="DL10" i="3"/>
  <c r="DK10" i="3"/>
  <c r="DJ10" i="3"/>
  <c r="DI10" i="3"/>
  <c r="DH10" i="3"/>
  <c r="DG10" i="3"/>
  <c r="DF10" i="3"/>
  <c r="DN9" i="3"/>
  <c r="DM9" i="3"/>
  <c r="DL9" i="3"/>
  <c r="DK9" i="3"/>
  <c r="DJ9" i="3"/>
  <c r="DI9" i="3"/>
  <c r="DH9" i="3"/>
  <c r="DG9" i="3"/>
  <c r="DF9" i="3"/>
  <c r="DN8" i="3"/>
  <c r="DM8" i="3"/>
  <c r="DL8" i="3"/>
  <c r="DK8" i="3"/>
  <c r="DJ8" i="3"/>
  <c r="DI8" i="3"/>
  <c r="DH8" i="3"/>
  <c r="DG8" i="3"/>
  <c r="DF8" i="3"/>
  <c r="DN7" i="3"/>
  <c r="DM7" i="3"/>
  <c r="DL7" i="3"/>
  <c r="DK7" i="3"/>
  <c r="DJ7" i="3"/>
  <c r="DI7" i="3"/>
  <c r="DH7" i="3"/>
  <c r="DG7" i="3"/>
  <c r="DF7" i="3"/>
  <c r="MY3" i="8"/>
  <c r="MZ3" i="8" s="1"/>
  <c r="MJ3" i="8"/>
  <c r="ML3" i="8" s="1"/>
  <c r="LU3" i="8"/>
  <c r="LV3" i="8" s="1"/>
  <c r="LF3" i="8"/>
  <c r="LL3" i="8" s="1"/>
  <c r="KQ3" i="8"/>
  <c r="KB3" i="8"/>
  <c r="KD3" i="8" s="1"/>
  <c r="JM3" i="8"/>
  <c r="JQ3" i="8" s="1"/>
  <c r="IX3" i="8"/>
  <c r="JA3" i="8" s="1"/>
  <c r="II3" i="8"/>
  <c r="IM3" i="8" s="1"/>
  <c r="HT3" i="8"/>
  <c r="HZ3" i="8" s="1"/>
  <c r="HE3" i="8"/>
  <c r="HH3" i="8" s="1"/>
  <c r="GP3" i="8"/>
  <c r="GT3" i="8" s="1"/>
  <c r="GA3" i="8"/>
  <c r="GC3" i="8" s="1"/>
  <c r="FL3" i="8"/>
  <c r="FO3" i="8" s="1"/>
  <c r="AD15" i="3"/>
  <c r="AC17" i="3"/>
  <c r="AC18" i="3"/>
  <c r="AC16" i="3"/>
  <c r="AC15" i="3"/>
  <c r="BC32" i="3"/>
  <c r="BD32" i="3"/>
  <c r="BQ32" i="3"/>
  <c r="BR32" i="3"/>
  <c r="BS32" i="3"/>
  <c r="BT32" i="3"/>
  <c r="BU32" i="3"/>
  <c r="BV32" i="3"/>
  <c r="BW32" i="3"/>
  <c r="BX32" i="3"/>
  <c r="BY32" i="3"/>
  <c r="AG10" i="3"/>
  <c r="AG11" i="3"/>
  <c r="AG12" i="3"/>
  <c r="EW3" i="8"/>
  <c r="EY3" i="8" s="1"/>
  <c r="EH3" i="8"/>
  <c r="EI3" i="8" s="1"/>
  <c r="DS3" i="8"/>
  <c r="DX3" i="8" s="1"/>
  <c r="DD3" i="8"/>
  <c r="DG3" i="8" s="1"/>
  <c r="CO3" i="8"/>
  <c r="CT3" i="8" s="1"/>
  <c r="BZ3" i="8"/>
  <c r="CA3" i="8" s="1"/>
  <c r="BK3" i="8"/>
  <c r="BP3" i="8" s="1"/>
  <c r="AV3" i="8"/>
  <c r="AW3" i="8" s="1"/>
  <c r="AG3" i="8"/>
  <c r="AI3" i="8" s="1"/>
  <c r="R3" i="8"/>
  <c r="X3" i="8" s="1"/>
  <c r="V4" i="7"/>
  <c r="V6" i="7"/>
  <c r="L5" i="7"/>
  <c r="M5" i="7"/>
  <c r="N5" i="7"/>
  <c r="O5" i="7"/>
  <c r="L6" i="7"/>
  <c r="M6" i="7"/>
  <c r="N6" i="7"/>
  <c r="O6" i="7"/>
  <c r="L7" i="7"/>
  <c r="M7" i="7"/>
  <c r="N7" i="7"/>
  <c r="O7" i="7"/>
  <c r="L8" i="7"/>
  <c r="M8" i="7"/>
  <c r="N8" i="7"/>
  <c r="O8" i="7"/>
  <c r="L9" i="7"/>
  <c r="M9" i="7"/>
  <c r="N9" i="7"/>
  <c r="O9" i="7"/>
  <c r="L10" i="7"/>
  <c r="M10" i="7"/>
  <c r="N10" i="7"/>
  <c r="O10" i="7"/>
  <c r="L11" i="7"/>
  <c r="M11" i="7"/>
  <c r="N11" i="7"/>
  <c r="O11" i="7"/>
  <c r="L12" i="7"/>
  <c r="M12" i="7"/>
  <c r="N12" i="7"/>
  <c r="O12" i="7"/>
  <c r="L13" i="7"/>
  <c r="M13" i="7"/>
  <c r="N13" i="7"/>
  <c r="O13" i="7"/>
  <c r="L14" i="7"/>
  <c r="M14" i="7"/>
  <c r="N14" i="7"/>
  <c r="O14" i="7"/>
  <c r="L15" i="7"/>
  <c r="M15" i="7"/>
  <c r="N15" i="7"/>
  <c r="O15" i="7"/>
  <c r="L16" i="7"/>
  <c r="M16" i="7"/>
  <c r="N16" i="7"/>
  <c r="O16" i="7"/>
  <c r="L17" i="7"/>
  <c r="M17" i="7"/>
  <c r="N17" i="7"/>
  <c r="O17" i="7"/>
  <c r="L18" i="7"/>
  <c r="M18" i="7"/>
  <c r="N18" i="7"/>
  <c r="O18" i="7"/>
  <c r="L19" i="7"/>
  <c r="M19" i="7"/>
  <c r="N19" i="7"/>
  <c r="O19" i="7"/>
  <c r="L20" i="7"/>
  <c r="M20" i="7"/>
  <c r="N20" i="7"/>
  <c r="O20" i="7"/>
  <c r="L21" i="7"/>
  <c r="M21" i="7"/>
  <c r="N21" i="7"/>
  <c r="O21" i="7"/>
  <c r="L22" i="7"/>
  <c r="M22" i="7"/>
  <c r="N22" i="7"/>
  <c r="O22" i="7"/>
  <c r="L23" i="7"/>
  <c r="M23" i="7"/>
  <c r="N23" i="7"/>
  <c r="O23" i="7"/>
  <c r="L24" i="7"/>
  <c r="M24" i="7"/>
  <c r="N24" i="7"/>
  <c r="O24" i="7"/>
  <c r="L25" i="7"/>
  <c r="M25" i="7"/>
  <c r="N25" i="7"/>
  <c r="O25" i="7"/>
  <c r="L26" i="7"/>
  <c r="M26" i="7"/>
  <c r="N26" i="7"/>
  <c r="O26" i="7"/>
  <c r="L27" i="7"/>
  <c r="M27" i="7"/>
  <c r="N27" i="7"/>
  <c r="O27" i="7"/>
  <c r="L28" i="7"/>
  <c r="M28" i="7"/>
  <c r="N28" i="7"/>
  <c r="O28" i="7"/>
  <c r="L29" i="7"/>
  <c r="M29" i="7"/>
  <c r="N29" i="7"/>
  <c r="O29" i="7"/>
  <c r="L30" i="7"/>
  <c r="M30" i="7"/>
  <c r="N30" i="7"/>
  <c r="O30" i="7"/>
  <c r="P30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A19" i="7" s="1"/>
  <c r="Q20" i="7"/>
  <c r="Q21" i="7"/>
  <c r="Q22" i="7"/>
  <c r="Q23" i="7"/>
  <c r="A23" i="7" s="1"/>
  <c r="Q24" i="7"/>
  <c r="A24" i="7" s="1"/>
  <c r="Q25" i="7"/>
  <c r="A25" i="7" s="1"/>
  <c r="Q26" i="7"/>
  <c r="A26" i="7"/>
  <c r="Q27" i="7"/>
  <c r="A27" i="7" s="1"/>
  <c r="Q28" i="7"/>
  <c r="A28" i="7" s="1"/>
  <c r="Q29" i="7"/>
  <c r="A29" i="7" s="1"/>
  <c r="Q30" i="7"/>
  <c r="A30" i="7" s="1"/>
  <c r="Q5" i="7"/>
  <c r="A5" i="7" s="1"/>
  <c r="T32" i="7"/>
  <c r="S30" i="7"/>
  <c r="R30" i="7"/>
  <c r="J30" i="7"/>
  <c r="I30" i="7"/>
  <c r="H30" i="7"/>
  <c r="G30" i="7"/>
  <c r="F30" i="7"/>
  <c r="E30" i="7"/>
  <c r="D30" i="7"/>
  <c r="C30" i="7"/>
  <c r="B30" i="7"/>
  <c r="T31" i="7"/>
  <c r="S29" i="7"/>
  <c r="C29" i="7"/>
  <c r="B29" i="7"/>
  <c r="T30" i="7"/>
  <c r="S28" i="7"/>
  <c r="C28" i="7"/>
  <c r="B28" i="7"/>
  <c r="T29" i="7"/>
  <c r="S27" i="7"/>
  <c r="C27" i="7"/>
  <c r="B27" i="7"/>
  <c r="T28" i="7"/>
  <c r="S26" i="7"/>
  <c r="C26" i="7"/>
  <c r="B26" i="7"/>
  <c r="T27" i="7"/>
  <c r="S25" i="7"/>
  <c r="C25" i="7"/>
  <c r="B25" i="7"/>
  <c r="T26" i="7"/>
  <c r="S24" i="7"/>
  <c r="C24" i="7"/>
  <c r="B24" i="7"/>
  <c r="T25" i="7"/>
  <c r="S23" i="7"/>
  <c r="C23" i="7"/>
  <c r="B23" i="7"/>
  <c r="T24" i="7"/>
  <c r="S22" i="7"/>
  <c r="C22" i="7"/>
  <c r="B22" i="7"/>
  <c r="T23" i="7"/>
  <c r="S21" i="7"/>
  <c r="C21" i="7"/>
  <c r="B21" i="7"/>
  <c r="T22" i="7"/>
  <c r="S20" i="7"/>
  <c r="C20" i="7"/>
  <c r="B20" i="7"/>
  <c r="T21" i="7"/>
  <c r="S19" i="7"/>
  <c r="C19" i="7"/>
  <c r="B19" i="7"/>
  <c r="T20" i="7"/>
  <c r="S18" i="7"/>
  <c r="C18" i="7"/>
  <c r="B18" i="7"/>
  <c r="T19" i="7"/>
  <c r="S17" i="7"/>
  <c r="C17" i="7"/>
  <c r="B17" i="7"/>
  <c r="T18" i="7"/>
  <c r="S16" i="7"/>
  <c r="C16" i="7"/>
  <c r="B16" i="7"/>
  <c r="T17" i="7"/>
  <c r="S15" i="7"/>
  <c r="C15" i="7"/>
  <c r="B15" i="7"/>
  <c r="T16" i="7"/>
  <c r="S14" i="7"/>
  <c r="C14" i="7"/>
  <c r="B14" i="7"/>
  <c r="T15" i="7"/>
  <c r="S13" i="7"/>
  <c r="C13" i="7"/>
  <c r="B13" i="7"/>
  <c r="T14" i="7"/>
  <c r="S12" i="7"/>
  <c r="C12" i="7"/>
  <c r="B12" i="7"/>
  <c r="T13" i="7"/>
  <c r="S11" i="7"/>
  <c r="C11" i="7"/>
  <c r="B11" i="7"/>
  <c r="T12" i="7"/>
  <c r="S10" i="7"/>
  <c r="C10" i="7"/>
  <c r="B10" i="7"/>
  <c r="T11" i="7"/>
  <c r="S9" i="7"/>
  <c r="C9" i="7"/>
  <c r="B9" i="7"/>
  <c r="T10" i="7"/>
  <c r="S8" i="7"/>
  <c r="C8" i="7"/>
  <c r="B8" i="7"/>
  <c r="T9" i="7"/>
  <c r="S7" i="7"/>
  <c r="C7" i="7"/>
  <c r="B7" i="7"/>
  <c r="T8" i="7"/>
  <c r="S6" i="7"/>
  <c r="C6" i="7"/>
  <c r="B6" i="7"/>
  <c r="S5" i="7"/>
  <c r="C5" i="7"/>
  <c r="B5" i="7"/>
  <c r="S4" i="7"/>
  <c r="R4" i="7"/>
  <c r="Q4" i="7"/>
  <c r="P4" i="7"/>
  <c r="O4" i="7"/>
  <c r="N4" i="7"/>
  <c r="M4" i="7"/>
  <c r="L4" i="7"/>
  <c r="K4" i="7"/>
  <c r="J4" i="7"/>
  <c r="H4" i="7"/>
  <c r="G4" i="7"/>
  <c r="F4" i="7"/>
  <c r="E4" i="7"/>
  <c r="C4" i="7"/>
  <c r="B4" i="7"/>
  <c r="S3" i="7"/>
  <c r="Q3" i="7"/>
  <c r="P3" i="7"/>
  <c r="N3" i="7"/>
  <c r="M3" i="7"/>
  <c r="L3" i="7"/>
  <c r="K3" i="7"/>
  <c r="J3" i="7"/>
  <c r="I3" i="7"/>
  <c r="F3" i="7"/>
  <c r="E3" i="7"/>
  <c r="D3" i="7"/>
  <c r="C3" i="7"/>
  <c r="B3" i="7"/>
  <c r="B3" i="5"/>
  <c r="C1" i="6" s="1"/>
  <c r="AW4" i="3"/>
  <c r="AX4" i="3" s="1"/>
  <c r="O4" i="5"/>
  <c r="BC8" i="3"/>
  <c r="BD8" i="3"/>
  <c r="BC9" i="3"/>
  <c r="BD9" i="3"/>
  <c r="BC10" i="3"/>
  <c r="BD10" i="3"/>
  <c r="BC11" i="3"/>
  <c r="BD11" i="3"/>
  <c r="BC12" i="3"/>
  <c r="BD12" i="3"/>
  <c r="BC13" i="3"/>
  <c r="BD13" i="3"/>
  <c r="BC14" i="3"/>
  <c r="BD14" i="3"/>
  <c r="BC15" i="3"/>
  <c r="BD15" i="3"/>
  <c r="BC16" i="3"/>
  <c r="BD16" i="3"/>
  <c r="BC17" i="3"/>
  <c r="BD17" i="3"/>
  <c r="BC18" i="3"/>
  <c r="BD18" i="3"/>
  <c r="BC19" i="3"/>
  <c r="BD19" i="3"/>
  <c r="BC20" i="3"/>
  <c r="BD20" i="3"/>
  <c r="BC21" i="3"/>
  <c r="BD21" i="3"/>
  <c r="BC22" i="3"/>
  <c r="BD22" i="3"/>
  <c r="BC23" i="3"/>
  <c r="BD23" i="3"/>
  <c r="BC24" i="3"/>
  <c r="BD24" i="3"/>
  <c r="BC25" i="3"/>
  <c r="BD25" i="3"/>
  <c r="BC26" i="3"/>
  <c r="BD26" i="3"/>
  <c r="BC27" i="3"/>
  <c r="BD27" i="3"/>
  <c r="BC28" i="3"/>
  <c r="BD28" i="3"/>
  <c r="BC29" i="3"/>
  <c r="BD29" i="3"/>
  <c r="BC30" i="3"/>
  <c r="BD30" i="3"/>
  <c r="BC31" i="3"/>
  <c r="BD31" i="3"/>
  <c r="BC33" i="3"/>
  <c r="BD33" i="3"/>
  <c r="BC34" i="3"/>
  <c r="BD34" i="3"/>
  <c r="BC35" i="3"/>
  <c r="BD35" i="3"/>
  <c r="BC36" i="3"/>
  <c r="BD36" i="3"/>
  <c r="BC37" i="3"/>
  <c r="BD37" i="3"/>
  <c r="BD7" i="3"/>
  <c r="BC7" i="3"/>
  <c r="B3" i="6"/>
  <c r="F3" i="6"/>
  <c r="E3" i="6"/>
  <c r="B4" i="5"/>
  <c r="A3" i="6" s="1"/>
  <c r="C4" i="5"/>
  <c r="E4" i="5"/>
  <c r="C3" i="6" s="1"/>
  <c r="F4" i="5"/>
  <c r="D3" i="6" s="1"/>
  <c r="G4" i="5"/>
  <c r="H4" i="5"/>
  <c r="J4" i="5"/>
  <c r="G3" i="6" s="1"/>
  <c r="K4" i="5"/>
  <c r="L4" i="5"/>
  <c r="M4" i="5"/>
  <c r="N4" i="5"/>
  <c r="P4" i="5"/>
  <c r="I3" i="6" s="1"/>
  <c r="Q4" i="5"/>
  <c r="J3" i="6" s="1"/>
  <c r="R4" i="5"/>
  <c r="S4" i="5"/>
  <c r="S5" i="5"/>
  <c r="T5" i="5"/>
  <c r="S6" i="5"/>
  <c r="T6" i="5"/>
  <c r="S7" i="5"/>
  <c r="T7" i="5"/>
  <c r="S8" i="5"/>
  <c r="T8" i="5"/>
  <c r="S9" i="5"/>
  <c r="T9" i="5"/>
  <c r="S10" i="5"/>
  <c r="T10" i="5"/>
  <c r="S11" i="5"/>
  <c r="T11" i="5"/>
  <c r="S12" i="5"/>
  <c r="T12" i="5"/>
  <c r="S13" i="5"/>
  <c r="T13" i="5"/>
  <c r="S14" i="5"/>
  <c r="T14" i="5"/>
  <c r="S15" i="5"/>
  <c r="T15" i="5"/>
  <c r="S16" i="5"/>
  <c r="T16" i="5"/>
  <c r="S17" i="5"/>
  <c r="T17" i="5"/>
  <c r="S18" i="5"/>
  <c r="T18" i="5"/>
  <c r="S19" i="5"/>
  <c r="T19" i="5"/>
  <c r="S20" i="5"/>
  <c r="T20" i="5"/>
  <c r="S21" i="5"/>
  <c r="T21" i="5"/>
  <c r="S22" i="5"/>
  <c r="T22" i="5"/>
  <c r="S23" i="5"/>
  <c r="T23" i="5"/>
  <c r="S24" i="5"/>
  <c r="T24" i="5"/>
  <c r="S25" i="5"/>
  <c r="T25" i="5"/>
  <c r="S26" i="5"/>
  <c r="T26" i="5"/>
  <c r="S27" i="5"/>
  <c r="T27" i="5"/>
  <c r="S28" i="5"/>
  <c r="T28" i="5"/>
  <c r="S29" i="5"/>
  <c r="T29" i="5"/>
  <c r="S30" i="5"/>
  <c r="T30" i="5"/>
  <c r="C3" i="5"/>
  <c r="D3" i="5"/>
  <c r="E3" i="5"/>
  <c r="F3" i="5"/>
  <c r="I3" i="5"/>
  <c r="J3" i="5"/>
  <c r="K3" i="5"/>
  <c r="L3" i="5"/>
  <c r="M3" i="5"/>
  <c r="N3" i="5"/>
  <c r="P3" i="5"/>
  <c r="Q3" i="5"/>
  <c r="S3" i="5"/>
  <c r="CI7" i="3"/>
  <c r="I25" i="1"/>
  <c r="I26" i="1"/>
  <c r="CH20" i="3" s="1"/>
  <c r="I27" i="1"/>
  <c r="I24" i="1"/>
  <c r="E25" i="1"/>
  <c r="E26" i="1"/>
  <c r="E27" i="1"/>
  <c r="E24" i="1"/>
  <c r="CD7" i="3"/>
  <c r="C25" i="1"/>
  <c r="C26" i="1"/>
  <c r="C27" i="1"/>
  <c r="C24" i="1"/>
  <c r="CV8" i="3"/>
  <c r="CW8" i="3"/>
  <c r="CX8" i="3"/>
  <c r="CY8" i="3"/>
  <c r="CZ8" i="3"/>
  <c r="DA8" i="3"/>
  <c r="DB8" i="3"/>
  <c r="DC8" i="3"/>
  <c r="CV9" i="3"/>
  <c r="CW9" i="3"/>
  <c r="CX9" i="3"/>
  <c r="CY9" i="3"/>
  <c r="CZ9" i="3"/>
  <c r="DA9" i="3"/>
  <c r="DB9" i="3"/>
  <c r="DC9" i="3"/>
  <c r="CV10" i="3"/>
  <c r="CW10" i="3"/>
  <c r="CX10" i="3"/>
  <c r="CY10" i="3"/>
  <c r="CZ10" i="3"/>
  <c r="DA10" i="3"/>
  <c r="DB10" i="3"/>
  <c r="DC10" i="3"/>
  <c r="CV11" i="3"/>
  <c r="CW11" i="3"/>
  <c r="CX11" i="3"/>
  <c r="CY11" i="3"/>
  <c r="CZ11" i="3"/>
  <c r="DA11" i="3"/>
  <c r="DB11" i="3"/>
  <c r="DC11" i="3"/>
  <c r="CV12" i="3"/>
  <c r="CW12" i="3"/>
  <c r="CX12" i="3"/>
  <c r="CY12" i="3"/>
  <c r="CZ12" i="3"/>
  <c r="DA12" i="3"/>
  <c r="DB12" i="3"/>
  <c r="DC12" i="3"/>
  <c r="CV13" i="3"/>
  <c r="CW13" i="3"/>
  <c r="CX13" i="3"/>
  <c r="CY13" i="3"/>
  <c r="CZ13" i="3"/>
  <c r="DA13" i="3"/>
  <c r="DB13" i="3"/>
  <c r="DC13" i="3"/>
  <c r="CV14" i="3"/>
  <c r="CW14" i="3"/>
  <c r="CX14" i="3"/>
  <c r="CY14" i="3"/>
  <c r="CZ14" i="3"/>
  <c r="DA14" i="3"/>
  <c r="DB14" i="3"/>
  <c r="DC14" i="3"/>
  <c r="CV15" i="3"/>
  <c r="CW15" i="3"/>
  <c r="CX15" i="3"/>
  <c r="CY15" i="3"/>
  <c r="CZ15" i="3"/>
  <c r="DA15" i="3"/>
  <c r="DB15" i="3"/>
  <c r="DC15" i="3"/>
  <c r="CV16" i="3"/>
  <c r="CW16" i="3"/>
  <c r="CX16" i="3"/>
  <c r="CY16" i="3"/>
  <c r="CZ16" i="3"/>
  <c r="DA16" i="3"/>
  <c r="DB16" i="3"/>
  <c r="DC16" i="3"/>
  <c r="CV17" i="3"/>
  <c r="CW17" i="3"/>
  <c r="CX17" i="3"/>
  <c r="CY17" i="3"/>
  <c r="CZ17" i="3"/>
  <c r="DA17" i="3"/>
  <c r="DB17" i="3"/>
  <c r="DC17" i="3"/>
  <c r="CV18" i="3"/>
  <c r="CW18" i="3"/>
  <c r="CX18" i="3"/>
  <c r="CY18" i="3"/>
  <c r="CZ18" i="3"/>
  <c r="DA18" i="3"/>
  <c r="DB18" i="3"/>
  <c r="DC18" i="3"/>
  <c r="CV19" i="3"/>
  <c r="CW19" i="3"/>
  <c r="CX19" i="3"/>
  <c r="CY19" i="3"/>
  <c r="CZ19" i="3"/>
  <c r="DA19" i="3"/>
  <c r="DB19" i="3"/>
  <c r="DC19" i="3"/>
  <c r="CV20" i="3"/>
  <c r="CW20" i="3"/>
  <c r="CX20" i="3"/>
  <c r="CY20" i="3"/>
  <c r="CZ20" i="3"/>
  <c r="DA20" i="3"/>
  <c r="DB20" i="3"/>
  <c r="DC20" i="3"/>
  <c r="CV21" i="3"/>
  <c r="CW21" i="3"/>
  <c r="CX21" i="3"/>
  <c r="CY21" i="3"/>
  <c r="CZ21" i="3"/>
  <c r="DA21" i="3"/>
  <c r="DB21" i="3"/>
  <c r="DC21" i="3"/>
  <c r="CV22" i="3"/>
  <c r="CW22" i="3"/>
  <c r="CX22" i="3"/>
  <c r="CY22" i="3"/>
  <c r="CZ22" i="3"/>
  <c r="DA22" i="3"/>
  <c r="DB22" i="3"/>
  <c r="DC22" i="3"/>
  <c r="CV23" i="3"/>
  <c r="CW23" i="3"/>
  <c r="CX23" i="3"/>
  <c r="CY23" i="3"/>
  <c r="CZ23" i="3"/>
  <c r="DA23" i="3"/>
  <c r="DB23" i="3"/>
  <c r="DC23" i="3"/>
  <c r="CV24" i="3"/>
  <c r="CW24" i="3"/>
  <c r="CX24" i="3"/>
  <c r="CY24" i="3"/>
  <c r="CZ24" i="3"/>
  <c r="DA24" i="3"/>
  <c r="DB24" i="3"/>
  <c r="DC24" i="3"/>
  <c r="CV25" i="3"/>
  <c r="CW25" i="3"/>
  <c r="CX25" i="3"/>
  <c r="CY25" i="3"/>
  <c r="CZ25" i="3"/>
  <c r="DA25" i="3"/>
  <c r="DB25" i="3"/>
  <c r="DC25" i="3"/>
  <c r="CV26" i="3"/>
  <c r="CW26" i="3"/>
  <c r="CX26" i="3"/>
  <c r="CY26" i="3"/>
  <c r="CZ26" i="3"/>
  <c r="DA26" i="3"/>
  <c r="DB26" i="3"/>
  <c r="DC26" i="3"/>
  <c r="CV27" i="3"/>
  <c r="CW27" i="3"/>
  <c r="CX27" i="3"/>
  <c r="CY27" i="3"/>
  <c r="CZ27" i="3"/>
  <c r="DA27" i="3"/>
  <c r="DB27" i="3"/>
  <c r="DC27" i="3"/>
  <c r="CV28" i="3"/>
  <c r="CW28" i="3"/>
  <c r="CX28" i="3"/>
  <c r="CY28" i="3"/>
  <c r="CZ28" i="3"/>
  <c r="DA28" i="3"/>
  <c r="DB28" i="3"/>
  <c r="DC28" i="3"/>
  <c r="CV29" i="3"/>
  <c r="CW29" i="3"/>
  <c r="CX29" i="3"/>
  <c r="CY29" i="3"/>
  <c r="CZ29" i="3"/>
  <c r="DA29" i="3"/>
  <c r="DB29" i="3"/>
  <c r="DC29" i="3"/>
  <c r="CV30" i="3"/>
  <c r="CW30" i="3"/>
  <c r="CX30" i="3"/>
  <c r="CY30" i="3"/>
  <c r="CZ30" i="3"/>
  <c r="DA30" i="3"/>
  <c r="DB30" i="3"/>
  <c r="DC30" i="3"/>
  <c r="CV31" i="3"/>
  <c r="CW31" i="3"/>
  <c r="CX31" i="3"/>
  <c r="CY31" i="3"/>
  <c r="CZ31" i="3"/>
  <c r="DA31" i="3"/>
  <c r="DB31" i="3"/>
  <c r="DC31" i="3"/>
  <c r="CW7" i="3"/>
  <c r="CX7" i="3"/>
  <c r="CY7" i="3"/>
  <c r="CZ7" i="3"/>
  <c r="DA7" i="3"/>
  <c r="DB7" i="3"/>
  <c r="DC7" i="3"/>
  <c r="CV7" i="3"/>
  <c r="CU8" i="3"/>
  <c r="CU9" i="3"/>
  <c r="CU10" i="3"/>
  <c r="CU11" i="3"/>
  <c r="CU12" i="3"/>
  <c r="CU13" i="3"/>
  <c r="CU14" i="3"/>
  <c r="CU15" i="3"/>
  <c r="CU16" i="3"/>
  <c r="CU17" i="3"/>
  <c r="CU18" i="3"/>
  <c r="CU19" i="3"/>
  <c r="CU20" i="3"/>
  <c r="CU21" i="3"/>
  <c r="CU22" i="3"/>
  <c r="CU23" i="3"/>
  <c r="CU24" i="3"/>
  <c r="CU25" i="3"/>
  <c r="CU26" i="3"/>
  <c r="CU27" i="3"/>
  <c r="CU28" i="3"/>
  <c r="CU29" i="3"/>
  <c r="CU30" i="3"/>
  <c r="CU31" i="3"/>
  <c r="CU7" i="3"/>
  <c r="CL8" i="3"/>
  <c r="CM8" i="3"/>
  <c r="CN8" i="3"/>
  <c r="CO8" i="3"/>
  <c r="CP8" i="3"/>
  <c r="CQ8" i="3"/>
  <c r="CR8" i="3"/>
  <c r="CS8" i="3"/>
  <c r="CL9" i="3"/>
  <c r="CM9" i="3"/>
  <c r="CN9" i="3"/>
  <c r="CO9" i="3"/>
  <c r="CP9" i="3"/>
  <c r="CQ9" i="3"/>
  <c r="CR9" i="3"/>
  <c r="CS9" i="3"/>
  <c r="CL10" i="3"/>
  <c r="CM10" i="3"/>
  <c r="CN10" i="3"/>
  <c r="CO10" i="3"/>
  <c r="CP10" i="3"/>
  <c r="CQ10" i="3"/>
  <c r="CR10" i="3"/>
  <c r="CS10" i="3"/>
  <c r="CL11" i="3"/>
  <c r="CM11" i="3"/>
  <c r="CN11" i="3"/>
  <c r="CO11" i="3"/>
  <c r="CP11" i="3"/>
  <c r="CQ11" i="3"/>
  <c r="CR11" i="3"/>
  <c r="CS11" i="3"/>
  <c r="CL12" i="3"/>
  <c r="CM12" i="3"/>
  <c r="CN12" i="3"/>
  <c r="CO12" i="3"/>
  <c r="CP12" i="3"/>
  <c r="CQ12" i="3"/>
  <c r="CR12" i="3"/>
  <c r="CS12" i="3"/>
  <c r="CL13" i="3"/>
  <c r="CM13" i="3"/>
  <c r="CN13" i="3"/>
  <c r="CO13" i="3"/>
  <c r="CP13" i="3"/>
  <c r="CQ13" i="3"/>
  <c r="CR13" i="3"/>
  <c r="CS13" i="3"/>
  <c r="CL14" i="3"/>
  <c r="CM14" i="3"/>
  <c r="CN14" i="3"/>
  <c r="CO14" i="3"/>
  <c r="CP14" i="3"/>
  <c r="CQ14" i="3"/>
  <c r="CR14" i="3"/>
  <c r="CS14" i="3"/>
  <c r="CL15" i="3"/>
  <c r="CM15" i="3"/>
  <c r="CN15" i="3"/>
  <c r="CO15" i="3"/>
  <c r="CP15" i="3"/>
  <c r="CQ15" i="3"/>
  <c r="CR15" i="3"/>
  <c r="CS15" i="3"/>
  <c r="CL16" i="3"/>
  <c r="CM16" i="3"/>
  <c r="CN16" i="3"/>
  <c r="CO16" i="3"/>
  <c r="CP16" i="3"/>
  <c r="CQ16" i="3"/>
  <c r="CR16" i="3"/>
  <c r="CS16" i="3"/>
  <c r="CL17" i="3"/>
  <c r="CM17" i="3"/>
  <c r="CN17" i="3"/>
  <c r="CO17" i="3"/>
  <c r="CP17" i="3"/>
  <c r="CQ17" i="3"/>
  <c r="CR17" i="3"/>
  <c r="CS17" i="3"/>
  <c r="CL18" i="3"/>
  <c r="CM18" i="3"/>
  <c r="CN18" i="3"/>
  <c r="CO18" i="3"/>
  <c r="CP18" i="3"/>
  <c r="CQ18" i="3"/>
  <c r="CR18" i="3"/>
  <c r="CS18" i="3"/>
  <c r="CL19" i="3"/>
  <c r="CM19" i="3"/>
  <c r="CN19" i="3"/>
  <c r="CO19" i="3"/>
  <c r="CP19" i="3"/>
  <c r="CQ19" i="3"/>
  <c r="CR19" i="3"/>
  <c r="CS19" i="3"/>
  <c r="CL20" i="3"/>
  <c r="CM20" i="3"/>
  <c r="CN20" i="3"/>
  <c r="CO20" i="3"/>
  <c r="CP20" i="3"/>
  <c r="CQ20" i="3"/>
  <c r="CR20" i="3"/>
  <c r="CS20" i="3"/>
  <c r="CL21" i="3"/>
  <c r="CM21" i="3"/>
  <c r="CN21" i="3"/>
  <c r="CO21" i="3"/>
  <c r="CP21" i="3"/>
  <c r="CQ21" i="3"/>
  <c r="CR21" i="3"/>
  <c r="CS21" i="3"/>
  <c r="CL22" i="3"/>
  <c r="CM22" i="3"/>
  <c r="CN22" i="3"/>
  <c r="CO22" i="3"/>
  <c r="CP22" i="3"/>
  <c r="CQ22" i="3"/>
  <c r="CR22" i="3"/>
  <c r="CS22" i="3"/>
  <c r="CL23" i="3"/>
  <c r="CM23" i="3"/>
  <c r="CN23" i="3"/>
  <c r="CO23" i="3"/>
  <c r="CP23" i="3"/>
  <c r="CQ23" i="3"/>
  <c r="CR23" i="3"/>
  <c r="CS23" i="3"/>
  <c r="CL24" i="3"/>
  <c r="CM24" i="3"/>
  <c r="CN24" i="3"/>
  <c r="CO24" i="3"/>
  <c r="CP24" i="3"/>
  <c r="CQ24" i="3"/>
  <c r="CR24" i="3"/>
  <c r="CS24" i="3"/>
  <c r="CL25" i="3"/>
  <c r="CM25" i="3"/>
  <c r="CN25" i="3"/>
  <c r="CO25" i="3"/>
  <c r="CP25" i="3"/>
  <c r="CQ25" i="3"/>
  <c r="CR25" i="3"/>
  <c r="CS25" i="3"/>
  <c r="CL26" i="3"/>
  <c r="CM26" i="3"/>
  <c r="CN26" i="3"/>
  <c r="CO26" i="3"/>
  <c r="CP26" i="3"/>
  <c r="CQ26" i="3"/>
  <c r="CR26" i="3"/>
  <c r="CS26" i="3"/>
  <c r="CL27" i="3"/>
  <c r="CM27" i="3"/>
  <c r="CN27" i="3"/>
  <c r="CO27" i="3"/>
  <c r="CP27" i="3"/>
  <c r="CQ27" i="3"/>
  <c r="CR27" i="3"/>
  <c r="CS27" i="3"/>
  <c r="CL28" i="3"/>
  <c r="CM28" i="3"/>
  <c r="CN28" i="3"/>
  <c r="CO28" i="3"/>
  <c r="CP28" i="3"/>
  <c r="CQ28" i="3"/>
  <c r="CR28" i="3"/>
  <c r="CS28" i="3"/>
  <c r="CL29" i="3"/>
  <c r="CM29" i="3"/>
  <c r="CN29" i="3"/>
  <c r="CO29" i="3"/>
  <c r="CP29" i="3"/>
  <c r="CQ29" i="3"/>
  <c r="CR29" i="3"/>
  <c r="CS29" i="3"/>
  <c r="CL30" i="3"/>
  <c r="CM30" i="3"/>
  <c r="CN30" i="3"/>
  <c r="CO30" i="3"/>
  <c r="CP30" i="3"/>
  <c r="CQ30" i="3"/>
  <c r="CR30" i="3"/>
  <c r="CS30" i="3"/>
  <c r="CL31" i="3"/>
  <c r="CM31" i="3"/>
  <c r="CN31" i="3"/>
  <c r="CO31" i="3"/>
  <c r="CP31" i="3"/>
  <c r="CQ31" i="3"/>
  <c r="CR31" i="3"/>
  <c r="CS31" i="3"/>
  <c r="CM7" i="3"/>
  <c r="CN7" i="3"/>
  <c r="CO7" i="3"/>
  <c r="CP7" i="3"/>
  <c r="CQ7" i="3"/>
  <c r="CR7" i="3"/>
  <c r="CS7" i="3"/>
  <c r="CL7" i="3"/>
  <c r="CK8" i="3"/>
  <c r="CK9" i="3"/>
  <c r="CK10" i="3"/>
  <c r="CK11" i="3"/>
  <c r="CK12" i="3"/>
  <c r="CK13" i="3"/>
  <c r="CK14" i="3"/>
  <c r="CK15" i="3"/>
  <c r="CK16" i="3"/>
  <c r="CK17" i="3"/>
  <c r="CK18" i="3"/>
  <c r="CK19" i="3"/>
  <c r="CK20" i="3"/>
  <c r="CK21" i="3"/>
  <c r="CK22" i="3"/>
  <c r="CK23" i="3"/>
  <c r="CK24" i="3"/>
  <c r="CK25" i="3"/>
  <c r="CK26" i="3"/>
  <c r="CK27" i="3"/>
  <c r="CK28" i="3"/>
  <c r="CK29" i="3"/>
  <c r="CK30" i="3"/>
  <c r="CK31" i="3"/>
  <c r="CK7" i="3"/>
  <c r="CB8" i="3"/>
  <c r="CC8" i="3"/>
  <c r="CD8" i="3"/>
  <c r="CE8" i="3"/>
  <c r="CF8" i="3"/>
  <c r="CG8" i="3"/>
  <c r="CH8" i="3"/>
  <c r="CI8" i="3"/>
  <c r="CB9" i="3"/>
  <c r="CC9" i="3"/>
  <c r="CD9" i="3"/>
  <c r="CE9" i="3"/>
  <c r="CF9" i="3"/>
  <c r="CG9" i="3"/>
  <c r="CH9" i="3"/>
  <c r="CI9" i="3"/>
  <c r="CB10" i="3"/>
  <c r="CC10" i="3"/>
  <c r="CD10" i="3"/>
  <c r="CE10" i="3"/>
  <c r="CF10" i="3"/>
  <c r="CG10" i="3"/>
  <c r="CH10" i="3"/>
  <c r="CI10" i="3"/>
  <c r="CB11" i="3"/>
  <c r="CC11" i="3"/>
  <c r="CD11" i="3"/>
  <c r="CE11" i="3"/>
  <c r="CF11" i="3"/>
  <c r="CG11" i="3"/>
  <c r="CH11" i="3"/>
  <c r="CI11" i="3"/>
  <c r="CB12" i="3"/>
  <c r="CC12" i="3"/>
  <c r="CD12" i="3"/>
  <c r="CE12" i="3"/>
  <c r="CF12" i="3"/>
  <c r="CG12" i="3"/>
  <c r="CH12" i="3"/>
  <c r="CI12" i="3"/>
  <c r="CB13" i="3"/>
  <c r="CC13" i="3"/>
  <c r="CD13" i="3"/>
  <c r="CE13" i="3"/>
  <c r="CF13" i="3"/>
  <c r="CG13" i="3"/>
  <c r="CH13" i="3"/>
  <c r="CI13" i="3"/>
  <c r="CB14" i="3"/>
  <c r="CC14" i="3"/>
  <c r="CD14" i="3"/>
  <c r="CE14" i="3"/>
  <c r="CF14" i="3"/>
  <c r="CG14" i="3"/>
  <c r="CH14" i="3"/>
  <c r="CI14" i="3"/>
  <c r="CB15" i="3"/>
  <c r="CC15" i="3"/>
  <c r="CD15" i="3"/>
  <c r="CE15" i="3"/>
  <c r="CF15" i="3"/>
  <c r="CG15" i="3"/>
  <c r="CH15" i="3"/>
  <c r="CI15" i="3"/>
  <c r="CB16" i="3"/>
  <c r="CC16" i="3"/>
  <c r="CD16" i="3"/>
  <c r="CE16" i="3"/>
  <c r="CF16" i="3"/>
  <c r="CG16" i="3"/>
  <c r="CH16" i="3"/>
  <c r="CI16" i="3"/>
  <c r="CB17" i="3"/>
  <c r="CC17" i="3"/>
  <c r="CD17" i="3"/>
  <c r="CE17" i="3"/>
  <c r="CF17" i="3"/>
  <c r="CG17" i="3"/>
  <c r="CH17" i="3"/>
  <c r="CI17" i="3"/>
  <c r="CB18" i="3"/>
  <c r="CC18" i="3"/>
  <c r="CD18" i="3"/>
  <c r="CE18" i="3"/>
  <c r="CF18" i="3"/>
  <c r="CG18" i="3"/>
  <c r="CH18" i="3"/>
  <c r="CI18" i="3"/>
  <c r="CB19" i="3"/>
  <c r="CC19" i="3"/>
  <c r="CD19" i="3"/>
  <c r="CE19" i="3"/>
  <c r="CF19" i="3"/>
  <c r="CG19" i="3"/>
  <c r="CH19" i="3"/>
  <c r="CI19" i="3"/>
  <c r="CB20" i="3"/>
  <c r="CC20" i="3"/>
  <c r="CD20" i="3"/>
  <c r="CE20" i="3"/>
  <c r="CF20" i="3"/>
  <c r="CG20" i="3"/>
  <c r="CI20" i="3"/>
  <c r="CB21" i="3"/>
  <c r="CC21" i="3"/>
  <c r="CD21" i="3"/>
  <c r="CE21" i="3"/>
  <c r="CF21" i="3"/>
  <c r="CG21" i="3"/>
  <c r="CH21" i="3"/>
  <c r="CI21" i="3"/>
  <c r="CB22" i="3"/>
  <c r="CC22" i="3"/>
  <c r="CD22" i="3"/>
  <c r="CE22" i="3"/>
  <c r="CF22" i="3"/>
  <c r="CG22" i="3"/>
  <c r="CH22" i="3"/>
  <c r="CI22" i="3"/>
  <c r="CB23" i="3"/>
  <c r="CC23" i="3"/>
  <c r="CD23" i="3"/>
  <c r="CE23" i="3"/>
  <c r="CF23" i="3"/>
  <c r="CG23" i="3"/>
  <c r="CH23" i="3"/>
  <c r="CI23" i="3"/>
  <c r="CB24" i="3"/>
  <c r="CC24" i="3"/>
  <c r="CD24" i="3"/>
  <c r="CE24" i="3"/>
  <c r="CF24" i="3"/>
  <c r="CG24" i="3"/>
  <c r="CH24" i="3"/>
  <c r="CI24" i="3"/>
  <c r="CB25" i="3"/>
  <c r="CC25" i="3"/>
  <c r="CD25" i="3"/>
  <c r="CE25" i="3"/>
  <c r="CF25" i="3"/>
  <c r="CG25" i="3"/>
  <c r="CH25" i="3"/>
  <c r="CI25" i="3"/>
  <c r="CB26" i="3"/>
  <c r="CC26" i="3"/>
  <c r="CD26" i="3"/>
  <c r="CE26" i="3"/>
  <c r="CF26" i="3"/>
  <c r="CG26" i="3"/>
  <c r="CH26" i="3"/>
  <c r="CI26" i="3"/>
  <c r="CB27" i="3"/>
  <c r="CC27" i="3"/>
  <c r="CD27" i="3"/>
  <c r="CE27" i="3"/>
  <c r="CF27" i="3"/>
  <c r="CG27" i="3"/>
  <c r="CH27" i="3"/>
  <c r="CI27" i="3"/>
  <c r="CB28" i="3"/>
  <c r="CC28" i="3"/>
  <c r="CD28" i="3"/>
  <c r="CE28" i="3"/>
  <c r="CF28" i="3"/>
  <c r="CG28" i="3"/>
  <c r="CH28" i="3"/>
  <c r="CI28" i="3"/>
  <c r="CB29" i="3"/>
  <c r="CC29" i="3"/>
  <c r="CD29" i="3"/>
  <c r="CE29" i="3"/>
  <c r="CF29" i="3"/>
  <c r="CG29" i="3"/>
  <c r="CH29" i="3"/>
  <c r="CI29" i="3"/>
  <c r="CB30" i="3"/>
  <c r="CC30" i="3"/>
  <c r="CD30" i="3"/>
  <c r="CE30" i="3"/>
  <c r="CF30" i="3"/>
  <c r="CG30" i="3"/>
  <c r="CH30" i="3"/>
  <c r="CI30" i="3"/>
  <c r="CB31" i="3"/>
  <c r="CC31" i="3"/>
  <c r="CD31" i="3"/>
  <c r="CE31" i="3"/>
  <c r="CF31" i="3"/>
  <c r="CG31" i="3"/>
  <c r="CH31" i="3"/>
  <c r="CI31" i="3"/>
  <c r="CB7" i="3"/>
  <c r="CC7" i="3"/>
  <c r="CE7" i="3"/>
  <c r="CF7" i="3"/>
  <c r="CG7" i="3"/>
  <c r="CH7" i="3"/>
  <c r="CA8" i="3"/>
  <c r="CA9" i="3"/>
  <c r="CA10" i="3"/>
  <c r="CA11" i="3"/>
  <c r="CA12" i="3"/>
  <c r="CA13" i="3"/>
  <c r="CA14" i="3"/>
  <c r="CA15" i="3"/>
  <c r="CA16" i="3"/>
  <c r="CA17" i="3"/>
  <c r="CA18" i="3"/>
  <c r="CA19" i="3"/>
  <c r="CA20" i="3"/>
  <c r="CA21" i="3"/>
  <c r="CA22" i="3"/>
  <c r="CA23" i="3"/>
  <c r="CA24" i="3"/>
  <c r="CA25" i="3"/>
  <c r="CA26" i="3"/>
  <c r="CA27" i="3"/>
  <c r="CA28" i="3"/>
  <c r="CA29" i="3"/>
  <c r="CA30" i="3"/>
  <c r="CA31" i="3"/>
  <c r="CA7" i="3"/>
  <c r="BQ8" i="3"/>
  <c r="BR8" i="3"/>
  <c r="BS8" i="3"/>
  <c r="BT8" i="3"/>
  <c r="BU8" i="3"/>
  <c r="BV8" i="3"/>
  <c r="BW8" i="3"/>
  <c r="BX8" i="3"/>
  <c r="BY8" i="3"/>
  <c r="BQ9" i="3"/>
  <c r="BR9" i="3"/>
  <c r="BS9" i="3"/>
  <c r="BT9" i="3"/>
  <c r="BU9" i="3"/>
  <c r="BV9" i="3"/>
  <c r="BW9" i="3"/>
  <c r="BX9" i="3"/>
  <c r="BY9" i="3"/>
  <c r="BQ10" i="3"/>
  <c r="BR10" i="3"/>
  <c r="BS10" i="3"/>
  <c r="BT10" i="3"/>
  <c r="BU10" i="3"/>
  <c r="BV10" i="3"/>
  <c r="BW10" i="3"/>
  <c r="BX10" i="3"/>
  <c r="BY10" i="3"/>
  <c r="BQ11" i="3"/>
  <c r="BR11" i="3"/>
  <c r="BS11" i="3"/>
  <c r="BT11" i="3"/>
  <c r="BU11" i="3"/>
  <c r="BV11" i="3"/>
  <c r="BW11" i="3"/>
  <c r="BX11" i="3"/>
  <c r="BY11" i="3"/>
  <c r="BQ12" i="3"/>
  <c r="BR12" i="3"/>
  <c r="BS12" i="3"/>
  <c r="BT12" i="3"/>
  <c r="BU12" i="3"/>
  <c r="BV12" i="3"/>
  <c r="BW12" i="3"/>
  <c r="BX12" i="3"/>
  <c r="BY12" i="3"/>
  <c r="BQ13" i="3"/>
  <c r="BR13" i="3"/>
  <c r="BS13" i="3"/>
  <c r="BT13" i="3"/>
  <c r="BU13" i="3"/>
  <c r="BV13" i="3"/>
  <c r="BW13" i="3"/>
  <c r="BX13" i="3"/>
  <c r="BY13" i="3"/>
  <c r="BQ14" i="3"/>
  <c r="BR14" i="3"/>
  <c r="BS14" i="3"/>
  <c r="BT14" i="3"/>
  <c r="BU14" i="3"/>
  <c r="BV14" i="3"/>
  <c r="BW14" i="3"/>
  <c r="BX14" i="3"/>
  <c r="BY14" i="3"/>
  <c r="BQ15" i="3"/>
  <c r="BR15" i="3"/>
  <c r="BS15" i="3"/>
  <c r="BT15" i="3"/>
  <c r="BU15" i="3"/>
  <c r="BV15" i="3"/>
  <c r="BW15" i="3"/>
  <c r="BX15" i="3"/>
  <c r="BY15" i="3"/>
  <c r="BQ16" i="3"/>
  <c r="BR16" i="3"/>
  <c r="BS16" i="3"/>
  <c r="BT16" i="3"/>
  <c r="BU16" i="3"/>
  <c r="BV16" i="3"/>
  <c r="BW16" i="3"/>
  <c r="BX16" i="3"/>
  <c r="BY16" i="3"/>
  <c r="BQ17" i="3"/>
  <c r="BR17" i="3"/>
  <c r="BS17" i="3"/>
  <c r="BT17" i="3"/>
  <c r="BU17" i="3"/>
  <c r="BV17" i="3"/>
  <c r="BW17" i="3"/>
  <c r="BX17" i="3"/>
  <c r="BY17" i="3"/>
  <c r="BQ18" i="3"/>
  <c r="BR18" i="3"/>
  <c r="BS18" i="3"/>
  <c r="BT18" i="3"/>
  <c r="BU18" i="3"/>
  <c r="BV18" i="3"/>
  <c r="BW18" i="3"/>
  <c r="BX18" i="3"/>
  <c r="BY18" i="3"/>
  <c r="BQ19" i="3"/>
  <c r="BR19" i="3"/>
  <c r="BS19" i="3"/>
  <c r="BT19" i="3"/>
  <c r="BU19" i="3"/>
  <c r="BV19" i="3"/>
  <c r="BW19" i="3"/>
  <c r="BX19" i="3"/>
  <c r="BY19" i="3"/>
  <c r="BQ20" i="3"/>
  <c r="BR20" i="3"/>
  <c r="BS20" i="3"/>
  <c r="BT20" i="3"/>
  <c r="BU20" i="3"/>
  <c r="BV20" i="3"/>
  <c r="BW20" i="3"/>
  <c r="BX20" i="3"/>
  <c r="BY20" i="3"/>
  <c r="BQ21" i="3"/>
  <c r="BR21" i="3"/>
  <c r="BS21" i="3"/>
  <c r="BT21" i="3"/>
  <c r="BU21" i="3"/>
  <c r="BV21" i="3"/>
  <c r="BW21" i="3"/>
  <c r="BX21" i="3"/>
  <c r="BY21" i="3"/>
  <c r="BQ22" i="3"/>
  <c r="BR22" i="3"/>
  <c r="BS22" i="3"/>
  <c r="BT22" i="3"/>
  <c r="BU22" i="3"/>
  <c r="BV22" i="3"/>
  <c r="BW22" i="3"/>
  <c r="BX22" i="3"/>
  <c r="BY22" i="3"/>
  <c r="BQ23" i="3"/>
  <c r="BR23" i="3"/>
  <c r="BS23" i="3"/>
  <c r="BT23" i="3"/>
  <c r="BU23" i="3"/>
  <c r="BV23" i="3"/>
  <c r="BW23" i="3"/>
  <c r="BX23" i="3"/>
  <c r="BY23" i="3"/>
  <c r="BQ24" i="3"/>
  <c r="BR24" i="3"/>
  <c r="BS24" i="3"/>
  <c r="BT24" i="3"/>
  <c r="BU24" i="3"/>
  <c r="BV24" i="3"/>
  <c r="BW24" i="3"/>
  <c r="BX24" i="3"/>
  <c r="BY24" i="3"/>
  <c r="BQ25" i="3"/>
  <c r="BR25" i="3"/>
  <c r="BS25" i="3"/>
  <c r="BT25" i="3"/>
  <c r="BU25" i="3"/>
  <c r="BV25" i="3"/>
  <c r="BW25" i="3"/>
  <c r="BX25" i="3"/>
  <c r="BY25" i="3"/>
  <c r="BQ26" i="3"/>
  <c r="BR26" i="3"/>
  <c r="BS26" i="3"/>
  <c r="BT26" i="3"/>
  <c r="BU26" i="3"/>
  <c r="BV26" i="3"/>
  <c r="BW26" i="3"/>
  <c r="BX26" i="3"/>
  <c r="BY26" i="3"/>
  <c r="BQ27" i="3"/>
  <c r="BR27" i="3"/>
  <c r="BS27" i="3"/>
  <c r="BT27" i="3"/>
  <c r="BU27" i="3"/>
  <c r="BV27" i="3"/>
  <c r="BW27" i="3"/>
  <c r="BX27" i="3"/>
  <c r="BY27" i="3"/>
  <c r="BQ28" i="3"/>
  <c r="BR28" i="3"/>
  <c r="BS28" i="3"/>
  <c r="BT28" i="3"/>
  <c r="BU28" i="3"/>
  <c r="BV28" i="3"/>
  <c r="BW28" i="3"/>
  <c r="BX28" i="3"/>
  <c r="BY28" i="3"/>
  <c r="BQ29" i="3"/>
  <c r="BR29" i="3"/>
  <c r="BS29" i="3"/>
  <c r="BT29" i="3"/>
  <c r="BU29" i="3"/>
  <c r="BV29" i="3"/>
  <c r="BW29" i="3"/>
  <c r="BX29" i="3"/>
  <c r="BY29" i="3"/>
  <c r="BQ30" i="3"/>
  <c r="BR30" i="3"/>
  <c r="BS30" i="3"/>
  <c r="BT30" i="3"/>
  <c r="BU30" i="3"/>
  <c r="BV30" i="3"/>
  <c r="BW30" i="3"/>
  <c r="BX30" i="3"/>
  <c r="BY30" i="3"/>
  <c r="BQ31" i="3"/>
  <c r="BR31" i="3"/>
  <c r="BS31" i="3"/>
  <c r="AN31" i="3" s="1"/>
  <c r="E29" i="3" s="1"/>
  <c r="BT31" i="3"/>
  <c r="BU31" i="3"/>
  <c r="BV31" i="3"/>
  <c r="BW31" i="3"/>
  <c r="BX31" i="3"/>
  <c r="BY31" i="3"/>
  <c r="BS7" i="3"/>
  <c r="BT7" i="3"/>
  <c r="BU7" i="3"/>
  <c r="BV7" i="3"/>
  <c r="BW7" i="3"/>
  <c r="BX7" i="3"/>
  <c r="BY7" i="3"/>
  <c r="BR33" i="3"/>
  <c r="BR34" i="3"/>
  <c r="BR35" i="3"/>
  <c r="BR36" i="3"/>
  <c r="BR37" i="3"/>
  <c r="BR7" i="3"/>
  <c r="BQ33" i="3"/>
  <c r="BQ34" i="3"/>
  <c r="BQ35" i="3"/>
  <c r="BQ36" i="3"/>
  <c r="BQ37" i="3"/>
  <c r="BI7" i="3"/>
  <c r="BJ7" i="3"/>
  <c r="BK7" i="3"/>
  <c r="BM7" i="3"/>
  <c r="BN7" i="3"/>
  <c r="BO7" i="3"/>
  <c r="BI8" i="3"/>
  <c r="BJ8" i="3"/>
  <c r="BK8" i="3"/>
  <c r="BL8" i="3"/>
  <c r="BM8" i="3"/>
  <c r="BN8" i="3"/>
  <c r="BO8" i="3"/>
  <c r="BI9" i="3"/>
  <c r="BJ9" i="3"/>
  <c r="BK9" i="3"/>
  <c r="BL9" i="3"/>
  <c r="BM9" i="3"/>
  <c r="BN9" i="3"/>
  <c r="BO9" i="3"/>
  <c r="BI10" i="3"/>
  <c r="BJ10" i="3"/>
  <c r="BK10" i="3"/>
  <c r="BL10" i="3"/>
  <c r="BM10" i="3"/>
  <c r="BN10" i="3"/>
  <c r="BO10" i="3"/>
  <c r="BI11" i="3"/>
  <c r="BJ11" i="3"/>
  <c r="BK11" i="3"/>
  <c r="BL11" i="3"/>
  <c r="BM11" i="3"/>
  <c r="BN11" i="3"/>
  <c r="BO11" i="3"/>
  <c r="BI12" i="3"/>
  <c r="BJ12" i="3"/>
  <c r="BK12" i="3"/>
  <c r="BL12" i="3"/>
  <c r="BM12" i="3"/>
  <c r="BN12" i="3"/>
  <c r="BO12" i="3"/>
  <c r="BI13" i="3"/>
  <c r="BJ13" i="3"/>
  <c r="BK13" i="3"/>
  <c r="BL13" i="3"/>
  <c r="BM13" i="3"/>
  <c r="BN13" i="3"/>
  <c r="BO13" i="3"/>
  <c r="BI14" i="3"/>
  <c r="BJ14" i="3"/>
  <c r="BK14" i="3"/>
  <c r="BL14" i="3"/>
  <c r="BM14" i="3"/>
  <c r="BN14" i="3"/>
  <c r="BO14" i="3"/>
  <c r="BI15" i="3"/>
  <c r="BJ15" i="3"/>
  <c r="BK15" i="3"/>
  <c r="BL15" i="3"/>
  <c r="BM15" i="3"/>
  <c r="BN15" i="3"/>
  <c r="BO15" i="3"/>
  <c r="BI16" i="3"/>
  <c r="BJ16" i="3"/>
  <c r="BK16" i="3"/>
  <c r="BL16" i="3"/>
  <c r="BM16" i="3"/>
  <c r="BN16" i="3"/>
  <c r="BO16" i="3"/>
  <c r="BI17" i="3"/>
  <c r="BJ17" i="3"/>
  <c r="BK17" i="3"/>
  <c r="BL17" i="3"/>
  <c r="BM17" i="3"/>
  <c r="BN17" i="3"/>
  <c r="BO17" i="3"/>
  <c r="BI18" i="3"/>
  <c r="BJ18" i="3"/>
  <c r="BK18" i="3"/>
  <c r="BL18" i="3"/>
  <c r="BM18" i="3"/>
  <c r="BN18" i="3"/>
  <c r="BO18" i="3"/>
  <c r="BI19" i="3"/>
  <c r="BJ19" i="3"/>
  <c r="BK19" i="3"/>
  <c r="BL19" i="3"/>
  <c r="BM19" i="3"/>
  <c r="BN19" i="3"/>
  <c r="BO19" i="3"/>
  <c r="BI20" i="3"/>
  <c r="BJ20" i="3"/>
  <c r="BK20" i="3"/>
  <c r="BL20" i="3"/>
  <c r="BM20" i="3"/>
  <c r="BN20" i="3"/>
  <c r="BO20" i="3"/>
  <c r="BI21" i="3"/>
  <c r="BJ21" i="3"/>
  <c r="BK21" i="3"/>
  <c r="BL21" i="3"/>
  <c r="BM21" i="3"/>
  <c r="BN21" i="3"/>
  <c r="BO21" i="3"/>
  <c r="BI22" i="3"/>
  <c r="BJ22" i="3"/>
  <c r="BK22" i="3"/>
  <c r="BL22" i="3"/>
  <c r="BM22" i="3"/>
  <c r="BN22" i="3"/>
  <c r="BO22" i="3"/>
  <c r="BI23" i="3"/>
  <c r="BJ23" i="3"/>
  <c r="BK23" i="3"/>
  <c r="BL23" i="3"/>
  <c r="BM23" i="3"/>
  <c r="BN23" i="3"/>
  <c r="BO23" i="3"/>
  <c r="BI24" i="3"/>
  <c r="BJ24" i="3"/>
  <c r="BK24" i="3"/>
  <c r="BL24" i="3"/>
  <c r="BM24" i="3"/>
  <c r="BN24" i="3"/>
  <c r="BO24" i="3"/>
  <c r="BI25" i="3"/>
  <c r="BJ25" i="3"/>
  <c r="BK25" i="3"/>
  <c r="BL25" i="3"/>
  <c r="BM25" i="3"/>
  <c r="BN25" i="3"/>
  <c r="BO25" i="3"/>
  <c r="BI26" i="3"/>
  <c r="BJ26" i="3"/>
  <c r="BK26" i="3"/>
  <c r="BL26" i="3"/>
  <c r="BM26" i="3"/>
  <c r="BN26" i="3"/>
  <c r="BO26" i="3"/>
  <c r="BI27" i="3"/>
  <c r="BJ27" i="3"/>
  <c r="BK27" i="3"/>
  <c r="BL27" i="3"/>
  <c r="BM27" i="3"/>
  <c r="BN27" i="3"/>
  <c r="BO27" i="3"/>
  <c r="BI28" i="3"/>
  <c r="BJ28" i="3"/>
  <c r="BK28" i="3"/>
  <c r="BL28" i="3"/>
  <c r="BM28" i="3"/>
  <c r="BN28" i="3"/>
  <c r="BO28" i="3"/>
  <c r="BI29" i="3"/>
  <c r="BJ29" i="3"/>
  <c r="BK29" i="3"/>
  <c r="BL29" i="3"/>
  <c r="BM29" i="3"/>
  <c r="BN29" i="3"/>
  <c r="BO29" i="3"/>
  <c r="BI30" i="3"/>
  <c r="BJ30" i="3"/>
  <c r="BK30" i="3"/>
  <c r="BL30" i="3"/>
  <c r="BM30" i="3"/>
  <c r="BN30" i="3"/>
  <c r="BO30" i="3"/>
  <c r="BG7" i="3"/>
  <c r="BH30" i="3"/>
  <c r="BG30" i="3"/>
  <c r="BH29" i="3"/>
  <c r="BG29" i="3"/>
  <c r="BH28" i="3"/>
  <c r="BG28" i="3"/>
  <c r="BH27" i="3"/>
  <c r="BG27" i="3"/>
  <c r="BH26" i="3"/>
  <c r="BG26" i="3"/>
  <c r="BH25" i="3"/>
  <c r="BG25" i="3"/>
  <c r="BH24" i="3"/>
  <c r="BG24" i="3"/>
  <c r="BH23" i="3"/>
  <c r="BG23" i="3"/>
  <c r="BH22" i="3"/>
  <c r="BG22" i="3"/>
  <c r="BH21" i="3"/>
  <c r="BG21" i="3"/>
  <c r="BH20" i="3"/>
  <c r="BG20" i="3"/>
  <c r="BH19" i="3"/>
  <c r="BG19" i="3"/>
  <c r="BH18" i="3"/>
  <c r="BG18" i="3"/>
  <c r="BH17" i="3"/>
  <c r="BG17" i="3"/>
  <c r="BH16" i="3"/>
  <c r="BG16" i="3"/>
  <c r="BH15" i="3"/>
  <c r="BG15" i="3"/>
  <c r="BH14" i="3"/>
  <c r="BG14" i="3"/>
  <c r="BH13" i="3"/>
  <c r="BG13" i="3"/>
  <c r="BH12" i="3"/>
  <c r="BG12" i="3"/>
  <c r="BH11" i="3"/>
  <c r="BG11" i="3"/>
  <c r="BH10" i="3"/>
  <c r="BG10" i="3"/>
  <c r="BH9" i="3"/>
  <c r="BG9" i="3"/>
  <c r="BH8" i="3"/>
  <c r="BG8" i="3"/>
  <c r="BH7" i="3"/>
  <c r="V30" i="4"/>
  <c r="T30" i="4"/>
  <c r="R30" i="4"/>
  <c r="I30" i="4"/>
  <c r="V29" i="4"/>
  <c r="T29" i="4"/>
  <c r="R29" i="4"/>
  <c r="P29" i="4"/>
  <c r="N29" i="4"/>
  <c r="M29" i="4"/>
  <c r="L29" i="4"/>
  <c r="K29" i="4"/>
  <c r="J29" i="4"/>
  <c r="I29" i="4"/>
  <c r="H29" i="4"/>
  <c r="G29" i="4"/>
  <c r="F29" i="4"/>
  <c r="V28" i="4"/>
  <c r="T28" i="4"/>
  <c r="R28" i="4"/>
  <c r="P28" i="4"/>
  <c r="N28" i="4"/>
  <c r="M28" i="4"/>
  <c r="L28" i="4"/>
  <c r="K28" i="4"/>
  <c r="J28" i="4"/>
  <c r="I28" i="4"/>
  <c r="H28" i="4"/>
  <c r="G28" i="4"/>
  <c r="F28" i="4"/>
  <c r="V27" i="4"/>
  <c r="T27" i="4"/>
  <c r="R27" i="4"/>
  <c r="P27" i="4"/>
  <c r="N27" i="4"/>
  <c r="M27" i="4"/>
  <c r="L27" i="4"/>
  <c r="K27" i="4"/>
  <c r="J27" i="4"/>
  <c r="I27" i="4"/>
  <c r="H27" i="4"/>
  <c r="G27" i="4"/>
  <c r="F27" i="4"/>
  <c r="V26" i="4"/>
  <c r="T26" i="4"/>
  <c r="R26" i="4"/>
  <c r="P26" i="4"/>
  <c r="N26" i="4"/>
  <c r="M26" i="4"/>
  <c r="L26" i="4"/>
  <c r="K26" i="4"/>
  <c r="J26" i="4"/>
  <c r="I26" i="4"/>
  <c r="H26" i="4"/>
  <c r="G26" i="4"/>
  <c r="F26" i="4"/>
  <c r="V25" i="4"/>
  <c r="T25" i="4"/>
  <c r="R25" i="4"/>
  <c r="P25" i="4"/>
  <c r="N25" i="4"/>
  <c r="M25" i="4"/>
  <c r="L25" i="4"/>
  <c r="K25" i="4"/>
  <c r="J25" i="4"/>
  <c r="I25" i="4"/>
  <c r="H25" i="4"/>
  <c r="G25" i="4"/>
  <c r="F25" i="4"/>
  <c r="V24" i="4"/>
  <c r="T24" i="4"/>
  <c r="R24" i="4"/>
  <c r="P24" i="4"/>
  <c r="N24" i="4"/>
  <c r="M24" i="4"/>
  <c r="L24" i="4"/>
  <c r="K24" i="4"/>
  <c r="J24" i="4"/>
  <c r="I24" i="4"/>
  <c r="H24" i="4"/>
  <c r="G24" i="4"/>
  <c r="F24" i="4"/>
  <c r="V23" i="4"/>
  <c r="T23" i="4"/>
  <c r="R23" i="4"/>
  <c r="P23" i="4"/>
  <c r="N23" i="4"/>
  <c r="M23" i="4"/>
  <c r="L23" i="4"/>
  <c r="K23" i="4"/>
  <c r="J23" i="4"/>
  <c r="I23" i="4"/>
  <c r="H23" i="4"/>
  <c r="G23" i="4"/>
  <c r="F23" i="4"/>
  <c r="V22" i="4"/>
  <c r="T22" i="4"/>
  <c r="R22" i="4"/>
  <c r="P22" i="4"/>
  <c r="N22" i="4"/>
  <c r="M22" i="4"/>
  <c r="L22" i="4"/>
  <c r="K22" i="4"/>
  <c r="J22" i="4"/>
  <c r="I22" i="4"/>
  <c r="H22" i="4"/>
  <c r="G22" i="4"/>
  <c r="F22" i="4"/>
  <c r="V21" i="4"/>
  <c r="T21" i="4"/>
  <c r="R21" i="4"/>
  <c r="P21" i="4"/>
  <c r="N21" i="4"/>
  <c r="M21" i="4"/>
  <c r="L21" i="4"/>
  <c r="K21" i="4"/>
  <c r="J21" i="4"/>
  <c r="I21" i="4"/>
  <c r="H21" i="4"/>
  <c r="G21" i="4"/>
  <c r="F21" i="4"/>
  <c r="V20" i="4"/>
  <c r="T20" i="4"/>
  <c r="R20" i="4"/>
  <c r="P20" i="4"/>
  <c r="N20" i="4"/>
  <c r="M20" i="4"/>
  <c r="L20" i="4"/>
  <c r="K20" i="4"/>
  <c r="J20" i="4"/>
  <c r="I20" i="4"/>
  <c r="H20" i="4"/>
  <c r="G20" i="4"/>
  <c r="F20" i="4"/>
  <c r="V19" i="4"/>
  <c r="T19" i="4"/>
  <c r="R19" i="4"/>
  <c r="P19" i="4"/>
  <c r="N19" i="4"/>
  <c r="M19" i="4"/>
  <c r="L19" i="4"/>
  <c r="K19" i="4"/>
  <c r="J19" i="4"/>
  <c r="I19" i="4"/>
  <c r="H19" i="4"/>
  <c r="G19" i="4"/>
  <c r="F19" i="4"/>
  <c r="V18" i="4"/>
  <c r="T18" i="4"/>
  <c r="R18" i="4"/>
  <c r="P18" i="4"/>
  <c r="N18" i="4"/>
  <c r="M18" i="4"/>
  <c r="L18" i="4"/>
  <c r="K18" i="4"/>
  <c r="J18" i="4"/>
  <c r="I18" i="4"/>
  <c r="H18" i="4"/>
  <c r="G18" i="4"/>
  <c r="F18" i="4"/>
  <c r="V17" i="4"/>
  <c r="T17" i="4"/>
  <c r="R17" i="4"/>
  <c r="P17" i="4"/>
  <c r="N17" i="4"/>
  <c r="M17" i="4"/>
  <c r="L17" i="4"/>
  <c r="K17" i="4"/>
  <c r="J17" i="4"/>
  <c r="I17" i="4"/>
  <c r="H17" i="4"/>
  <c r="G17" i="4"/>
  <c r="F17" i="4"/>
  <c r="V16" i="4"/>
  <c r="T16" i="4"/>
  <c r="R16" i="4"/>
  <c r="P16" i="4"/>
  <c r="N16" i="4"/>
  <c r="M16" i="4"/>
  <c r="L16" i="4"/>
  <c r="K16" i="4"/>
  <c r="J16" i="4"/>
  <c r="I16" i="4"/>
  <c r="H16" i="4"/>
  <c r="G16" i="4"/>
  <c r="F16" i="4"/>
  <c r="V15" i="4"/>
  <c r="T15" i="4"/>
  <c r="R15" i="4"/>
  <c r="P15" i="4"/>
  <c r="N15" i="4"/>
  <c r="M15" i="4"/>
  <c r="L15" i="4"/>
  <c r="K15" i="4"/>
  <c r="J15" i="4"/>
  <c r="I15" i="4"/>
  <c r="H15" i="4"/>
  <c r="G15" i="4"/>
  <c r="F15" i="4"/>
  <c r="V14" i="4"/>
  <c r="T14" i="4"/>
  <c r="R14" i="4"/>
  <c r="P14" i="4"/>
  <c r="N14" i="4"/>
  <c r="M14" i="4"/>
  <c r="L14" i="4"/>
  <c r="K14" i="4"/>
  <c r="J14" i="4"/>
  <c r="I14" i="4"/>
  <c r="H14" i="4"/>
  <c r="G14" i="4"/>
  <c r="F14" i="4"/>
  <c r="V13" i="4"/>
  <c r="T13" i="4"/>
  <c r="R13" i="4"/>
  <c r="P13" i="4"/>
  <c r="N13" i="4"/>
  <c r="M13" i="4"/>
  <c r="L13" i="4"/>
  <c r="K13" i="4"/>
  <c r="J13" i="4"/>
  <c r="I13" i="4"/>
  <c r="H13" i="4"/>
  <c r="G13" i="4"/>
  <c r="F13" i="4"/>
  <c r="V12" i="4"/>
  <c r="T12" i="4"/>
  <c r="R12" i="4"/>
  <c r="P12" i="4"/>
  <c r="N12" i="4"/>
  <c r="M12" i="4"/>
  <c r="L12" i="4"/>
  <c r="K12" i="4"/>
  <c r="J12" i="4"/>
  <c r="I12" i="4"/>
  <c r="H12" i="4"/>
  <c r="G12" i="4"/>
  <c r="F12" i="4"/>
  <c r="V11" i="4"/>
  <c r="T11" i="4"/>
  <c r="R11" i="4"/>
  <c r="P11" i="4"/>
  <c r="N11" i="4"/>
  <c r="M11" i="4"/>
  <c r="L11" i="4"/>
  <c r="K11" i="4"/>
  <c r="J11" i="4"/>
  <c r="I11" i="4"/>
  <c r="H11" i="4"/>
  <c r="G11" i="4"/>
  <c r="F11" i="4"/>
  <c r="V10" i="4"/>
  <c r="T10" i="4"/>
  <c r="R10" i="4"/>
  <c r="P10" i="4"/>
  <c r="N10" i="4"/>
  <c r="M10" i="4"/>
  <c r="L10" i="4"/>
  <c r="K10" i="4"/>
  <c r="J10" i="4"/>
  <c r="I10" i="4"/>
  <c r="H10" i="4"/>
  <c r="G10" i="4"/>
  <c r="F10" i="4"/>
  <c r="V9" i="4"/>
  <c r="T9" i="4"/>
  <c r="R9" i="4"/>
  <c r="P9" i="4"/>
  <c r="N9" i="4"/>
  <c r="M9" i="4"/>
  <c r="L9" i="4"/>
  <c r="K9" i="4"/>
  <c r="J9" i="4"/>
  <c r="I9" i="4"/>
  <c r="H9" i="4"/>
  <c r="G9" i="4"/>
  <c r="F9" i="4"/>
  <c r="V8" i="4"/>
  <c r="T8" i="4"/>
  <c r="R8" i="4"/>
  <c r="P8" i="4"/>
  <c r="N8" i="4"/>
  <c r="M8" i="4"/>
  <c r="L8" i="4"/>
  <c r="K8" i="4"/>
  <c r="J8" i="4"/>
  <c r="I8" i="4"/>
  <c r="H8" i="4"/>
  <c r="G8" i="4"/>
  <c r="F8" i="4"/>
  <c r="V7" i="4"/>
  <c r="T7" i="4"/>
  <c r="R7" i="4"/>
  <c r="P7" i="4"/>
  <c r="N7" i="4"/>
  <c r="M7" i="4"/>
  <c r="L7" i="4"/>
  <c r="K7" i="4"/>
  <c r="J7" i="4"/>
  <c r="I7" i="4"/>
  <c r="H7" i="4"/>
  <c r="G7" i="4"/>
  <c r="F7" i="4"/>
  <c r="V6" i="4"/>
  <c r="T6" i="4"/>
  <c r="R6" i="4"/>
  <c r="P6" i="4"/>
  <c r="N6" i="4"/>
  <c r="M6" i="4"/>
  <c r="L6" i="4"/>
  <c r="K6" i="4"/>
  <c r="J6" i="4"/>
  <c r="I6" i="4"/>
  <c r="H6" i="4"/>
  <c r="G6" i="4"/>
  <c r="F6" i="4"/>
  <c r="MP3" i="8"/>
  <c r="X29" i="4"/>
  <c r="LZ3" i="8"/>
  <c r="KT3" i="8"/>
  <c r="KU3" i="8"/>
  <c r="KW3" i="8"/>
  <c r="KR3" i="8"/>
  <c r="NE3" i="8"/>
  <c r="ND3" i="8"/>
  <c r="KG3" i="8"/>
  <c r="JS3" i="8"/>
  <c r="JP3" i="8"/>
  <c r="JN3" i="8"/>
  <c r="DY8" i="8" l="1"/>
  <c r="AL39" i="8"/>
  <c r="DV23" i="8"/>
  <c r="DY23" i="8"/>
  <c r="S34" i="8"/>
  <c r="V7" i="8"/>
  <c r="JQ33" i="8"/>
  <c r="KW45" i="8"/>
  <c r="KS45" i="8"/>
  <c r="KW49" i="8"/>
  <c r="F34" i="8"/>
  <c r="IK54" i="8"/>
  <c r="KR55" i="8"/>
  <c r="KW47" i="8"/>
  <c r="KU13" i="8"/>
  <c r="KW6" i="8"/>
  <c r="F42" i="8"/>
  <c r="JQ43" i="8"/>
  <c r="KW55" i="8"/>
  <c r="KV53" i="8"/>
  <c r="KU11" i="8"/>
  <c r="IJ13" i="8"/>
  <c r="JQ46" i="8"/>
  <c r="JS22" i="8"/>
  <c r="KC32" i="8"/>
  <c r="KV55" i="8"/>
  <c r="KU53" i="8"/>
  <c r="JO46" i="8"/>
  <c r="JS41" i="8"/>
  <c r="JO22" i="8"/>
  <c r="KT53" i="8"/>
  <c r="U43" i="8"/>
  <c r="V19" i="8"/>
  <c r="S43" i="8"/>
  <c r="GR9" i="8"/>
  <c r="CR30" i="8"/>
  <c r="FQ13" i="8"/>
  <c r="AX12" i="8"/>
  <c r="T19" i="8"/>
  <c r="S19" i="8"/>
  <c r="T39" i="8"/>
  <c r="V24" i="8"/>
  <c r="S24" i="8"/>
  <c r="W37" i="8"/>
  <c r="V45" i="8"/>
  <c r="JO35" i="8"/>
  <c r="KG32" i="8"/>
  <c r="IO11" i="8"/>
  <c r="JR35" i="8"/>
  <c r="JS5" i="8"/>
  <c r="KH32" i="8"/>
  <c r="KF28" i="8"/>
  <c r="IJ11" i="8"/>
  <c r="IY11" i="8"/>
  <c r="JR41" i="8"/>
  <c r="IJ6" i="8"/>
  <c r="IM52" i="8"/>
  <c r="JS10" i="8"/>
  <c r="JQ35" i="8"/>
  <c r="KD28" i="8"/>
  <c r="KG24" i="8"/>
  <c r="IL11" i="8"/>
  <c r="IL52" i="8"/>
  <c r="IJ52" i="8"/>
  <c r="JR10" i="8"/>
  <c r="KF30" i="8"/>
  <c r="KH26" i="8"/>
  <c r="KE24" i="8"/>
  <c r="IM11" i="8"/>
  <c r="IN4" i="8"/>
  <c r="IN50" i="8"/>
  <c r="JD11" i="8"/>
  <c r="JQ10" i="8"/>
  <c r="KD30" i="8"/>
  <c r="KG26" i="8"/>
  <c r="KD24" i="8"/>
  <c r="JP33" i="8"/>
  <c r="IM4" i="8"/>
  <c r="IM50" i="8"/>
  <c r="IM54" i="8"/>
  <c r="JP10" i="8"/>
  <c r="KF26" i="8"/>
  <c r="IK4" i="8"/>
  <c r="IL54" i="8"/>
  <c r="JD27" i="8"/>
  <c r="JR33" i="8"/>
  <c r="JR43" i="8"/>
  <c r="KF32" i="8"/>
  <c r="IK52" i="8"/>
  <c r="GT8" i="8"/>
  <c r="CB40" i="8"/>
  <c r="T20" i="8"/>
  <c r="S37" i="8"/>
  <c r="BN19" i="8"/>
  <c r="AJ41" i="8"/>
  <c r="AI39" i="8"/>
  <c r="AI41" i="8"/>
  <c r="AI43" i="8"/>
  <c r="AH41" i="8"/>
  <c r="AM43" i="8"/>
  <c r="AL43" i="8"/>
  <c r="BO36" i="8"/>
  <c r="AK7" i="8"/>
  <c r="V33" i="8"/>
  <c r="S28" i="8"/>
  <c r="U33" i="8"/>
  <c r="U5" i="8"/>
  <c r="W19" i="8"/>
  <c r="X24" i="8"/>
  <c r="V39" i="8"/>
  <c r="U24" i="8"/>
  <c r="U39" i="8"/>
  <c r="T24" i="8"/>
  <c r="X19" i="8"/>
  <c r="S39" i="8"/>
  <c r="X43" i="8"/>
  <c r="V35" i="8"/>
  <c r="W16" i="8"/>
  <c r="W26" i="8"/>
  <c r="U35" i="8"/>
  <c r="S16" i="8"/>
  <c r="S26" i="8"/>
  <c r="V21" i="8"/>
  <c r="X31" i="8"/>
  <c r="X46" i="8"/>
  <c r="S41" i="8"/>
  <c r="U9" i="8"/>
  <c r="S31" i="8"/>
  <c r="S50" i="8"/>
  <c r="V46" i="8"/>
  <c r="W41" i="8"/>
  <c r="X35" i="8"/>
  <c r="T26" i="8"/>
  <c r="T43" i="8"/>
  <c r="V49" i="8"/>
  <c r="S48" i="8"/>
  <c r="V43" i="8"/>
  <c r="AM3" i="8"/>
  <c r="X22" i="4"/>
  <c r="X24" i="4"/>
  <c r="X27" i="4"/>
  <c r="X30" i="4"/>
  <c r="BL19" i="8"/>
  <c r="U30" i="8"/>
  <c r="BL36" i="8"/>
  <c r="BQ40" i="8"/>
  <c r="BO38" i="8"/>
  <c r="BM38" i="8"/>
  <c r="V9" i="8"/>
  <c r="T45" i="8"/>
  <c r="U46" i="8"/>
  <c r="BP26" i="8"/>
  <c r="FQ53" i="8"/>
  <c r="F48" i="8"/>
  <c r="V31" i="8"/>
  <c r="X50" i="8"/>
  <c r="X16" i="8"/>
  <c r="D48" i="8"/>
  <c r="E39" i="8"/>
  <c r="W35" i="8"/>
  <c r="V16" i="8"/>
  <c r="V41" i="8"/>
  <c r="I47" i="8"/>
  <c r="F55" i="8"/>
  <c r="I48" i="8"/>
  <c r="AI9" i="8"/>
  <c r="AJ31" i="8"/>
  <c r="T31" i="8"/>
  <c r="U50" i="8"/>
  <c r="U16" i="8"/>
  <c r="V26" i="8"/>
  <c r="U41" i="8"/>
  <c r="BO40" i="8"/>
  <c r="CF20" i="8"/>
  <c r="DX42" i="8"/>
  <c r="DX8" i="8"/>
  <c r="FP11" i="8"/>
  <c r="H28" i="8"/>
  <c r="G38" i="8"/>
  <c r="E47" i="8"/>
  <c r="E45" i="8"/>
  <c r="AL45" i="8"/>
  <c r="AK53" i="8"/>
  <c r="AL29" i="8"/>
  <c r="AL31" i="8"/>
  <c r="X37" i="8"/>
  <c r="E48" i="8"/>
  <c r="T37" i="8"/>
  <c r="I23" i="8"/>
  <c r="U37" i="8"/>
  <c r="W30" i="8"/>
  <c r="X9" i="8"/>
  <c r="T35" i="8"/>
  <c r="T46" i="8"/>
  <c r="BM44" i="8"/>
  <c r="EJ48" i="8"/>
  <c r="D38" i="8"/>
  <c r="F23" i="8"/>
  <c r="E55" i="8"/>
  <c r="U31" i="8"/>
  <c r="V50" i="8"/>
  <c r="S46" i="8"/>
  <c r="BP21" i="8"/>
  <c r="FM11" i="8"/>
  <c r="D55" i="8"/>
  <c r="AM29" i="8"/>
  <c r="T4" i="8"/>
  <c r="V38" i="8"/>
  <c r="W9" i="8"/>
  <c r="X38" i="8"/>
  <c r="EM22" i="8"/>
  <c r="T9" i="8"/>
  <c r="X39" i="8"/>
  <c r="T50" i="8"/>
  <c r="U26" i="8"/>
  <c r="T41" i="8"/>
  <c r="BP34" i="8"/>
  <c r="CU19" i="8"/>
  <c r="DH15" i="8"/>
  <c r="DW42" i="8"/>
  <c r="DW8" i="8"/>
  <c r="GF11" i="8"/>
  <c r="F28" i="8"/>
  <c r="D27" i="8"/>
  <c r="E23" i="8"/>
  <c r="G5" i="8"/>
  <c r="H23" i="8"/>
  <c r="AM7" i="8"/>
  <c r="AM13" i="8"/>
  <c r="AJ39" i="8"/>
  <c r="AH39" i="8"/>
  <c r="DF36" i="8"/>
  <c r="DI34" i="8"/>
  <c r="DJ42" i="8"/>
  <c r="BL44" i="8"/>
  <c r="BM34" i="8"/>
  <c r="BN38" i="8"/>
  <c r="BQ38" i="8"/>
  <c r="BM19" i="8"/>
  <c r="BL21" i="8"/>
  <c r="BQ34" i="8"/>
  <c r="BP40" i="8"/>
  <c r="BP38" i="8"/>
  <c r="BO44" i="8"/>
  <c r="BO19" i="8"/>
  <c r="BO21" i="8"/>
  <c r="BO34" i="8"/>
  <c r="BN40" i="8"/>
  <c r="BN34" i="8"/>
  <c r="BN21" i="8"/>
  <c r="BQ36" i="8"/>
  <c r="BM40" i="8"/>
  <c r="BQ44" i="8"/>
  <c r="BM21" i="8"/>
  <c r="BN36" i="8"/>
  <c r="BP19" i="8"/>
  <c r="BN44" i="8"/>
  <c r="BM36" i="8"/>
  <c r="BM42" i="8"/>
  <c r="CB31" i="8"/>
  <c r="CA31" i="8"/>
  <c r="CE20" i="8"/>
  <c r="DU22" i="8"/>
  <c r="DW22" i="8"/>
  <c r="DX48" i="8"/>
  <c r="DX4" i="8"/>
  <c r="EL14" i="8"/>
  <c r="DF38" i="8"/>
  <c r="DJ38" i="8"/>
  <c r="DE42" i="8"/>
  <c r="DE36" i="8"/>
  <c r="DI42" i="8"/>
  <c r="DH40" i="8"/>
  <c r="DG40" i="8"/>
  <c r="DJ34" i="8"/>
  <c r="CQ30" i="8"/>
  <c r="CS33" i="8"/>
  <c r="BQ30" i="8"/>
  <c r="FR16" i="8"/>
  <c r="CT19" i="8"/>
  <c r="CQ25" i="8"/>
  <c r="CR19" i="8"/>
  <c r="CP25" i="8"/>
  <c r="DH54" i="8"/>
  <c r="FP16" i="8"/>
  <c r="BM24" i="8"/>
  <c r="HJ37" i="8"/>
  <c r="HH41" i="8"/>
  <c r="IZ4" i="8"/>
  <c r="IY4" i="8"/>
  <c r="HG20" i="8"/>
  <c r="HH4" i="8"/>
  <c r="GT45" i="8"/>
  <c r="GQ45" i="8"/>
  <c r="CS9" i="8"/>
  <c r="CQ19" i="8"/>
  <c r="CP19" i="8"/>
  <c r="CU50" i="8"/>
  <c r="CT47" i="8"/>
  <c r="CU41" i="8"/>
  <c r="CQ33" i="8"/>
  <c r="FR11" i="8"/>
  <c r="FR13" i="8"/>
  <c r="FQ11" i="8"/>
  <c r="FP13" i="8"/>
  <c r="FO13" i="8"/>
  <c r="FN13" i="8"/>
  <c r="FO11" i="8"/>
  <c r="GF12" i="8"/>
  <c r="X16" i="4"/>
  <c r="X8" i="4"/>
  <c r="X21" i="4"/>
  <c r="X15" i="4"/>
  <c r="X26" i="4"/>
  <c r="X7" i="4"/>
  <c r="X11" i="4"/>
  <c r="X12" i="4"/>
  <c r="X14" i="4"/>
  <c r="X17" i="4"/>
  <c r="X18" i="4"/>
  <c r="X19" i="4"/>
  <c r="X20" i="4"/>
  <c r="X23" i="4"/>
  <c r="X25" i="4"/>
  <c r="X28" i="4"/>
  <c r="X13" i="4"/>
  <c r="X6" i="4"/>
  <c r="X9" i="4"/>
  <c r="X10" i="4"/>
  <c r="P27" i="3"/>
  <c r="R27" i="3" s="1"/>
  <c r="R27" i="7" s="1"/>
  <c r="AS28" i="3"/>
  <c r="J26" i="3" s="1"/>
  <c r="J26" i="7" s="1"/>
  <c r="AM26" i="3"/>
  <c r="D24" i="3" s="1"/>
  <c r="D24" i="7" s="1"/>
  <c r="AN30" i="3"/>
  <c r="E28" i="3" s="1"/>
  <c r="E28" i="7" s="1"/>
  <c r="AN27" i="3"/>
  <c r="E25" i="3" s="1"/>
  <c r="E25" i="7" s="1"/>
  <c r="AO31" i="3"/>
  <c r="F29" i="3" s="1"/>
  <c r="Y29" i="3" s="1"/>
  <c r="AO27" i="3"/>
  <c r="F25" i="3" s="1"/>
  <c r="F25" i="7" s="1"/>
  <c r="AP30" i="3"/>
  <c r="G28" i="3" s="1"/>
  <c r="G28" i="7" s="1"/>
  <c r="HV9" i="8"/>
  <c r="HV7" i="8"/>
  <c r="HF47" i="8"/>
  <c r="HI47" i="8"/>
  <c r="HK49" i="8"/>
  <c r="HG53" i="8"/>
  <c r="HF53" i="8"/>
  <c r="HG55" i="8"/>
  <c r="FQ14" i="8"/>
  <c r="GR55" i="8"/>
  <c r="GS9" i="8"/>
  <c r="GV55" i="8"/>
  <c r="GU55" i="8"/>
  <c r="GR7" i="8"/>
  <c r="GQ7" i="8"/>
  <c r="GQ44" i="8"/>
  <c r="DF19" i="8"/>
  <c r="DJ40" i="8"/>
  <c r="DH34" i="8"/>
  <c r="DH42" i="8"/>
  <c r="DJ36" i="8"/>
  <c r="DF40" i="8"/>
  <c r="DI38" i="8"/>
  <c r="DH36" i="8"/>
  <c r="DE40" i="8"/>
  <c r="DE32" i="8"/>
  <c r="DG36" i="8"/>
  <c r="DF42" i="8"/>
  <c r="U3" i="7"/>
  <c r="T3" i="5"/>
  <c r="T5" i="7"/>
  <c r="V5" i="7" s="1"/>
  <c r="U7" i="7"/>
  <c r="NB18" i="8"/>
  <c r="X53" i="8"/>
  <c r="MP45" i="8"/>
  <c r="NE9" i="8"/>
  <c r="V13" i="8"/>
  <c r="X45" i="8"/>
  <c r="T13" i="8"/>
  <c r="JP46" i="8"/>
  <c r="KR45" i="8"/>
  <c r="AQ28" i="3"/>
  <c r="H26" i="3" s="1"/>
  <c r="H26" i="7" s="1"/>
  <c r="AN25" i="3"/>
  <c r="E23" i="3" s="1"/>
  <c r="E23" i="7" s="1"/>
  <c r="P29" i="3"/>
  <c r="P29" i="7" s="1"/>
  <c r="AM30" i="3"/>
  <c r="D28" i="3" s="1"/>
  <c r="D28" i="7" s="1"/>
  <c r="AO28" i="3"/>
  <c r="F26" i="3" s="1"/>
  <c r="AS31" i="3"/>
  <c r="J29" i="3" s="1"/>
  <c r="J29" i="7" s="1"/>
  <c r="P28" i="3"/>
  <c r="P28" i="7" s="1"/>
  <c r="P25" i="3"/>
  <c r="P25" i="7" s="1"/>
  <c r="AM31" i="3"/>
  <c r="D29" i="3" s="1"/>
  <c r="AM28" i="3"/>
  <c r="D26" i="3" s="1"/>
  <c r="W26" i="3" s="1"/>
  <c r="T7" i="7"/>
  <c r="V7" i="7" s="1"/>
  <c r="S29" i="8"/>
  <c r="W13" i="8"/>
  <c r="KR31" i="8"/>
  <c r="MO3" i="8"/>
  <c r="AS30" i="3"/>
  <c r="J28" i="3" s="1"/>
  <c r="J28" i="7" s="1"/>
  <c r="AO26" i="3"/>
  <c r="F24" i="3" s="1"/>
  <c r="F24" i="7" s="1"/>
  <c r="AL3" i="8"/>
  <c r="KF3" i="8"/>
  <c r="AX5" i="3"/>
  <c r="NE14" i="8"/>
  <c r="W38" i="8"/>
  <c r="X13" i="8"/>
  <c r="S15" i="8"/>
  <c r="U45" i="8"/>
  <c r="IJ32" i="8"/>
  <c r="KC6" i="8"/>
  <c r="LV18" i="8"/>
  <c r="MO46" i="8"/>
  <c r="MK22" i="8"/>
  <c r="KE3" i="8"/>
  <c r="AO29" i="3"/>
  <c r="F27" i="3" s="1"/>
  <c r="Y27" i="3" s="1"/>
  <c r="AN28" i="3"/>
  <c r="E26" i="3" s="1"/>
  <c r="AQ31" i="3"/>
  <c r="H29" i="3" s="1"/>
  <c r="H29" i="7" s="1"/>
  <c r="MZ18" i="8"/>
  <c r="MO53" i="8"/>
  <c r="S45" i="8"/>
  <c r="HJ14" i="8"/>
  <c r="JR22" i="8"/>
  <c r="KH45" i="8"/>
  <c r="KV45" i="8"/>
  <c r="KV6" i="8"/>
  <c r="LZ18" i="8"/>
  <c r="AO30" i="3"/>
  <c r="F28" i="3" s="1"/>
  <c r="F28" i="7" s="1"/>
  <c r="AN29" i="3"/>
  <c r="E27" i="3" s="1"/>
  <c r="X27" i="3" s="1"/>
  <c r="AS26" i="3"/>
  <c r="J24" i="3" s="1"/>
  <c r="J24" i="7" s="1"/>
  <c r="NE18" i="8"/>
  <c r="S13" i="8"/>
  <c r="JS46" i="8"/>
  <c r="JQ22" i="8"/>
  <c r="KF45" i="8"/>
  <c r="KU45" i="8"/>
  <c r="KU6" i="8"/>
  <c r="LY18" i="8"/>
  <c r="KH3" i="8"/>
  <c r="MN3" i="8"/>
  <c r="KC3" i="8"/>
  <c r="T38" i="8"/>
  <c r="U38" i="8"/>
  <c r="MZ30" i="8"/>
  <c r="IJ8" i="8"/>
  <c r="JR46" i="8"/>
  <c r="JP22" i="8"/>
  <c r="KS6" i="8"/>
  <c r="LI44" i="8"/>
  <c r="MA46" i="8"/>
  <c r="KW18" i="8"/>
  <c r="MK53" i="8"/>
  <c r="LV22" i="8"/>
  <c r="JQ17" i="8"/>
  <c r="KR27" i="8"/>
  <c r="W28" i="8"/>
  <c r="GQ24" i="8"/>
  <c r="NC3" i="8"/>
  <c r="GV14" i="8"/>
  <c r="X4" i="8"/>
  <c r="NC21" i="8"/>
  <c r="KU18" i="8"/>
  <c r="KV18" i="8"/>
  <c r="LK45" i="8"/>
  <c r="LL45" i="8"/>
  <c r="LL10" i="8"/>
  <c r="LX22" i="8"/>
  <c r="V18" i="8"/>
  <c r="NA33" i="8"/>
  <c r="U42" i="8"/>
  <c r="W33" i="8"/>
  <c r="GV26" i="8"/>
  <c r="HH17" i="8"/>
  <c r="HG32" i="8"/>
  <c r="IO15" i="8"/>
  <c r="IJ4" i="8"/>
  <c r="IO6" i="8"/>
  <c r="IL50" i="8"/>
  <c r="IO52" i="8"/>
  <c r="JC22" i="8"/>
  <c r="JA29" i="8"/>
  <c r="JO33" i="8"/>
  <c r="JQ41" i="8"/>
  <c r="KH30" i="8"/>
  <c r="KE26" i="8"/>
  <c r="KE28" i="8"/>
  <c r="KC24" i="8"/>
  <c r="KU55" i="8"/>
  <c r="KV47" i="8"/>
  <c r="KS49" i="8"/>
  <c r="KS53" i="8"/>
  <c r="LI6" i="8"/>
  <c r="LJ34" i="8"/>
  <c r="G25" i="8"/>
  <c r="E42" i="8"/>
  <c r="F50" i="8"/>
  <c r="ML53" i="8"/>
  <c r="NB3" i="8"/>
  <c r="X28" i="8"/>
  <c r="KR18" i="8"/>
  <c r="LG10" i="8"/>
  <c r="W18" i="8"/>
  <c r="NB33" i="8"/>
  <c r="S33" i="8"/>
  <c r="HI22" i="8"/>
  <c r="HI26" i="8"/>
  <c r="IO4" i="8"/>
  <c r="IN6" i="8"/>
  <c r="IK50" i="8"/>
  <c r="IM17" i="8"/>
  <c r="IO13" i="8"/>
  <c r="JD14" i="8"/>
  <c r="JC25" i="8"/>
  <c r="JN33" i="8"/>
  <c r="JP41" i="8"/>
  <c r="KG30" i="8"/>
  <c r="KD26" i="8"/>
  <c r="KG28" i="8"/>
  <c r="KH24" i="8"/>
  <c r="KR53" i="8"/>
  <c r="LH42" i="8"/>
  <c r="LL21" i="8"/>
  <c r="MA13" i="8"/>
  <c r="LZ22" i="8"/>
  <c r="MN49" i="8"/>
  <c r="ND44" i="8"/>
  <c r="IL32" i="8"/>
  <c r="G34" i="8"/>
  <c r="H42" i="8"/>
  <c r="T33" i="8"/>
  <c r="JB3" i="8"/>
  <c r="X12" i="8"/>
  <c r="MN45" i="8"/>
  <c r="S12" i="8"/>
  <c r="MM53" i="8"/>
  <c r="LH10" i="8"/>
  <c r="T18" i="8"/>
  <c r="MZ33" i="8"/>
  <c r="W17" i="8"/>
  <c r="HI52" i="8"/>
  <c r="HJ50" i="8"/>
  <c r="IK11" i="8"/>
  <c r="IM6" i="8"/>
  <c r="IM48" i="8"/>
  <c r="IM13" i="8"/>
  <c r="JD22" i="8"/>
  <c r="IZ20" i="8"/>
  <c r="JO41" i="8"/>
  <c r="JO43" i="8"/>
  <c r="KU8" i="8"/>
  <c r="LI40" i="8"/>
  <c r="IY22" i="8"/>
  <c r="IO50" i="8"/>
  <c r="F10" i="8"/>
  <c r="NA3" i="8"/>
  <c r="T12" i="8"/>
  <c r="MM45" i="8"/>
  <c r="U18" i="8"/>
  <c r="NE33" i="8"/>
  <c r="HK54" i="8"/>
  <c r="HH28" i="8"/>
  <c r="IL6" i="8"/>
  <c r="IJ48" i="8"/>
  <c r="IL13" i="8"/>
  <c r="IL48" i="8"/>
  <c r="JD25" i="8"/>
  <c r="JD13" i="8"/>
  <c r="JQ20" i="8"/>
  <c r="JN35" i="8"/>
  <c r="JN43" i="8"/>
  <c r="KE30" i="8"/>
  <c r="KE32" i="8"/>
  <c r="KC28" i="8"/>
  <c r="KV29" i="8"/>
  <c r="LJ19" i="8"/>
  <c r="LK30" i="8"/>
  <c r="LI28" i="8"/>
  <c r="LV11" i="8"/>
  <c r="LY13" i="8"/>
  <c r="NA19" i="8"/>
  <c r="IZ23" i="8"/>
  <c r="LL4" i="8"/>
  <c r="F41" i="8"/>
  <c r="G42" i="8"/>
  <c r="I34" i="8"/>
  <c r="NC33" i="8"/>
  <c r="JR3" i="8"/>
  <c r="U28" i="8"/>
  <c r="MZ21" i="8"/>
  <c r="MP53" i="8"/>
  <c r="LI45" i="8"/>
  <c r="MO45" i="8"/>
  <c r="W12" i="8"/>
  <c r="LY22" i="8"/>
  <c r="X18" i="8"/>
  <c r="U12" i="8"/>
  <c r="GT15" i="8"/>
  <c r="IN48" i="8"/>
  <c r="IO54" i="8"/>
  <c r="IO48" i="8"/>
  <c r="IK13" i="8"/>
  <c r="IN54" i="8"/>
  <c r="JA22" i="8"/>
  <c r="IY33" i="8"/>
  <c r="JD43" i="8"/>
  <c r="JS35" i="8"/>
  <c r="JS50" i="8"/>
  <c r="JS43" i="8"/>
  <c r="JN52" i="8"/>
  <c r="KH14" i="8"/>
  <c r="KS55" i="8"/>
  <c r="LG6" i="8"/>
  <c r="JC11" i="8"/>
  <c r="JB23" i="8"/>
  <c r="I10" i="8"/>
  <c r="NB21" i="8"/>
  <c r="ND21" i="8"/>
  <c r="LW22" i="8"/>
  <c r="KG14" i="8"/>
  <c r="KC12" i="8"/>
  <c r="KW25" i="8"/>
  <c r="LK36" i="8"/>
  <c r="IL15" i="8"/>
  <c r="H17" i="8"/>
  <c r="GG34" i="8"/>
  <c r="DT4" i="8"/>
  <c r="EN23" i="8"/>
  <c r="DU52" i="8"/>
  <c r="GC31" i="8"/>
  <c r="GG42" i="8"/>
  <c r="GC5" i="8"/>
  <c r="GG38" i="8"/>
  <c r="FA48" i="8"/>
  <c r="FB50" i="8"/>
  <c r="FC15" i="8"/>
  <c r="EI31" i="8"/>
  <c r="EL52" i="8"/>
  <c r="EM12" i="8"/>
  <c r="EJ52" i="8"/>
  <c r="EL12" i="8"/>
  <c r="EI52" i="8"/>
  <c r="R29" i="3"/>
  <c r="R29" i="7" s="1"/>
  <c r="LG3" i="8"/>
  <c r="GT14" i="8"/>
  <c r="NE10" i="8"/>
  <c r="MZ37" i="8"/>
  <c r="NC37" i="8"/>
  <c r="KE18" i="8"/>
  <c r="KH18" i="8"/>
  <c r="V11" i="8"/>
  <c r="S42" i="8"/>
  <c r="BL15" i="8"/>
  <c r="EN25" i="8"/>
  <c r="EN31" i="8"/>
  <c r="EK23" i="8"/>
  <c r="EY15" i="8"/>
  <c r="EX48" i="8"/>
  <c r="FA50" i="8"/>
  <c r="FM32" i="8"/>
  <c r="GF20" i="8"/>
  <c r="GV24" i="8"/>
  <c r="GU26" i="8"/>
  <c r="HG17" i="8"/>
  <c r="HH26" i="8"/>
  <c r="HG28" i="8"/>
  <c r="HF32" i="8"/>
  <c r="HY5" i="8"/>
  <c r="IK8" i="8"/>
  <c r="IJ28" i="8"/>
  <c r="IL17" i="8"/>
  <c r="IO32" i="8"/>
  <c r="IN8" i="8"/>
  <c r="IY20" i="8"/>
  <c r="JR50" i="8"/>
  <c r="JS52" i="8"/>
  <c r="KD34" i="8"/>
  <c r="KE22" i="8"/>
  <c r="KF44" i="8"/>
  <c r="KH12" i="8"/>
  <c r="KU29" i="8"/>
  <c r="KW31" i="8"/>
  <c r="KV46" i="8"/>
  <c r="KT8" i="8"/>
  <c r="KV25" i="8"/>
  <c r="KW27" i="8"/>
  <c r="LG4" i="8"/>
  <c r="LJ36" i="8"/>
  <c r="LH44" i="8"/>
  <c r="LI34" i="8"/>
  <c r="LK21" i="8"/>
  <c r="LH40" i="8"/>
  <c r="LZ6" i="8"/>
  <c r="ML51" i="8"/>
  <c r="MM49" i="8"/>
  <c r="NE39" i="8"/>
  <c r="NC44" i="8"/>
  <c r="NE19" i="8"/>
  <c r="ND7" i="8"/>
  <c r="IM15" i="8"/>
  <c r="E9" i="8"/>
  <c r="I17" i="8"/>
  <c r="AK22" i="8"/>
  <c r="GS14" i="8"/>
  <c r="ND10" i="8"/>
  <c r="U53" i="8"/>
  <c r="ND37" i="8"/>
  <c r="T11" i="8"/>
  <c r="V23" i="8"/>
  <c r="V51" i="8"/>
  <c r="EM25" i="8"/>
  <c r="EM31" i="8"/>
  <c r="EL23" i="8"/>
  <c r="EL8" i="8"/>
  <c r="FC50" i="8"/>
  <c r="EZ50" i="8"/>
  <c r="GG36" i="8"/>
  <c r="GV17" i="8"/>
  <c r="GT26" i="8"/>
  <c r="HG15" i="8"/>
  <c r="HF17" i="8"/>
  <c r="HG26" i="8"/>
  <c r="HF28" i="8"/>
  <c r="HI8" i="8"/>
  <c r="HK32" i="8"/>
  <c r="IO8" i="8"/>
  <c r="IO28" i="8"/>
  <c r="IK17" i="8"/>
  <c r="JC8" i="8"/>
  <c r="JD20" i="8"/>
  <c r="JQ50" i="8"/>
  <c r="JS54" i="8"/>
  <c r="KD22" i="8"/>
  <c r="KE44" i="8"/>
  <c r="KD18" i="8"/>
  <c r="KT29" i="8"/>
  <c r="KV31" i="8"/>
  <c r="KU46" i="8"/>
  <c r="KS8" i="8"/>
  <c r="KU25" i="8"/>
  <c r="KV27" i="8"/>
  <c r="LH4" i="8"/>
  <c r="LG38" i="8"/>
  <c r="LI36" i="8"/>
  <c r="LG44" i="8"/>
  <c r="LH34" i="8"/>
  <c r="LJ21" i="8"/>
  <c r="LG40" i="8"/>
  <c r="LY6" i="8"/>
  <c r="MK51" i="8"/>
  <c r="ML49" i="8"/>
  <c r="ML47" i="8"/>
  <c r="NE17" i="8"/>
  <c r="ND4" i="8"/>
  <c r="MZ50" i="8"/>
  <c r="NA44" i="8"/>
  <c r="ND19" i="8"/>
  <c r="F49" i="8"/>
  <c r="AM29" i="3"/>
  <c r="D27" i="3" s="1"/>
  <c r="P24" i="3"/>
  <c r="R24" i="3" s="1"/>
  <c r="R24" i="7" s="1"/>
  <c r="AR30" i="3"/>
  <c r="I28" i="3" s="1"/>
  <c r="I28" i="7" s="1"/>
  <c r="AS29" i="3"/>
  <c r="J27" i="3" s="1"/>
  <c r="J27" i="7" s="1"/>
  <c r="P26" i="3"/>
  <c r="P26" i="7" s="1"/>
  <c r="AM27" i="3"/>
  <c r="D25" i="3" s="1"/>
  <c r="D25" i="7" s="1"/>
  <c r="AN26" i="3"/>
  <c r="E24" i="3" s="1"/>
  <c r="E24" i="7" s="1"/>
  <c r="AO25" i="3"/>
  <c r="F23" i="3" s="1"/>
  <c r="NC10" i="8"/>
  <c r="MN14" i="8"/>
  <c r="KF18" i="8"/>
  <c r="S23" i="8"/>
  <c r="T51" i="8"/>
  <c r="BO15" i="8"/>
  <c r="BQ8" i="8"/>
  <c r="EL25" i="8"/>
  <c r="EJ27" i="8"/>
  <c r="EN29" i="8"/>
  <c r="EK8" i="8"/>
  <c r="GC36" i="8"/>
  <c r="GT5" i="8"/>
  <c r="GT17" i="8"/>
  <c r="GS26" i="8"/>
  <c r="GU28" i="8"/>
  <c r="HK15" i="8"/>
  <c r="HI24" i="8"/>
  <c r="HK28" i="8"/>
  <c r="HH8" i="8"/>
  <c r="HX17" i="8"/>
  <c r="IK15" i="8"/>
  <c r="IJ17" i="8"/>
  <c r="IM30" i="8"/>
  <c r="JD35" i="8"/>
  <c r="JA8" i="8"/>
  <c r="JQ48" i="8"/>
  <c r="JP50" i="8"/>
  <c r="JR54" i="8"/>
  <c r="KS29" i="8"/>
  <c r="KU31" i="8"/>
  <c r="KT46" i="8"/>
  <c r="KS23" i="8"/>
  <c r="KV8" i="8"/>
  <c r="KT25" i="8"/>
  <c r="KU27" i="8"/>
  <c r="LJ4" i="8"/>
  <c r="LI19" i="8"/>
  <c r="LL38" i="8"/>
  <c r="LH36" i="8"/>
  <c r="LL44" i="8"/>
  <c r="LG42" i="8"/>
  <c r="LI21" i="8"/>
  <c r="LL40" i="8"/>
  <c r="LV6" i="8"/>
  <c r="MP51" i="8"/>
  <c r="MK49" i="8"/>
  <c r="MK47" i="8"/>
  <c r="NC4" i="8"/>
  <c r="NE50" i="8"/>
  <c r="MZ44" i="8"/>
  <c r="NC19" i="8"/>
  <c r="E41" i="8"/>
  <c r="G41" i="8"/>
  <c r="H41" i="8"/>
  <c r="AH28" i="8"/>
  <c r="NB10" i="8"/>
  <c r="W21" i="8"/>
  <c r="T21" i="8"/>
  <c r="V27" i="8"/>
  <c r="EK25" i="8"/>
  <c r="EN27" i="8"/>
  <c r="EM29" i="8"/>
  <c r="EJ8" i="8"/>
  <c r="EY50" i="8"/>
  <c r="GS15" i="8"/>
  <c r="GS17" i="8"/>
  <c r="GR26" i="8"/>
  <c r="GT28" i="8"/>
  <c r="HH24" i="8"/>
  <c r="HJ10" i="8"/>
  <c r="HK30" i="8"/>
  <c r="HG8" i="8"/>
  <c r="IN15" i="8"/>
  <c r="IL30" i="8"/>
  <c r="JC33" i="8"/>
  <c r="JC35" i="8"/>
  <c r="IZ8" i="8"/>
  <c r="JP48" i="8"/>
  <c r="JO50" i="8"/>
  <c r="JQ54" i="8"/>
  <c r="KD36" i="8"/>
  <c r="KC40" i="8"/>
  <c r="KR29" i="8"/>
  <c r="KS46" i="8"/>
  <c r="KR23" i="8"/>
  <c r="KR8" i="8"/>
  <c r="KS25" i="8"/>
  <c r="LK4" i="8"/>
  <c r="LH19" i="8"/>
  <c r="LK38" i="8"/>
  <c r="LG36" i="8"/>
  <c r="LL42" i="8"/>
  <c r="LH21" i="8"/>
  <c r="LX6" i="8"/>
  <c r="MO51" i="8"/>
  <c r="MP47" i="8"/>
  <c r="NA4" i="8"/>
  <c r="ND50" i="8"/>
  <c r="NE44" i="8"/>
  <c r="MZ7" i="8"/>
  <c r="G9" i="8"/>
  <c r="I41" i="8"/>
  <c r="AM28" i="8"/>
  <c r="AS27" i="3"/>
  <c r="J25" i="3" s="1"/>
  <c r="J25" i="7" s="1"/>
  <c r="T53" i="8"/>
  <c r="X21" i="8"/>
  <c r="T27" i="8"/>
  <c r="T47" i="8"/>
  <c r="BM17" i="8"/>
  <c r="BN15" i="8"/>
  <c r="EI55" i="8"/>
  <c r="EI25" i="8"/>
  <c r="EL27" i="8"/>
  <c r="EL29" i="8"/>
  <c r="EI8" i="8"/>
  <c r="FC52" i="8"/>
  <c r="EZ48" i="8"/>
  <c r="GC23" i="8"/>
  <c r="GR32" i="8"/>
  <c r="GR15" i="8"/>
  <c r="GU24" i="8"/>
  <c r="GR17" i="8"/>
  <c r="GR28" i="8"/>
  <c r="HK17" i="8"/>
  <c r="HG24" i="8"/>
  <c r="HI10" i="8"/>
  <c r="HH30" i="8"/>
  <c r="HW50" i="8"/>
  <c r="JB33" i="8"/>
  <c r="JB8" i="8"/>
  <c r="JO48" i="8"/>
  <c r="JQ52" i="8"/>
  <c r="JP54" i="8"/>
  <c r="KC36" i="8"/>
  <c r="KH22" i="8"/>
  <c r="KG42" i="8"/>
  <c r="KW23" i="8"/>
  <c r="LG19" i="8"/>
  <c r="LJ38" i="8"/>
  <c r="LG34" i="8"/>
  <c r="LK42" i="8"/>
  <c r="MN51" i="8"/>
  <c r="MO47" i="8"/>
  <c r="NB4" i="8"/>
  <c r="NC50" i="8"/>
  <c r="NC7" i="8"/>
  <c r="NB7" i="8"/>
  <c r="F9" i="8"/>
  <c r="U4" i="8"/>
  <c r="V53" i="8"/>
  <c r="S21" i="8"/>
  <c r="X17" i="8"/>
  <c r="EJ23" i="8"/>
  <c r="EJ29" i="8"/>
  <c r="EM8" i="8"/>
  <c r="FA54" i="8"/>
  <c r="GD8" i="8"/>
  <c r="GQ32" i="8"/>
  <c r="GV15" i="8"/>
  <c r="GT24" i="8"/>
  <c r="GQ17" i="8"/>
  <c r="GQ28" i="8"/>
  <c r="HJ17" i="8"/>
  <c r="HF24" i="8"/>
  <c r="HH10" i="8"/>
  <c r="HG30" i="8"/>
  <c r="HI32" i="8"/>
  <c r="JA33" i="8"/>
  <c r="JA20" i="8"/>
  <c r="IY8" i="8"/>
  <c r="JN48" i="8"/>
  <c r="JP52" i="8"/>
  <c r="JO54" i="8"/>
  <c r="KF38" i="8"/>
  <c r="KG22" i="8"/>
  <c r="KF42" i="8"/>
  <c r="KV23" i="8"/>
  <c r="LL19" i="8"/>
  <c r="LI38" i="8"/>
  <c r="LK44" i="8"/>
  <c r="LL34" i="8"/>
  <c r="LJ42" i="8"/>
  <c r="LK40" i="8"/>
  <c r="MP49" i="8"/>
  <c r="MN47" i="8"/>
  <c r="MZ4" i="8"/>
  <c r="NB50" i="8"/>
  <c r="NB19" i="8"/>
  <c r="NE7" i="8"/>
  <c r="F17" i="8"/>
  <c r="G17" i="8"/>
  <c r="H9" i="8"/>
  <c r="I9" i="8"/>
  <c r="V4" i="8"/>
  <c r="S53" i="8"/>
  <c r="NE37" i="8"/>
  <c r="KG18" i="8"/>
  <c r="X42" i="8"/>
  <c r="U17" i="8"/>
  <c r="EI23" i="8"/>
  <c r="FB48" i="8"/>
  <c r="FC48" i="8"/>
  <c r="FR30" i="8"/>
  <c r="GV32" i="8"/>
  <c r="GU15" i="8"/>
  <c r="GR24" i="8"/>
  <c r="GV28" i="8"/>
  <c r="HK24" i="8"/>
  <c r="HI28" i="8"/>
  <c r="HH32" i="8"/>
  <c r="HV15" i="8"/>
  <c r="IM8" i="8"/>
  <c r="IO17" i="8"/>
  <c r="IJ30" i="8"/>
  <c r="IZ33" i="8"/>
  <c r="JB20" i="8"/>
  <c r="JS48" i="8"/>
  <c r="JO52" i="8"/>
  <c r="KH34" i="8"/>
  <c r="KE12" i="8"/>
  <c r="KS31" i="8"/>
  <c r="KU23" i="8"/>
  <c r="KS27" i="8"/>
  <c r="GF47" i="8"/>
  <c r="GB47" i="8"/>
  <c r="GC47" i="8"/>
  <c r="GE47" i="8"/>
  <c r="KG51" i="8"/>
  <c r="KC51" i="8"/>
  <c r="KG9" i="8"/>
  <c r="KH9" i="8"/>
  <c r="KC9" i="8"/>
  <c r="KD9" i="8"/>
  <c r="ND14" i="8"/>
  <c r="W3" i="8"/>
  <c r="LY3" i="8"/>
  <c r="MZ14" i="8"/>
  <c r="JS14" i="8"/>
  <c r="MZ25" i="8"/>
  <c r="NA9" i="8"/>
  <c r="ND30" i="8"/>
  <c r="W10" i="8"/>
  <c r="V10" i="8"/>
  <c r="DT24" i="8"/>
  <c r="GU44" i="8"/>
  <c r="KH6" i="8"/>
  <c r="KU10" i="8"/>
  <c r="KR10" i="8"/>
  <c r="KW10" i="8"/>
  <c r="GB55" i="8"/>
  <c r="GC55" i="8"/>
  <c r="GE55" i="8"/>
  <c r="GB42" i="8"/>
  <c r="GE42" i="8"/>
  <c r="GD42" i="8"/>
  <c r="GF42" i="8"/>
  <c r="HW12" i="8"/>
  <c r="HZ12" i="8"/>
  <c r="KF19" i="8"/>
  <c r="KC19" i="8"/>
  <c r="KE19" i="8"/>
  <c r="KH19" i="8"/>
  <c r="LH18" i="8"/>
  <c r="T10" i="8"/>
  <c r="DV7" i="8"/>
  <c r="GE15" i="8"/>
  <c r="GE53" i="8"/>
  <c r="GV42" i="8"/>
  <c r="HJ12" i="8"/>
  <c r="KD19" i="8"/>
  <c r="KT10" i="8"/>
  <c r="MZ52" i="8"/>
  <c r="NE52" i="8"/>
  <c r="GC14" i="8"/>
  <c r="GD14" i="8"/>
  <c r="BL28" i="8"/>
  <c r="BQ28" i="8"/>
  <c r="CR25" i="8"/>
  <c r="CS25" i="8"/>
  <c r="CU25" i="8"/>
  <c r="DE4" i="8"/>
  <c r="DH4" i="8"/>
  <c r="DI52" i="8"/>
  <c r="DH52" i="8"/>
  <c r="DG50" i="8"/>
  <c r="DH50" i="8"/>
  <c r="DE50" i="8"/>
  <c r="DI26" i="8"/>
  <c r="DH26" i="8"/>
  <c r="DI24" i="8"/>
  <c r="DJ24" i="8"/>
  <c r="DJ11" i="8"/>
  <c r="DI11" i="8"/>
  <c r="FC44" i="8"/>
  <c r="FA44" i="8"/>
  <c r="FB44" i="8"/>
  <c r="EZ40" i="8"/>
  <c r="FB40" i="8"/>
  <c r="EZ7" i="8"/>
  <c r="EX7" i="8"/>
  <c r="FA7" i="8"/>
  <c r="FO55" i="8"/>
  <c r="FP55" i="8"/>
  <c r="FQ55" i="8"/>
  <c r="FM55" i="8"/>
  <c r="FN55" i="8"/>
  <c r="FR53" i="8"/>
  <c r="FM53" i="8"/>
  <c r="FN53" i="8"/>
  <c r="FO53" i="8"/>
  <c r="FO51" i="8"/>
  <c r="FP51" i="8"/>
  <c r="FQ51" i="8"/>
  <c r="FM16" i="8"/>
  <c r="FN16" i="8"/>
  <c r="FQ16" i="8"/>
  <c r="GD31" i="8"/>
  <c r="GB31" i="8"/>
  <c r="GE31" i="8"/>
  <c r="GF31" i="8"/>
  <c r="GG12" i="8"/>
  <c r="GB12" i="8"/>
  <c r="GC12" i="8"/>
  <c r="GD12" i="8"/>
  <c r="HY42" i="8"/>
  <c r="HZ42" i="8"/>
  <c r="HW38" i="8"/>
  <c r="HU38" i="8"/>
  <c r="HZ34" i="8"/>
  <c r="HV34" i="8"/>
  <c r="JR28" i="8"/>
  <c r="JS28" i="8"/>
  <c r="JN28" i="8"/>
  <c r="JS24" i="8"/>
  <c r="JP24" i="8"/>
  <c r="LV46" i="8"/>
  <c r="LW46" i="8"/>
  <c r="DT9" i="8"/>
  <c r="DX9" i="8"/>
  <c r="GB5" i="8"/>
  <c r="GD5" i="8"/>
  <c r="GE5" i="8"/>
  <c r="GF5" i="8"/>
  <c r="GB49" i="8"/>
  <c r="GC49" i="8"/>
  <c r="GD49" i="8"/>
  <c r="GF49" i="8"/>
  <c r="GG49" i="8"/>
  <c r="HW26" i="8"/>
  <c r="HV26" i="8"/>
  <c r="KD7" i="8"/>
  <c r="KF7" i="8"/>
  <c r="KC7" i="8"/>
  <c r="KG7" i="8"/>
  <c r="KE7" i="8"/>
  <c r="HI3" i="8"/>
  <c r="NC14" i="8"/>
  <c r="NA52" i="8"/>
  <c r="NB30" i="8"/>
  <c r="GE40" i="8"/>
  <c r="GB15" i="8"/>
  <c r="GD53" i="8"/>
  <c r="GS42" i="8"/>
  <c r="HH5" i="8"/>
  <c r="IL10" i="8"/>
  <c r="KF9" i="8"/>
  <c r="KS10" i="8"/>
  <c r="GB27" i="8"/>
  <c r="GD27" i="8"/>
  <c r="GC27" i="8"/>
  <c r="NB9" i="8"/>
  <c r="NB14" i="8"/>
  <c r="LL18" i="8"/>
  <c r="NA25" i="8"/>
  <c r="FB12" i="8"/>
  <c r="GE27" i="8"/>
  <c r="GF40" i="8"/>
  <c r="GT38" i="8"/>
  <c r="IK10" i="8"/>
  <c r="KH7" i="8"/>
  <c r="KE9" i="8"/>
  <c r="I21" i="8"/>
  <c r="F21" i="8"/>
  <c r="D21" i="8"/>
  <c r="I13" i="8"/>
  <c r="F13" i="8"/>
  <c r="H13" i="8"/>
  <c r="D13" i="8"/>
  <c r="MM6" i="8"/>
  <c r="MN6" i="8"/>
  <c r="JQ14" i="8"/>
  <c r="JO14" i="8"/>
  <c r="JP14" i="8"/>
  <c r="GD51" i="8"/>
  <c r="GC51" i="8"/>
  <c r="GE51" i="8"/>
  <c r="GC38" i="8"/>
  <c r="GD38" i="8"/>
  <c r="GE38" i="8"/>
  <c r="GF38" i="8"/>
  <c r="GT42" i="8"/>
  <c r="GU42" i="8"/>
  <c r="GQ42" i="8"/>
  <c r="KC49" i="8"/>
  <c r="KE49" i="8"/>
  <c r="KF49" i="8"/>
  <c r="KG49" i="8"/>
  <c r="AL36" i="8"/>
  <c r="AH36" i="8"/>
  <c r="LJ3" i="8"/>
  <c r="X10" i="8"/>
  <c r="U3" i="8"/>
  <c r="U14" i="8"/>
  <c r="NE30" i="8"/>
  <c r="U10" i="8"/>
  <c r="GG27" i="8"/>
  <c r="KD51" i="8"/>
  <c r="KT14" i="8"/>
  <c r="MK6" i="8"/>
  <c r="D36" i="8"/>
  <c r="G36" i="8"/>
  <c r="H36" i="8"/>
  <c r="F36" i="8"/>
  <c r="LK18" i="8"/>
  <c r="LI18" i="8"/>
  <c r="KE6" i="8"/>
  <c r="KF6" i="8"/>
  <c r="KG6" i="8"/>
  <c r="GC40" i="8"/>
  <c r="GD40" i="8"/>
  <c r="GG40" i="8"/>
  <c r="GS44" i="8"/>
  <c r="GR44" i="8"/>
  <c r="GT44" i="8"/>
  <c r="GU34" i="8"/>
  <c r="GV34" i="8"/>
  <c r="KF47" i="8"/>
  <c r="KH47" i="8"/>
  <c r="KE47" i="8"/>
  <c r="KC47" i="8"/>
  <c r="KG47" i="8"/>
  <c r="KD47" i="8"/>
  <c r="X14" i="8"/>
  <c r="JR14" i="8"/>
  <c r="NE25" i="8"/>
  <c r="ND9" i="8"/>
  <c r="NC30" i="8"/>
  <c r="U32" i="8"/>
  <c r="GG47" i="8"/>
  <c r="HH38" i="8"/>
  <c r="MO6" i="8"/>
  <c r="LY16" i="8"/>
  <c r="MA16" i="8"/>
  <c r="LV16" i="8"/>
  <c r="LW16" i="8"/>
  <c r="MK54" i="8"/>
  <c r="MO54" i="8"/>
  <c r="MP54" i="8"/>
  <c r="ML54" i="8"/>
  <c r="MK38" i="8"/>
  <c r="MM38" i="8"/>
  <c r="MN38" i="8"/>
  <c r="MO38" i="8"/>
  <c r="MP38" i="8"/>
  <c r="MO36" i="8"/>
  <c r="MN36" i="8"/>
  <c r="MP36" i="8"/>
  <c r="MK36" i="8"/>
  <c r="MK34" i="8"/>
  <c r="ML34" i="8"/>
  <c r="MM34" i="8"/>
  <c r="MN34" i="8"/>
  <c r="MO34" i="8"/>
  <c r="ML21" i="8"/>
  <c r="MM21" i="8"/>
  <c r="MN21" i="8"/>
  <c r="MO21" i="8"/>
  <c r="MP21" i="8"/>
  <c r="ML19" i="8"/>
  <c r="MN19" i="8"/>
  <c r="MO19" i="8"/>
  <c r="MP19" i="8"/>
  <c r="MP12" i="8"/>
  <c r="MK12" i="8"/>
  <c r="ML12" i="8"/>
  <c r="MO12" i="8"/>
  <c r="MM12" i="8"/>
  <c r="MP5" i="8"/>
  <c r="MK5" i="8"/>
  <c r="ML5" i="8"/>
  <c r="MM5" i="8"/>
  <c r="MZ55" i="8"/>
  <c r="NC55" i="8"/>
  <c r="ND55" i="8"/>
  <c r="NE55" i="8"/>
  <c r="NA55" i="8"/>
  <c r="NB55" i="8"/>
  <c r="NB51" i="8"/>
  <c r="NC51" i="8"/>
  <c r="ND51" i="8"/>
  <c r="D51" i="8"/>
  <c r="I51" i="8"/>
  <c r="H51" i="8"/>
  <c r="F51" i="8"/>
  <c r="GF44" i="8"/>
  <c r="GE44" i="8"/>
  <c r="GG44" i="8"/>
  <c r="GB44" i="8"/>
  <c r="GC15" i="8"/>
  <c r="GD15" i="8"/>
  <c r="GF15" i="8"/>
  <c r="HW24" i="8"/>
  <c r="HZ24" i="8"/>
  <c r="KC21" i="8"/>
  <c r="KD21" i="8"/>
  <c r="KF21" i="8"/>
  <c r="KG21" i="8"/>
  <c r="KH21" i="8"/>
  <c r="NC9" i="8"/>
  <c r="V3" i="8"/>
  <c r="LW3" i="8"/>
  <c r="S14" i="8"/>
  <c r="NB25" i="8"/>
  <c r="NC25" i="8"/>
  <c r="GC44" i="8"/>
  <c r="GB51" i="8"/>
  <c r="LJ18" i="8"/>
  <c r="KW13" i="8"/>
  <c r="KR13" i="8"/>
  <c r="KS13" i="8"/>
  <c r="KT13" i="8"/>
  <c r="KV11" i="8"/>
  <c r="KW11" i="8"/>
  <c r="KS11" i="8"/>
  <c r="KT11" i="8"/>
  <c r="LL32" i="8"/>
  <c r="LG32" i="8"/>
  <c r="LH32" i="8"/>
  <c r="LI32" i="8"/>
  <c r="LJ32" i="8"/>
  <c r="LI30" i="8"/>
  <c r="LJ30" i="8"/>
  <c r="LL30" i="8"/>
  <c r="LG30" i="8"/>
  <c r="LJ28" i="8"/>
  <c r="LK28" i="8"/>
  <c r="LL28" i="8"/>
  <c r="LG28" i="8"/>
  <c r="LI26" i="8"/>
  <c r="LJ26" i="8"/>
  <c r="LL26" i="8"/>
  <c r="LG26" i="8"/>
  <c r="LG24" i="8"/>
  <c r="LH24" i="8"/>
  <c r="LI24" i="8"/>
  <c r="LJ24" i="8"/>
  <c r="LK24" i="8"/>
  <c r="LH9" i="8"/>
  <c r="LI9" i="8"/>
  <c r="LK9" i="8"/>
  <c r="LL9" i="8"/>
  <c r="LL7" i="8"/>
  <c r="LG7" i="8"/>
  <c r="LI7" i="8"/>
  <c r="IK38" i="8"/>
  <c r="IM34" i="8"/>
  <c r="KF34" i="8"/>
  <c r="KH36" i="8"/>
  <c r="KD44" i="8"/>
  <c r="KF40" i="8"/>
  <c r="KE42" i="8"/>
  <c r="KU47" i="8"/>
  <c r="KV49" i="8"/>
  <c r="KS18" i="8"/>
  <c r="KV16" i="8"/>
  <c r="LK12" i="8"/>
  <c r="LI52" i="8"/>
  <c r="LI54" i="8"/>
  <c r="LH50" i="8"/>
  <c r="LL48" i="8"/>
  <c r="LW36" i="8"/>
  <c r="LY21" i="8"/>
  <c r="MM28" i="8"/>
  <c r="MN10" i="8"/>
  <c r="MK26" i="8"/>
  <c r="MM8" i="8"/>
  <c r="ML24" i="8"/>
  <c r="NE21" i="8"/>
  <c r="G44" i="8"/>
  <c r="G8" i="8"/>
  <c r="I42" i="8"/>
  <c r="IO40" i="8"/>
  <c r="IL34" i="8"/>
  <c r="KC34" i="8"/>
  <c r="KH38" i="8"/>
  <c r="KE40" i="8"/>
  <c r="KD42" i="8"/>
  <c r="KU49" i="8"/>
  <c r="KT16" i="8"/>
  <c r="LJ12" i="8"/>
  <c r="LH52" i="8"/>
  <c r="LH54" i="8"/>
  <c r="LV4" i="8"/>
  <c r="LV34" i="8"/>
  <c r="LV36" i="8"/>
  <c r="LX21" i="8"/>
  <c r="MP17" i="8"/>
  <c r="MM15" i="8"/>
  <c r="ML28" i="8"/>
  <c r="MM10" i="8"/>
  <c r="ML26" i="8"/>
  <c r="ML8" i="8"/>
  <c r="MK24" i="8"/>
  <c r="D22" i="8"/>
  <c r="I30" i="8"/>
  <c r="AK32" i="8"/>
  <c r="H34" i="8"/>
  <c r="IN44" i="8"/>
  <c r="IK34" i="8"/>
  <c r="KG38" i="8"/>
  <c r="KD40" i="8"/>
  <c r="KF12" i="8"/>
  <c r="KT49" i="8"/>
  <c r="KS16" i="8"/>
  <c r="LI12" i="8"/>
  <c r="LW4" i="8"/>
  <c r="LW19" i="8"/>
  <c r="MA36" i="8"/>
  <c r="MA34" i="8"/>
  <c r="MO17" i="8"/>
  <c r="ML15" i="8"/>
  <c r="MK28" i="8"/>
  <c r="ML10" i="8"/>
  <c r="MN32" i="8"/>
  <c r="MK8" i="8"/>
  <c r="LX4" i="8"/>
  <c r="LZ4" i="8"/>
  <c r="F44" i="8"/>
  <c r="I44" i="8"/>
  <c r="D30" i="8"/>
  <c r="E22" i="8"/>
  <c r="G22" i="8"/>
  <c r="AI26" i="8"/>
  <c r="IJ36" i="8"/>
  <c r="KF36" i="8"/>
  <c r="KE38" i="8"/>
  <c r="KH40" i="8"/>
  <c r="KD12" i="8"/>
  <c r="KS47" i="8"/>
  <c r="LG12" i="8"/>
  <c r="LG54" i="8"/>
  <c r="LL50" i="8"/>
  <c r="LJ48" i="8"/>
  <c r="LX19" i="8"/>
  <c r="LY34" i="8"/>
  <c r="MM17" i="8"/>
  <c r="MO30" i="8"/>
  <c r="MP15" i="8"/>
  <c r="MP26" i="8"/>
  <c r="ML32" i="8"/>
  <c r="IO38" i="8"/>
  <c r="E30" i="8"/>
  <c r="G30" i="8"/>
  <c r="H30" i="8"/>
  <c r="I8" i="8"/>
  <c r="IN38" i="8"/>
  <c r="IO36" i="8"/>
  <c r="KE36" i="8"/>
  <c r="KD38" i="8"/>
  <c r="KH42" i="8"/>
  <c r="KR47" i="8"/>
  <c r="MN30" i="8"/>
  <c r="MK32" i="8"/>
  <c r="E8" i="8"/>
  <c r="AI28" i="8"/>
  <c r="DW9" i="8"/>
  <c r="DW43" i="8"/>
  <c r="DV45" i="8"/>
  <c r="DU7" i="8"/>
  <c r="DV43" i="8"/>
  <c r="DT45" i="8"/>
  <c r="DU43" i="8"/>
  <c r="DY45" i="8"/>
  <c r="DT43" i="8"/>
  <c r="DX45" i="8"/>
  <c r="DY43" i="8"/>
  <c r="DW45" i="8"/>
  <c r="DW7" i="8"/>
  <c r="DY9" i="8"/>
  <c r="DU24" i="8"/>
  <c r="DV52" i="8"/>
  <c r="DT52" i="8"/>
  <c r="DW4" i="8"/>
  <c r="DY28" i="8"/>
  <c r="DW16" i="8"/>
  <c r="DU54" i="8"/>
  <c r="DY6" i="8"/>
  <c r="DV4" i="8"/>
  <c r="DX28" i="8"/>
  <c r="DY32" i="8"/>
  <c r="DY54" i="8"/>
  <c r="DU4" i="8"/>
  <c r="DW30" i="8"/>
  <c r="DY48" i="8"/>
  <c r="DX54" i="8"/>
  <c r="DY52" i="8"/>
  <c r="DW54" i="8"/>
  <c r="DW52" i="8"/>
  <c r="DW48" i="8"/>
  <c r="FC7" i="8"/>
  <c r="EX40" i="8"/>
  <c r="EX44" i="8"/>
  <c r="EX42" i="8"/>
  <c r="FB7" i="8"/>
  <c r="FB42" i="8"/>
  <c r="EY7" i="8"/>
  <c r="FC42" i="8"/>
  <c r="FC40" i="8"/>
  <c r="FA42" i="8"/>
  <c r="EY40" i="8"/>
  <c r="EZ26" i="8"/>
  <c r="EZ30" i="8"/>
  <c r="EZ42" i="8"/>
  <c r="FB38" i="8"/>
  <c r="EZ9" i="8"/>
  <c r="FB36" i="8"/>
  <c r="EJ35" i="8"/>
  <c r="EJ37" i="8"/>
  <c r="EM41" i="8"/>
  <c r="EJ17" i="8"/>
  <c r="EK15" i="8"/>
  <c r="EI17" i="8"/>
  <c r="EJ15" i="8"/>
  <c r="EI37" i="8"/>
  <c r="EK41" i="8"/>
  <c r="EL20" i="8"/>
  <c r="EI15" i="8"/>
  <c r="EN5" i="8"/>
  <c r="EN35" i="8"/>
  <c r="EJ39" i="8"/>
  <c r="EJ41" i="8"/>
  <c r="EK20" i="8"/>
  <c r="EJ43" i="8"/>
  <c r="EN15" i="8"/>
  <c r="EK5" i="8"/>
  <c r="EM35" i="8"/>
  <c r="EI39" i="8"/>
  <c r="EN17" i="8"/>
  <c r="EI41" i="8"/>
  <c r="EJ20" i="8"/>
  <c r="EI43" i="8"/>
  <c r="EM15" i="8"/>
  <c r="EJ5" i="8"/>
  <c r="EN33" i="8"/>
  <c r="EN37" i="8"/>
  <c r="EN39" i="8"/>
  <c r="EM17" i="8"/>
  <c r="EM20" i="8"/>
  <c r="EN43" i="8"/>
  <c r="EK33" i="8"/>
  <c r="EM37" i="8"/>
  <c r="EL41" i="8"/>
  <c r="EI35" i="8"/>
  <c r="EM39" i="8"/>
  <c r="EL17" i="8"/>
  <c r="EI20" i="8"/>
  <c r="EM43" i="8"/>
  <c r="EJ33" i="8"/>
  <c r="EL37" i="8"/>
  <c r="EL39" i="8"/>
  <c r="EL43" i="8"/>
  <c r="AY42" i="8"/>
  <c r="AZ52" i="8"/>
  <c r="AZ38" i="8"/>
  <c r="BB30" i="8"/>
  <c r="BA4" i="8"/>
  <c r="AY4" i="8"/>
  <c r="AX24" i="8"/>
  <c r="AY16" i="8"/>
  <c r="FA12" i="8"/>
  <c r="EX12" i="8"/>
  <c r="EY12" i="8"/>
  <c r="EY32" i="8"/>
  <c r="EX26" i="8"/>
  <c r="FC26" i="8"/>
  <c r="FC12" i="8"/>
  <c r="FB26" i="8"/>
  <c r="FA32" i="8"/>
  <c r="FA26" i="8"/>
  <c r="CE13" i="8"/>
  <c r="CB11" i="8"/>
  <c r="CA11" i="8"/>
  <c r="CF11" i="8"/>
  <c r="CE11" i="8"/>
  <c r="CD11" i="8"/>
  <c r="CE8" i="8"/>
  <c r="CA27" i="8"/>
  <c r="CA23" i="8"/>
  <c r="CB50" i="8"/>
  <c r="CF8" i="8"/>
  <c r="CB27" i="8"/>
  <c r="CB25" i="8"/>
  <c r="CC31" i="8"/>
  <c r="CB23" i="8"/>
  <c r="CA36" i="8"/>
  <c r="CD8" i="8"/>
  <c r="CC27" i="8"/>
  <c r="CF23" i="8"/>
  <c r="CC8" i="8"/>
  <c r="CF27" i="8"/>
  <c r="CA25" i="8"/>
  <c r="CD20" i="8"/>
  <c r="CF31" i="8"/>
  <c r="CB8" i="8"/>
  <c r="CF25" i="8"/>
  <c r="CC20" i="8"/>
  <c r="CF36" i="8"/>
  <c r="CE25" i="8"/>
  <c r="CB20" i="8"/>
  <c r="CE23" i="8"/>
  <c r="CD36" i="8"/>
  <c r="CE27" i="8"/>
  <c r="CD25" i="8"/>
  <c r="CD23" i="8"/>
  <c r="CC36" i="8"/>
  <c r="CD31" i="8"/>
  <c r="CB36" i="8"/>
  <c r="HY22" i="8"/>
  <c r="HH20" i="8"/>
  <c r="HI4" i="8"/>
  <c r="HI41" i="8"/>
  <c r="JA34" i="8"/>
  <c r="JQ24" i="8"/>
  <c r="JN40" i="8"/>
  <c r="JN47" i="8"/>
  <c r="JN9" i="8"/>
  <c r="JO36" i="8"/>
  <c r="JN42" i="8"/>
  <c r="JR24" i="8"/>
  <c r="HF20" i="8"/>
  <c r="HG43" i="8"/>
  <c r="HG4" i="8"/>
  <c r="HK13" i="8"/>
  <c r="HG11" i="8"/>
  <c r="HG41" i="8"/>
  <c r="JB9" i="8"/>
  <c r="JO24" i="8"/>
  <c r="JS42" i="8"/>
  <c r="JS55" i="8"/>
  <c r="JR34" i="8"/>
  <c r="JS36" i="8"/>
  <c r="HF43" i="8"/>
  <c r="HF4" i="8"/>
  <c r="HK33" i="8"/>
  <c r="HJ13" i="8"/>
  <c r="HF11" i="8"/>
  <c r="HF41" i="8"/>
  <c r="JN24" i="8"/>
  <c r="JR42" i="8"/>
  <c r="JQ34" i="8"/>
  <c r="JS9" i="8"/>
  <c r="JS38" i="8"/>
  <c r="HJ3" i="8"/>
  <c r="HK43" i="8"/>
  <c r="HK4" i="8"/>
  <c r="HJ33" i="8"/>
  <c r="HI13" i="8"/>
  <c r="HK11" i="8"/>
  <c r="JQ42" i="8"/>
  <c r="JQ51" i="8"/>
  <c r="JP34" i="8"/>
  <c r="JR9" i="8"/>
  <c r="JR38" i="8"/>
  <c r="IZ35" i="8"/>
  <c r="HJ43" i="8"/>
  <c r="HI33" i="8"/>
  <c r="HG35" i="8"/>
  <c r="HH13" i="8"/>
  <c r="HH11" i="8"/>
  <c r="JD34" i="8"/>
  <c r="JQ40" i="8"/>
  <c r="JP42" i="8"/>
  <c r="JO34" i="8"/>
  <c r="JQ9" i="8"/>
  <c r="JQ38" i="8"/>
  <c r="GT39" i="8"/>
  <c r="HI43" i="8"/>
  <c r="HF35" i="8"/>
  <c r="HG13" i="8"/>
  <c r="HJ11" i="8"/>
  <c r="HK41" i="8"/>
  <c r="JC34" i="8"/>
  <c r="JP40" i="8"/>
  <c r="JP9" i="8"/>
  <c r="JQ36" i="8"/>
  <c r="JP38" i="8"/>
  <c r="HI20" i="8"/>
  <c r="HI35" i="8"/>
  <c r="JB34" i="8"/>
  <c r="JO40" i="8"/>
  <c r="JN49" i="8"/>
  <c r="JO47" i="8"/>
  <c r="JP36" i="8"/>
  <c r="JO38" i="8"/>
  <c r="GS45" i="8"/>
  <c r="HH52" i="8"/>
  <c r="HK46" i="8"/>
  <c r="HI50" i="8"/>
  <c r="GR45" i="8"/>
  <c r="GU8" i="8"/>
  <c r="HK22" i="8"/>
  <c r="HK52" i="8"/>
  <c r="HH46" i="8"/>
  <c r="GR8" i="8"/>
  <c r="HJ54" i="8"/>
  <c r="HY8" i="8"/>
  <c r="HW6" i="8"/>
  <c r="GS8" i="8"/>
  <c r="GT50" i="8"/>
  <c r="HI54" i="8"/>
  <c r="HG48" i="8"/>
  <c r="HX8" i="8"/>
  <c r="HV6" i="8"/>
  <c r="GQ8" i="8"/>
  <c r="HH54" i="8"/>
  <c r="HG54" i="8"/>
  <c r="HK50" i="8"/>
  <c r="FC45" i="8"/>
  <c r="FP48" i="8"/>
  <c r="FR35" i="8"/>
  <c r="GG54" i="8"/>
  <c r="GG28" i="8"/>
  <c r="GF54" i="8"/>
  <c r="GC52" i="8"/>
  <c r="GB52" i="8"/>
  <c r="GC43" i="8"/>
  <c r="BM30" i="8"/>
  <c r="BM32" i="8"/>
  <c r="BP24" i="8"/>
  <c r="BQ26" i="8"/>
  <c r="CR40" i="8"/>
  <c r="BL12" i="8"/>
  <c r="BP14" i="8"/>
  <c r="AY54" i="8"/>
  <c r="AZ36" i="8"/>
  <c r="AW12" i="8"/>
  <c r="AZ6" i="8"/>
  <c r="BB54" i="8"/>
  <c r="AX36" i="8"/>
  <c r="AZ40" i="8"/>
  <c r="AZ26" i="8"/>
  <c r="AW36" i="8"/>
  <c r="BA26" i="8"/>
  <c r="AW20" i="8"/>
  <c r="AZ48" i="8"/>
  <c r="BA46" i="8"/>
  <c r="AZ24" i="8"/>
  <c r="AY28" i="8"/>
  <c r="BA50" i="8"/>
  <c r="AY24" i="8"/>
  <c r="CF13" i="8"/>
  <c r="CD13" i="8"/>
  <c r="CC13" i="8"/>
  <c r="CB13" i="8"/>
  <c r="CD24" i="8"/>
  <c r="CB43" i="8"/>
  <c r="CD9" i="8"/>
  <c r="CF28" i="8"/>
  <c r="CC26" i="8"/>
  <c r="CC10" i="8"/>
  <c r="CD37" i="8"/>
  <c r="CA10" i="8"/>
  <c r="FR3" i="8"/>
  <c r="EJ26" i="8"/>
  <c r="GV46" i="8"/>
  <c r="HI14" i="8"/>
  <c r="IZ32" i="8"/>
  <c r="JC32" i="8"/>
  <c r="GU46" i="8"/>
  <c r="HF14" i="8"/>
  <c r="JD40" i="8"/>
  <c r="GT46" i="8"/>
  <c r="HH14" i="8"/>
  <c r="GS46" i="8"/>
  <c r="JD28" i="8"/>
  <c r="GQ46" i="8"/>
  <c r="JB28" i="8"/>
  <c r="GE29" i="8"/>
  <c r="AN23" i="3"/>
  <c r="E21" i="3" s="1"/>
  <c r="E21" i="7" s="1"/>
  <c r="AM16" i="3"/>
  <c r="D14" i="3" s="1"/>
  <c r="W14" i="3" s="1"/>
  <c r="CC14" i="8"/>
  <c r="CD10" i="8"/>
  <c r="CB14" i="8"/>
  <c r="CF10" i="8"/>
  <c r="CB10" i="8"/>
  <c r="CS18" i="8"/>
  <c r="BN6" i="8"/>
  <c r="BO6" i="8"/>
  <c r="IK3" i="8"/>
  <c r="IJ3" i="8"/>
  <c r="IL3" i="8"/>
  <c r="IN3" i="8"/>
  <c r="IO3" i="8"/>
  <c r="IL41" i="8"/>
  <c r="IN45" i="8"/>
  <c r="IO25" i="8"/>
  <c r="IO45" i="8"/>
  <c r="IO31" i="8"/>
  <c r="IL45" i="8"/>
  <c r="IK45" i="8"/>
  <c r="IJ45" i="8"/>
  <c r="IN27" i="8"/>
  <c r="IO29" i="8"/>
  <c r="IM25" i="8"/>
  <c r="IL23" i="8"/>
  <c r="IN31" i="8"/>
  <c r="IL29" i="8"/>
  <c r="IL25" i="8"/>
  <c r="IJ31" i="8"/>
  <c r="IK29" i="8"/>
  <c r="IJ9" i="8"/>
  <c r="IK25" i="8"/>
  <c r="IJ23" i="8"/>
  <c r="IK23" i="8"/>
  <c r="IM29" i="8"/>
  <c r="IJ25" i="8"/>
  <c r="IK27" i="8"/>
  <c r="IJ29" i="8"/>
  <c r="IO23" i="8"/>
  <c r="IK31" i="8"/>
  <c r="IL31" i="8"/>
  <c r="IJ27" i="8"/>
  <c r="IO27" i="8"/>
  <c r="IM27" i="8"/>
  <c r="IK41" i="8"/>
  <c r="IJ35" i="8"/>
  <c r="IK43" i="8"/>
  <c r="IJ41" i="8"/>
  <c r="IN35" i="8"/>
  <c r="IL20" i="8"/>
  <c r="IO43" i="8"/>
  <c r="IL43" i="8"/>
  <c r="IN43" i="8"/>
  <c r="IJ33" i="8"/>
  <c r="IM43" i="8"/>
  <c r="AO22" i="3"/>
  <c r="F20" i="3" s="1"/>
  <c r="F20" i="7" s="1"/>
  <c r="HZ50" i="8"/>
  <c r="HZ52" i="8"/>
  <c r="HZ48" i="8"/>
  <c r="HY50" i="8"/>
  <c r="HZ21" i="8"/>
  <c r="HY28" i="8"/>
  <c r="HX50" i="8"/>
  <c r="HW15" i="8"/>
  <c r="HW21" i="8"/>
  <c r="HU44" i="8"/>
  <c r="HV50" i="8"/>
  <c r="HY48" i="8"/>
  <c r="HX48" i="8"/>
  <c r="HV18" i="8"/>
  <c r="HW48" i="8"/>
  <c r="HY36" i="8"/>
  <c r="HV40" i="8"/>
  <c r="HV48" i="8"/>
  <c r="HY18" i="8"/>
  <c r="AP22" i="3"/>
  <c r="G20" i="3" s="1"/>
  <c r="G20" i="7" s="1"/>
  <c r="HX52" i="8"/>
  <c r="HZ14" i="8"/>
  <c r="HZ41" i="8"/>
  <c r="HU33" i="8"/>
  <c r="HX43" i="8"/>
  <c r="HX36" i="8"/>
  <c r="HZ38" i="8"/>
  <c r="HU40" i="8"/>
  <c r="HV21" i="8"/>
  <c r="HY19" i="8"/>
  <c r="HY38" i="8"/>
  <c r="HZ40" i="8"/>
  <c r="HU21" i="8"/>
  <c r="HU19" i="8"/>
  <c r="HU34" i="8"/>
  <c r="HX38" i="8"/>
  <c r="HX19" i="8"/>
  <c r="HY40" i="8"/>
  <c r="HY21" i="8"/>
  <c r="HW19" i="8"/>
  <c r="HX40" i="8"/>
  <c r="EL54" i="8"/>
  <c r="EJ16" i="8"/>
  <c r="P6" i="3"/>
  <c r="P6" i="7" s="1"/>
  <c r="E29" i="7"/>
  <c r="X29" i="3"/>
  <c r="AP31" i="3"/>
  <c r="G29" i="3" s="1"/>
  <c r="G29" i="7" s="1"/>
  <c r="AP29" i="3"/>
  <c r="G27" i="3" s="1"/>
  <c r="G27" i="7" s="1"/>
  <c r="AP28" i="3"/>
  <c r="G26" i="3" s="1"/>
  <c r="G26" i="7" s="1"/>
  <c r="AP27" i="3"/>
  <c r="G25" i="3" s="1"/>
  <c r="G25" i="7" s="1"/>
  <c r="AP26" i="3"/>
  <c r="G24" i="3" s="1"/>
  <c r="G24" i="7" s="1"/>
  <c r="AQ30" i="3"/>
  <c r="H28" i="3" s="1"/>
  <c r="H28" i="7" s="1"/>
  <c r="AQ29" i="3"/>
  <c r="H27" i="3" s="1"/>
  <c r="H27" i="7" s="1"/>
  <c r="AQ27" i="3"/>
  <c r="H25" i="3" s="1"/>
  <c r="H25" i="7" s="1"/>
  <c r="AQ26" i="3"/>
  <c r="H24" i="3" s="1"/>
  <c r="H24" i="7" s="1"/>
  <c r="AR31" i="3"/>
  <c r="I29" i="3" s="1"/>
  <c r="I29" i="7" s="1"/>
  <c r="F26" i="7"/>
  <c r="Y26" i="3"/>
  <c r="AM24" i="3"/>
  <c r="D22" i="3" s="1"/>
  <c r="W22" i="3" s="1"/>
  <c r="AO23" i="3"/>
  <c r="F21" i="3" s="1"/>
  <c r="F21" i="7" s="1"/>
  <c r="AM25" i="3"/>
  <c r="D23" i="3" s="1"/>
  <c r="W23" i="3" s="1"/>
  <c r="AS23" i="3"/>
  <c r="J21" i="3" s="1"/>
  <c r="J21" i="7" s="1"/>
  <c r="AR29" i="3"/>
  <c r="I27" i="3" s="1"/>
  <c r="I27" i="7" s="1"/>
  <c r="AR28" i="3"/>
  <c r="I26" i="3" s="1"/>
  <c r="I26" i="7" s="1"/>
  <c r="AR27" i="3"/>
  <c r="I25" i="3" s="1"/>
  <c r="I25" i="7" s="1"/>
  <c r="AR26" i="3"/>
  <c r="I24" i="3" s="1"/>
  <c r="I24" i="7" s="1"/>
  <c r="HU9" i="8"/>
  <c r="HY9" i="8"/>
  <c r="HU7" i="8"/>
  <c r="HV3" i="8"/>
  <c r="HY7" i="8"/>
  <c r="HZ53" i="8"/>
  <c r="HX3" i="8"/>
  <c r="HW3" i="8"/>
  <c r="HU6" i="8"/>
  <c r="HX7" i="8"/>
  <c r="HZ6" i="8"/>
  <c r="HZ9" i="8"/>
  <c r="HZ7" i="8"/>
  <c r="HY6" i="8"/>
  <c r="HX9" i="8"/>
  <c r="HY51" i="8"/>
  <c r="HZ55" i="8"/>
  <c r="HX51" i="8"/>
  <c r="HY55" i="8"/>
  <c r="HW18" i="8"/>
  <c r="HV10" i="8"/>
  <c r="HU18" i="8"/>
  <c r="HZ18" i="8"/>
  <c r="HW31" i="8"/>
  <c r="HV31" i="8"/>
  <c r="HW46" i="8"/>
  <c r="HZ31" i="8"/>
  <c r="HX53" i="8"/>
  <c r="HX55" i="8"/>
  <c r="HZ29" i="8"/>
  <c r="HY31" i="8"/>
  <c r="HW47" i="8"/>
  <c r="HW53" i="8"/>
  <c r="HX29" i="8"/>
  <c r="HX31" i="8"/>
  <c r="HV47" i="8"/>
  <c r="HV53" i="8"/>
  <c r="HW29" i="8"/>
  <c r="HU53" i="8"/>
  <c r="HY27" i="8"/>
  <c r="HV29" i="8"/>
  <c r="HW55" i="8"/>
  <c r="HX27" i="8"/>
  <c r="HU29" i="8"/>
  <c r="HV55" i="8"/>
  <c r="JD23" i="8"/>
  <c r="JB29" i="8"/>
  <c r="JB13" i="8"/>
  <c r="JB43" i="8"/>
  <c r="JC23" i="8"/>
  <c r="IZ29" i="8"/>
  <c r="JA13" i="8"/>
  <c r="JB25" i="8"/>
  <c r="IY29" i="8"/>
  <c r="IZ13" i="8"/>
  <c r="JA25" i="8"/>
  <c r="AN24" i="3"/>
  <c r="E22" i="3" s="1"/>
  <c r="X22" i="3" s="1"/>
  <c r="IY13" i="8"/>
  <c r="IZ25" i="8"/>
  <c r="IY43" i="8"/>
  <c r="JA27" i="8"/>
  <c r="JA23" i="8"/>
  <c r="IZ27" i="8"/>
  <c r="JC29" i="8"/>
  <c r="IY27" i="8"/>
  <c r="JC27" i="8"/>
  <c r="JC6" i="8"/>
  <c r="JC50" i="8"/>
  <c r="IY52" i="8"/>
  <c r="JB50" i="8"/>
  <c r="JD52" i="8"/>
  <c r="AO24" i="3"/>
  <c r="F22" i="3" s="1"/>
  <c r="Y22" i="3" s="1"/>
  <c r="JA6" i="8"/>
  <c r="IY45" i="8"/>
  <c r="JA5" i="8"/>
  <c r="IZ5" i="8"/>
  <c r="JD18" i="8"/>
  <c r="JD6" i="8"/>
  <c r="JD54" i="8"/>
  <c r="JA50" i="8"/>
  <c r="IY5" i="8"/>
  <c r="JB6" i="8"/>
  <c r="JC54" i="8"/>
  <c r="IZ50" i="8"/>
  <c r="JC52" i="8"/>
  <c r="JB54" i="8"/>
  <c r="JC45" i="8"/>
  <c r="JD46" i="8"/>
  <c r="JA54" i="8"/>
  <c r="JB45" i="8"/>
  <c r="JC46" i="8"/>
  <c r="JC5" i="8"/>
  <c r="IZ48" i="8"/>
  <c r="IZ54" i="8"/>
  <c r="JA45" i="8"/>
  <c r="JB46" i="8"/>
  <c r="JD5" i="8"/>
  <c r="JA52" i="8"/>
  <c r="JD50" i="8"/>
  <c r="IZ45" i="8"/>
  <c r="IZ46" i="8"/>
  <c r="IZ52" i="8"/>
  <c r="JB10" i="8"/>
  <c r="JB17" i="8"/>
  <c r="JC10" i="8"/>
  <c r="JC17" i="8"/>
  <c r="JA17" i="8"/>
  <c r="JD3" i="8"/>
  <c r="IZ10" i="8"/>
  <c r="JD15" i="8"/>
  <c r="IZ17" i="8"/>
  <c r="JA15" i="8"/>
  <c r="IY17" i="8"/>
  <c r="JD10" i="8"/>
  <c r="JA10" i="8"/>
  <c r="AP24" i="3"/>
  <c r="G22" i="3" s="1"/>
  <c r="G22" i="7" s="1"/>
  <c r="EJ6" i="8"/>
  <c r="EN14" i="8"/>
  <c r="EI6" i="8"/>
  <c r="EN6" i="8"/>
  <c r="EM6" i="8"/>
  <c r="EL6" i="8"/>
  <c r="GG8" i="8"/>
  <c r="GC20" i="8"/>
  <c r="GB36" i="8"/>
  <c r="GB23" i="8"/>
  <c r="GE8" i="8"/>
  <c r="GB20" i="8"/>
  <c r="GD23" i="8"/>
  <c r="GD34" i="8"/>
  <c r="GF8" i="8"/>
  <c r="GG23" i="8"/>
  <c r="GC34" i="8"/>
  <c r="GC8" i="8"/>
  <c r="GG20" i="8"/>
  <c r="GF36" i="8"/>
  <c r="GF34" i="8"/>
  <c r="GE20" i="8"/>
  <c r="GE36" i="8"/>
  <c r="GF23" i="8"/>
  <c r="GB34" i="8"/>
  <c r="GD39" i="8"/>
  <c r="GC50" i="8"/>
  <c r="GD50" i="8"/>
  <c r="GD16" i="8"/>
  <c r="GG52" i="8"/>
  <c r="GG50" i="8"/>
  <c r="GF45" i="8"/>
  <c r="GF16" i="8"/>
  <c r="GE52" i="8"/>
  <c r="GF50" i="8"/>
  <c r="GE45" i="8"/>
  <c r="GD52" i="8"/>
  <c r="GE50" i="8"/>
  <c r="GF4" i="8"/>
  <c r="EY45" i="8"/>
  <c r="EY31" i="8"/>
  <c r="EZ45" i="8"/>
  <c r="FB10" i="8"/>
  <c r="EZ27" i="8"/>
  <c r="EX45" i="8"/>
  <c r="FB45" i="8"/>
  <c r="FC46" i="8"/>
  <c r="FB46" i="8"/>
  <c r="FQ39" i="8"/>
  <c r="FO20" i="8"/>
  <c r="FP41" i="8"/>
  <c r="FM37" i="8"/>
  <c r="FP20" i="8"/>
  <c r="FM5" i="8"/>
  <c r="FM35" i="8"/>
  <c r="FQ41" i="8"/>
  <c r="FN37" i="8"/>
  <c r="FR39" i="8"/>
  <c r="FN20" i="8"/>
  <c r="FQ35" i="8"/>
  <c r="FO41" i="8"/>
  <c r="FP39" i="8"/>
  <c r="FN43" i="8"/>
  <c r="FR5" i="8"/>
  <c r="FP35" i="8"/>
  <c r="FN41" i="8"/>
  <c r="FM43" i="8"/>
  <c r="FQ5" i="8"/>
  <c r="FM41" i="8"/>
  <c r="FR37" i="8"/>
  <c r="FR43" i="8"/>
  <c r="FP5" i="8"/>
  <c r="FQ37" i="8"/>
  <c r="FQ43" i="8"/>
  <c r="FN33" i="8"/>
  <c r="FO5" i="8"/>
  <c r="FP37" i="8"/>
  <c r="FN39" i="8"/>
  <c r="FP43" i="8"/>
  <c r="FN35" i="8"/>
  <c r="FM39" i="8"/>
  <c r="GQ33" i="8"/>
  <c r="GQ13" i="8"/>
  <c r="GU10" i="8"/>
  <c r="GQ41" i="8"/>
  <c r="GR13" i="8"/>
  <c r="GR33" i="8"/>
  <c r="GU39" i="8"/>
  <c r="GU20" i="8"/>
  <c r="GS35" i="8"/>
  <c r="GS11" i="8"/>
  <c r="GV37" i="8"/>
  <c r="GV10" i="8"/>
  <c r="GT20" i="8"/>
  <c r="GR35" i="8"/>
  <c r="GR11" i="8"/>
  <c r="GT37" i="8"/>
  <c r="GR20" i="8"/>
  <c r="GV13" i="8"/>
  <c r="GV35" i="8"/>
  <c r="GV11" i="8"/>
  <c r="GS37" i="8"/>
  <c r="GT10" i="8"/>
  <c r="GT41" i="8"/>
  <c r="GQ20" i="8"/>
  <c r="GT13" i="8"/>
  <c r="GV33" i="8"/>
  <c r="GU35" i="8"/>
  <c r="GU11" i="8"/>
  <c r="GS39" i="8"/>
  <c r="GS10" i="8"/>
  <c r="GS41" i="8"/>
  <c r="GV20" i="8"/>
  <c r="GU13" i="8"/>
  <c r="GT33" i="8"/>
  <c r="GT35" i="8"/>
  <c r="GQ11" i="8"/>
  <c r="GR39" i="8"/>
  <c r="GR10" i="8"/>
  <c r="GQ39" i="8"/>
  <c r="GR41" i="8"/>
  <c r="GS33" i="8"/>
  <c r="GV6" i="8"/>
  <c r="AM19" i="3"/>
  <c r="D17" i="3" s="1"/>
  <c r="D17" i="7" s="1"/>
  <c r="AS8" i="3"/>
  <c r="J6" i="3" s="1"/>
  <c r="J6" i="7" s="1"/>
  <c r="U36" i="8"/>
  <c r="GD29" i="8"/>
  <c r="S30" i="8"/>
  <c r="T22" i="8"/>
  <c r="V22" i="8"/>
  <c r="W8" i="8"/>
  <c r="U8" i="8"/>
  <c r="X5" i="8"/>
  <c r="W11" i="8"/>
  <c r="U23" i="8"/>
  <c r="W27" i="8"/>
  <c r="W47" i="8"/>
  <c r="U49" i="8"/>
  <c r="X47" i="8"/>
  <c r="W20" i="8"/>
  <c r="S51" i="8"/>
  <c r="S17" i="8"/>
  <c r="EN55" i="8"/>
  <c r="EM27" i="8"/>
  <c r="EI29" i="8"/>
  <c r="FB52" i="8"/>
  <c r="GV18" i="8"/>
  <c r="GS23" i="8"/>
  <c r="HG9" i="8"/>
  <c r="HH22" i="8"/>
  <c r="F33" i="8"/>
  <c r="E40" i="8"/>
  <c r="D46" i="8"/>
  <c r="D40" i="8"/>
  <c r="F40" i="8"/>
  <c r="AR8" i="3"/>
  <c r="I6" i="3" s="1"/>
  <c r="I6" i="7" s="1"/>
  <c r="S52" i="8"/>
  <c r="U52" i="8"/>
  <c r="U22" i="8"/>
  <c r="X6" i="8"/>
  <c r="X8" i="8"/>
  <c r="S11" i="8"/>
  <c r="T23" i="8"/>
  <c r="S27" i="8"/>
  <c r="T49" i="8"/>
  <c r="V47" i="8"/>
  <c r="S20" i="8"/>
  <c r="X25" i="8"/>
  <c r="W5" i="8"/>
  <c r="BL17" i="8"/>
  <c r="CE4" i="8"/>
  <c r="EM55" i="8"/>
  <c r="EJ45" i="8"/>
  <c r="HG22" i="8"/>
  <c r="E33" i="8"/>
  <c r="I40" i="8"/>
  <c r="AK24" i="8"/>
  <c r="U54" i="8"/>
  <c r="X15" i="8"/>
  <c r="W23" i="8"/>
  <c r="S49" i="8"/>
  <c r="U47" i="8"/>
  <c r="X40" i="8"/>
  <c r="V25" i="8"/>
  <c r="BP17" i="8"/>
  <c r="EL55" i="8"/>
  <c r="EJ31" i="8"/>
  <c r="HG29" i="8"/>
  <c r="HH7" i="8"/>
  <c r="F20" i="8"/>
  <c r="G20" i="8"/>
  <c r="H52" i="8"/>
  <c r="D7" i="8"/>
  <c r="AJ24" i="8"/>
  <c r="T5" i="8"/>
  <c r="V5" i="8"/>
  <c r="V15" i="8"/>
  <c r="V40" i="8"/>
  <c r="U25" i="8"/>
  <c r="I33" i="8"/>
  <c r="G26" i="8"/>
  <c r="H46" i="8"/>
  <c r="I46" i="8"/>
  <c r="H7" i="8"/>
  <c r="AI24" i="8"/>
  <c r="AO16" i="3"/>
  <c r="F14" i="3" s="1"/>
  <c r="Y14" i="3" s="1"/>
  <c r="S54" i="8"/>
  <c r="W22" i="8"/>
  <c r="V6" i="8"/>
  <c r="T8" i="8"/>
  <c r="X11" i="8"/>
  <c r="U15" i="8"/>
  <c r="X27" i="8"/>
  <c r="V42" i="8"/>
  <c r="X20" i="8"/>
  <c r="U40" i="8"/>
  <c r="X51" i="8"/>
  <c r="V17" i="8"/>
  <c r="T25" i="8"/>
  <c r="BP8" i="8"/>
  <c r="CE52" i="8"/>
  <c r="CD52" i="8"/>
  <c r="BP15" i="8"/>
  <c r="GT22" i="8"/>
  <c r="HF16" i="8"/>
  <c r="E52" i="8"/>
  <c r="F52" i="8"/>
  <c r="G52" i="8"/>
  <c r="AH24" i="8"/>
  <c r="G7" i="8"/>
  <c r="V30" i="8"/>
  <c r="S22" i="8"/>
  <c r="W6" i="8"/>
  <c r="U6" i="8"/>
  <c r="V8" i="8"/>
  <c r="T15" i="8"/>
  <c r="V20" i="8"/>
  <c r="T40" i="8"/>
  <c r="W25" i="8"/>
  <c r="GT4" i="8"/>
  <c r="HH25" i="8"/>
  <c r="I52" i="8"/>
  <c r="E7" i="8"/>
  <c r="AJ36" i="8"/>
  <c r="AM24" i="8"/>
  <c r="G40" i="8"/>
  <c r="X30" i="8"/>
  <c r="T54" i="8"/>
  <c r="V54" i="8"/>
  <c r="X54" i="8"/>
  <c r="T6" i="8"/>
  <c r="T42" i="8"/>
  <c r="X49" i="8"/>
  <c r="S40" i="8"/>
  <c r="U51" i="8"/>
  <c r="EJ55" i="8"/>
  <c r="EL31" i="8"/>
  <c r="EI27" i="8"/>
  <c r="EM24" i="8"/>
  <c r="GQ23" i="8"/>
  <c r="HJ22" i="8"/>
  <c r="E20" i="8"/>
  <c r="G33" i="8"/>
  <c r="H33" i="8"/>
  <c r="E46" i="8"/>
  <c r="I7" i="8"/>
  <c r="AI36" i="8"/>
  <c r="F46" i="8"/>
  <c r="CR33" i="8"/>
  <c r="CP30" i="8"/>
  <c r="CT33" i="8"/>
  <c r="CS47" i="8"/>
  <c r="CP33" i="8"/>
  <c r="CS22" i="8"/>
  <c r="CR47" i="8"/>
  <c r="CR22" i="8"/>
  <c r="CS41" i="8"/>
  <c r="CR41" i="8"/>
  <c r="CQ47" i="8"/>
  <c r="CU30" i="8"/>
  <c r="CQ41" i="8"/>
  <c r="CP47" i="8"/>
  <c r="CP41" i="8"/>
  <c r="CR55" i="8"/>
  <c r="EX18" i="8"/>
  <c r="FC18" i="8"/>
  <c r="EZ25" i="8"/>
  <c r="EZ31" i="8"/>
  <c r="FC31" i="8"/>
  <c r="EY27" i="8"/>
  <c r="FA27" i="8"/>
  <c r="FA18" i="8"/>
  <c r="FB31" i="8"/>
  <c r="FC27" i="8"/>
  <c r="EX27" i="8"/>
  <c r="FA13" i="8"/>
  <c r="EX29" i="8"/>
  <c r="FB18" i="8"/>
  <c r="EY13" i="8"/>
  <c r="EZ18" i="8"/>
  <c r="EX13" i="8"/>
  <c r="FA23" i="8"/>
  <c r="FC25" i="8"/>
  <c r="FA31" i="8"/>
  <c r="AN17" i="3"/>
  <c r="E15" i="3" s="1"/>
  <c r="X15" i="3" s="1"/>
  <c r="EY16" i="8"/>
  <c r="EY22" i="8"/>
  <c r="EL3" i="8"/>
  <c r="EN3" i="8"/>
  <c r="EK3" i="8"/>
  <c r="EN54" i="8"/>
  <c r="EL42" i="8"/>
  <c r="EN21" i="8"/>
  <c r="EM34" i="8"/>
  <c r="EN38" i="8"/>
  <c r="EJ19" i="8"/>
  <c r="EI54" i="8"/>
  <c r="EN4" i="8"/>
  <c r="EN34" i="8"/>
  <c r="EN36" i="8"/>
  <c r="EM42" i="8"/>
  <c r="EI46" i="8"/>
  <c r="EL34" i="8"/>
  <c r="EM38" i="8"/>
  <c r="EL44" i="8"/>
  <c r="EM21" i="8"/>
  <c r="EK42" i="8"/>
  <c r="EI19" i="8"/>
  <c r="EN46" i="8"/>
  <c r="EM4" i="8"/>
  <c r="EK34" i="8"/>
  <c r="EL38" i="8"/>
  <c r="EJ44" i="8"/>
  <c r="EL21" i="8"/>
  <c r="EJ42" i="8"/>
  <c r="EN19" i="8"/>
  <c r="EM46" i="8"/>
  <c r="EL4" i="8"/>
  <c r="EJ34" i="8"/>
  <c r="EL36" i="8"/>
  <c r="EK38" i="8"/>
  <c r="EK44" i="8"/>
  <c r="EK21" i="8"/>
  <c r="EL40" i="8"/>
  <c r="EM19" i="8"/>
  <c r="EL46" i="8"/>
  <c r="EM44" i="8"/>
  <c r="EK4" i="8"/>
  <c r="EK36" i="8"/>
  <c r="EJ38" i="8"/>
  <c r="EI44" i="8"/>
  <c r="EJ21" i="8"/>
  <c r="EK40" i="8"/>
  <c r="EK19" i="8"/>
  <c r="EK46" i="8"/>
  <c r="EJ4" i="8"/>
  <c r="EJ36" i="8"/>
  <c r="EJ40" i="8"/>
  <c r="EI36" i="8"/>
  <c r="EN42" i="8"/>
  <c r="AN8" i="3"/>
  <c r="E6" i="3" s="1"/>
  <c r="E6" i="7" s="1"/>
  <c r="AO8" i="3"/>
  <c r="F6" i="3" s="1"/>
  <c r="Y6" i="3" s="1"/>
  <c r="AP7" i="3"/>
  <c r="G5" i="3" s="1"/>
  <c r="G5" i="7" s="1"/>
  <c r="CF34" i="8"/>
  <c r="CD45" i="8"/>
  <c r="CF12" i="8"/>
  <c r="CF45" i="8"/>
  <c r="CE45" i="8"/>
  <c r="CU35" i="8"/>
  <c r="P5" i="3"/>
  <c r="P5" i="7" s="1"/>
  <c r="AO7" i="3"/>
  <c r="F5" i="3" s="1"/>
  <c r="Y5" i="3" s="1"/>
  <c r="T3" i="7"/>
  <c r="V3" i="7" s="1"/>
  <c r="AX3" i="3"/>
  <c r="AY4" i="3"/>
  <c r="S8" i="1" s="1"/>
  <c r="T8" i="1" s="1"/>
  <c r="AD18" i="3" s="1"/>
  <c r="U5" i="7"/>
  <c r="T4" i="5"/>
  <c r="CT32" i="8"/>
  <c r="CU3" i="8"/>
  <c r="CS32" i="8"/>
  <c r="CT8" i="8"/>
  <c r="CR35" i="8"/>
  <c r="CS8" i="8"/>
  <c r="CQ35" i="8"/>
  <c r="GU6" i="8"/>
  <c r="FQ8" i="8"/>
  <c r="GR4" i="8"/>
  <c r="GU18" i="8"/>
  <c r="GR23" i="8"/>
  <c r="HF9" i="8"/>
  <c r="HF29" i="8"/>
  <c r="HK7" i="8"/>
  <c r="HK16" i="8"/>
  <c r="HG25" i="8"/>
  <c r="GT6" i="8"/>
  <c r="EL7" i="8"/>
  <c r="GS4" i="8"/>
  <c r="GT18" i="8"/>
  <c r="GV23" i="8"/>
  <c r="HJ7" i="8"/>
  <c r="HG27" i="8"/>
  <c r="HK18" i="8"/>
  <c r="HF25" i="8"/>
  <c r="FB53" i="8"/>
  <c r="GD3" i="8"/>
  <c r="GB3" i="8"/>
  <c r="GS6" i="8"/>
  <c r="FR23" i="8"/>
  <c r="GE18" i="8"/>
  <c r="GU16" i="8"/>
  <c r="GQ4" i="8"/>
  <c r="GS18" i="8"/>
  <c r="GQ29" i="8"/>
  <c r="GU23" i="8"/>
  <c r="HH27" i="8"/>
  <c r="HG31" i="8"/>
  <c r="HI7" i="8"/>
  <c r="HF27" i="8"/>
  <c r="HH18" i="8"/>
  <c r="GR6" i="8"/>
  <c r="GT16" i="8"/>
  <c r="GV4" i="8"/>
  <c r="GR18" i="8"/>
  <c r="GS31" i="8"/>
  <c r="HK9" i="8"/>
  <c r="HK29" i="8"/>
  <c r="HF31" i="8"/>
  <c r="HK27" i="8"/>
  <c r="HG18" i="8"/>
  <c r="GC25" i="8"/>
  <c r="EK30" i="8"/>
  <c r="GR16" i="8"/>
  <c r="GV27" i="8"/>
  <c r="HJ9" i="8"/>
  <c r="HJ29" i="8"/>
  <c r="HK31" i="8"/>
  <c r="HK23" i="8"/>
  <c r="HJ27" i="8"/>
  <c r="HI16" i="8"/>
  <c r="HK25" i="8"/>
  <c r="EJ9" i="8"/>
  <c r="FO25" i="8"/>
  <c r="GQ16" i="8"/>
  <c r="GU27" i="8"/>
  <c r="HI9" i="8"/>
  <c r="HI29" i="8"/>
  <c r="HJ31" i="8"/>
  <c r="HG7" i="8"/>
  <c r="HJ23" i="8"/>
  <c r="HH16" i="8"/>
  <c r="HJ25" i="8"/>
  <c r="DX10" i="8"/>
  <c r="FP18" i="8"/>
  <c r="EN32" i="8"/>
  <c r="FQ29" i="8"/>
  <c r="GV16" i="8"/>
  <c r="HI31" i="8"/>
  <c r="HI23" i="8"/>
  <c r="HG16" i="8"/>
  <c r="CD34" i="8"/>
  <c r="CE18" i="8"/>
  <c r="CC47" i="8"/>
  <c r="CF5" i="8"/>
  <c r="CC49" i="8"/>
  <c r="BP47" i="8"/>
  <c r="BP11" i="8"/>
  <c r="BN9" i="8"/>
  <c r="BM9" i="8"/>
  <c r="BP7" i="8"/>
  <c r="BL7" i="8"/>
  <c r="BN7" i="8"/>
  <c r="BQ7" i="8"/>
  <c r="BQ16" i="8"/>
  <c r="BL9" i="8"/>
  <c r="BN47" i="8"/>
  <c r="BO7" i="8"/>
  <c r="BL16" i="8"/>
  <c r="BP9" i="8"/>
  <c r="BO9" i="8"/>
  <c r="CQ8" i="8"/>
  <c r="CR32" i="8"/>
  <c r="CS35" i="8"/>
  <c r="CQ32" i="8"/>
  <c r="CP35" i="8"/>
  <c r="CR49" i="8"/>
  <c r="CQ49" i="8"/>
  <c r="CS43" i="8"/>
  <c r="CP8" i="8"/>
  <c r="CU8" i="8"/>
  <c r="CU32" i="8"/>
  <c r="CQ18" i="8"/>
  <c r="CR18" i="8"/>
  <c r="CP18" i="8"/>
  <c r="CU18" i="8"/>
  <c r="GB25" i="8"/>
  <c r="DV10" i="8"/>
  <c r="GC18" i="8"/>
  <c r="GD18" i="8"/>
  <c r="EX22" i="8"/>
  <c r="FR18" i="8"/>
  <c r="CE5" i="8"/>
  <c r="CD51" i="8"/>
  <c r="CE51" i="8"/>
  <c r="CB49" i="8"/>
  <c r="CD18" i="8"/>
  <c r="EI9" i="8"/>
  <c r="EI10" i="8"/>
  <c r="EJ30" i="8"/>
  <c r="EN24" i="8"/>
  <c r="EX16" i="8"/>
  <c r="FC16" i="8"/>
  <c r="FO8" i="8"/>
  <c r="FQ23" i="8"/>
  <c r="FN25" i="8"/>
  <c r="FA53" i="8"/>
  <c r="DY10" i="8"/>
  <c r="FA22" i="8"/>
  <c r="FB22" i="8"/>
  <c r="CC5" i="8"/>
  <c r="CB51" i="8"/>
  <c r="CC55" i="8"/>
  <c r="CE47" i="8"/>
  <c r="CD47" i="8"/>
  <c r="CF53" i="8"/>
  <c r="EM28" i="8"/>
  <c r="EN10" i="8"/>
  <c r="EL28" i="8"/>
  <c r="FN27" i="8"/>
  <c r="FN8" i="8"/>
  <c r="FP23" i="8"/>
  <c r="FM25" i="8"/>
  <c r="EZ55" i="8"/>
  <c r="DT10" i="8"/>
  <c r="CD5" i="8"/>
  <c r="CA51" i="8"/>
  <c r="CD55" i="8"/>
  <c r="CB47" i="8"/>
  <c r="CE53" i="8"/>
  <c r="EI30" i="8"/>
  <c r="EK7" i="8"/>
  <c r="EM10" i="8"/>
  <c r="EK28" i="8"/>
  <c r="FB51" i="8"/>
  <c r="FM27" i="8"/>
  <c r="FM8" i="8"/>
  <c r="DW10" i="8"/>
  <c r="GG18" i="8"/>
  <c r="CB5" i="8"/>
  <c r="CF51" i="8"/>
  <c r="CB55" i="8"/>
  <c r="CA47" i="8"/>
  <c r="CD53" i="8"/>
  <c r="CC18" i="8"/>
  <c r="EN9" i="8"/>
  <c r="EL32" i="8"/>
  <c r="EJ7" i="8"/>
  <c r="EL10" i="8"/>
  <c r="EN26" i="8"/>
  <c r="EL24" i="8"/>
  <c r="EJ28" i="8"/>
  <c r="FC53" i="8"/>
  <c r="FR27" i="8"/>
  <c r="FR8" i="8"/>
  <c r="FM18" i="8"/>
  <c r="CA55" i="8"/>
  <c r="CF49" i="8"/>
  <c r="CC53" i="8"/>
  <c r="CB18" i="8"/>
  <c r="EM9" i="8"/>
  <c r="EK32" i="8"/>
  <c r="EI7" i="8"/>
  <c r="EK10" i="8"/>
  <c r="EM26" i="8"/>
  <c r="EN30" i="8"/>
  <c r="EK24" i="8"/>
  <c r="EI28" i="8"/>
  <c r="EY55" i="8"/>
  <c r="EZ53" i="8"/>
  <c r="FQ27" i="8"/>
  <c r="FN31" i="8"/>
  <c r="FR25" i="8"/>
  <c r="CA54" i="8"/>
  <c r="GB18" i="8"/>
  <c r="FQ18" i="8"/>
  <c r="CF55" i="8"/>
  <c r="CE49" i="8"/>
  <c r="CB53" i="8"/>
  <c r="CF18" i="8"/>
  <c r="EL9" i="8"/>
  <c r="EJ32" i="8"/>
  <c r="EN7" i="8"/>
  <c r="EL26" i="8"/>
  <c r="EM30" i="8"/>
  <c r="EJ24" i="8"/>
  <c r="FB16" i="8"/>
  <c r="FC55" i="8"/>
  <c r="EY53" i="8"/>
  <c r="EZ47" i="8"/>
  <c r="FP27" i="8"/>
  <c r="FM31" i="8"/>
  <c r="FN23" i="8"/>
  <c r="FQ25" i="8"/>
  <c r="FC22" i="8"/>
  <c r="FN18" i="8"/>
  <c r="CD49" i="8"/>
  <c r="EI32" i="8"/>
  <c r="EK26" i="8"/>
  <c r="FA16" i="8"/>
  <c r="EY47" i="8"/>
  <c r="FM23" i="8"/>
  <c r="GQ3" i="8"/>
  <c r="GR3" i="8"/>
  <c r="HY14" i="8"/>
  <c r="EN47" i="8"/>
  <c r="EI45" i="8"/>
  <c r="EI51" i="8"/>
  <c r="GQ48" i="8"/>
  <c r="GS50" i="8"/>
  <c r="HX41" i="8"/>
  <c r="HW35" i="8"/>
  <c r="HV46" i="8"/>
  <c r="IM35" i="8"/>
  <c r="IY32" i="8"/>
  <c r="JD30" i="8"/>
  <c r="JP20" i="8"/>
  <c r="JR5" i="8"/>
  <c r="KG17" i="8"/>
  <c r="KE5" i="8"/>
  <c r="HX14" i="8"/>
  <c r="CS10" i="8"/>
  <c r="EM45" i="8"/>
  <c r="GQ50" i="8"/>
  <c r="GT52" i="8"/>
  <c r="GR50" i="8"/>
  <c r="HK45" i="8"/>
  <c r="HW41" i="8"/>
  <c r="HV20" i="8"/>
  <c r="HV35" i="8"/>
  <c r="HY39" i="8"/>
  <c r="IN37" i="8"/>
  <c r="JA14" i="8"/>
  <c r="JA44" i="8"/>
  <c r="JD32" i="8"/>
  <c r="JC30" i="8"/>
  <c r="JO20" i="8"/>
  <c r="JO5" i="8"/>
  <c r="KF17" i="8"/>
  <c r="KD5" i="8"/>
  <c r="HW14" i="8"/>
  <c r="HU10" i="8"/>
  <c r="EJ11" i="8"/>
  <c r="GQ54" i="8"/>
  <c r="GR52" i="8"/>
  <c r="GV54" i="8"/>
  <c r="HJ45" i="8"/>
  <c r="HW20" i="8"/>
  <c r="HZ35" i="8"/>
  <c r="HX39" i="8"/>
  <c r="IO37" i="8"/>
  <c r="IZ44" i="8"/>
  <c r="JC40" i="8"/>
  <c r="JD38" i="8"/>
  <c r="JD42" i="8"/>
  <c r="JB30" i="8"/>
  <c r="JN20" i="8"/>
  <c r="KE17" i="8"/>
  <c r="KC5" i="8"/>
  <c r="JC36" i="8"/>
  <c r="GS52" i="8"/>
  <c r="AN16" i="3"/>
  <c r="E14" i="3" s="1"/>
  <c r="X14" i="3" s="1"/>
  <c r="HV14" i="8"/>
  <c r="HZ10" i="8"/>
  <c r="EJ49" i="8"/>
  <c r="GQ52" i="8"/>
  <c r="GU54" i="8"/>
  <c r="HI45" i="8"/>
  <c r="HW43" i="8"/>
  <c r="HU20" i="8"/>
  <c r="HZ33" i="8"/>
  <c r="HY35" i="8"/>
  <c r="HU46" i="8"/>
  <c r="IO33" i="8"/>
  <c r="IO9" i="8"/>
  <c r="IL37" i="8"/>
  <c r="IY30" i="8"/>
  <c r="IY44" i="8"/>
  <c r="JC38" i="8"/>
  <c r="JC42" i="8"/>
  <c r="JA30" i="8"/>
  <c r="JR20" i="8"/>
  <c r="KH15" i="8"/>
  <c r="KD15" i="8"/>
  <c r="KD17" i="8"/>
  <c r="KH46" i="8"/>
  <c r="JC44" i="8"/>
  <c r="KC15" i="8"/>
  <c r="JO3" i="8"/>
  <c r="HY10" i="8"/>
  <c r="EN45" i="8"/>
  <c r="GV52" i="8"/>
  <c r="GT54" i="8"/>
  <c r="HH45" i="8"/>
  <c r="HV43" i="8"/>
  <c r="HX33" i="8"/>
  <c r="HX35" i="8"/>
  <c r="HZ46" i="8"/>
  <c r="IM33" i="8"/>
  <c r="IM9" i="8"/>
  <c r="IK37" i="8"/>
  <c r="JC14" i="8"/>
  <c r="JD44" i="8"/>
  <c r="JA40" i="8"/>
  <c r="JB38" i="8"/>
  <c r="JA28" i="8"/>
  <c r="JB42" i="8"/>
  <c r="KF46" i="8"/>
  <c r="KF15" i="8"/>
  <c r="AR25" i="3"/>
  <c r="I23" i="3" s="1"/>
  <c r="I23" i="7" s="1"/>
  <c r="AS24" i="3"/>
  <c r="J22" i="3" s="1"/>
  <c r="J22" i="7" s="1"/>
  <c r="P23" i="3"/>
  <c r="P23" i="7" s="1"/>
  <c r="P22" i="3"/>
  <c r="P22" i="7" s="1"/>
  <c r="P21" i="3"/>
  <c r="R21" i="3" s="1"/>
  <c r="R21" i="7" s="1"/>
  <c r="AM23" i="3"/>
  <c r="D21" i="3" s="1"/>
  <c r="HX10" i="8"/>
  <c r="EL45" i="8"/>
  <c r="GV50" i="8"/>
  <c r="GS54" i="8"/>
  <c r="HG45" i="8"/>
  <c r="HZ43" i="8"/>
  <c r="HW33" i="8"/>
  <c r="HY46" i="8"/>
  <c r="IL33" i="8"/>
  <c r="IL9" i="8"/>
  <c r="IJ37" i="8"/>
  <c r="IK35" i="8"/>
  <c r="IZ40" i="8"/>
  <c r="JA38" i="8"/>
  <c r="IZ28" i="8"/>
  <c r="JA42" i="8"/>
  <c r="KG15" i="8"/>
  <c r="KE46" i="8"/>
  <c r="KH5" i="8"/>
  <c r="GU41" i="8"/>
  <c r="AP25" i="3"/>
  <c r="G23" i="3" s="1"/>
  <c r="G23" i="7" s="1"/>
  <c r="AQ24" i="3"/>
  <c r="H22" i="3" s="1"/>
  <c r="H22" i="7" s="1"/>
  <c r="GU22" i="8"/>
  <c r="HY43" i="8"/>
  <c r="HV33" i="8"/>
  <c r="IK33" i="8"/>
  <c r="IK9" i="8"/>
  <c r="IO35" i="8"/>
  <c r="IY40" i="8"/>
  <c r="JA32" i="8"/>
  <c r="IZ38" i="8"/>
  <c r="IY28" i="8"/>
  <c r="IZ42" i="8"/>
  <c r="KD46" i="8"/>
  <c r="AQ21" i="3"/>
  <c r="H19" i="3" s="1"/>
  <c r="H19" i="7" s="1"/>
  <c r="DW6" i="8"/>
  <c r="DX6" i="8"/>
  <c r="DV6" i="8"/>
  <c r="DT6" i="8"/>
  <c r="GG10" i="8"/>
  <c r="GB13" i="8"/>
  <c r="GE11" i="8"/>
  <c r="GD30" i="8"/>
  <c r="GD46" i="8"/>
  <c r="GB10" i="8"/>
  <c r="GD10" i="8"/>
  <c r="GC10" i="8"/>
  <c r="GG13" i="8"/>
  <c r="GD11" i="8"/>
  <c r="GC30" i="8"/>
  <c r="GG32" i="8"/>
  <c r="GF13" i="8"/>
  <c r="GC11" i="8"/>
  <c r="GB30" i="8"/>
  <c r="GB37" i="8"/>
  <c r="GE32" i="8"/>
  <c r="GE13" i="8"/>
  <c r="GB11" i="8"/>
  <c r="GG30" i="8"/>
  <c r="GG37" i="8"/>
  <c r="GF32" i="8"/>
  <c r="GD13" i="8"/>
  <c r="GF30" i="8"/>
  <c r="GF46" i="8"/>
  <c r="GF10" i="8"/>
  <c r="GB45" i="8"/>
  <c r="AR19" i="3"/>
  <c r="I17" i="3" s="1"/>
  <c r="I17" i="7" s="1"/>
  <c r="FR32" i="8"/>
  <c r="FQ6" i="8"/>
  <c r="FR28" i="8"/>
  <c r="FQ30" i="8"/>
  <c r="FM6" i="8"/>
  <c r="FO6" i="8"/>
  <c r="FP30" i="8"/>
  <c r="FN6" i="8"/>
  <c r="FP28" i="8"/>
  <c r="FO30" i="8"/>
  <c r="FO28" i="8"/>
  <c r="FN30" i="8"/>
  <c r="FP32" i="8"/>
  <c r="FN28" i="8"/>
  <c r="FO32" i="8"/>
  <c r="FR6" i="8"/>
  <c r="FM28" i="8"/>
  <c r="FN32" i="8"/>
  <c r="FQ4" i="8"/>
  <c r="FN19" i="8"/>
  <c r="FP4" i="8"/>
  <c r="FR21" i="8"/>
  <c r="FM19" i="8"/>
  <c r="FO4" i="8"/>
  <c r="FO21" i="8"/>
  <c r="FO19" i="8"/>
  <c r="FN4" i="8"/>
  <c r="FR19" i="8"/>
  <c r="FM4" i="8"/>
  <c r="FQ19" i="8"/>
  <c r="P16" i="3"/>
  <c r="R16" i="3" s="1"/>
  <c r="R16" i="7" s="1"/>
  <c r="DW39" i="8"/>
  <c r="DT35" i="8"/>
  <c r="DY12" i="8"/>
  <c r="AM15" i="3"/>
  <c r="D13" i="3" s="1"/>
  <c r="D13" i="7" s="1"/>
  <c r="DY35" i="8"/>
  <c r="DU39" i="8"/>
  <c r="DX12" i="8"/>
  <c r="DV37" i="8"/>
  <c r="DV39" i="8"/>
  <c r="DW12" i="8"/>
  <c r="DT39" i="8"/>
  <c r="DV12" i="8"/>
  <c r="DY39" i="8"/>
  <c r="DU12" i="8"/>
  <c r="DW35" i="8"/>
  <c r="DU35" i="8"/>
  <c r="DV35" i="8"/>
  <c r="DF18" i="8"/>
  <c r="DJ14" i="8"/>
  <c r="DH14" i="8"/>
  <c r="CT13" i="8"/>
  <c r="CS34" i="8"/>
  <c r="CT31" i="8"/>
  <c r="CT23" i="8"/>
  <c r="CU13" i="8"/>
  <c r="CU42" i="8"/>
  <c r="CR34" i="8"/>
  <c r="CR31" i="8"/>
  <c r="CT42" i="8"/>
  <c r="CR23" i="8"/>
  <c r="CU48" i="8"/>
  <c r="CQ34" i="8"/>
  <c r="CQ13" i="8"/>
  <c r="CQ31" i="8"/>
  <c r="CU53" i="8"/>
  <c r="CS42" i="8"/>
  <c r="CQ23" i="8"/>
  <c r="CT48" i="8"/>
  <c r="CP34" i="8"/>
  <c r="CS23" i="8"/>
  <c r="CR13" i="8"/>
  <c r="CP31" i="8"/>
  <c r="CT53" i="8"/>
  <c r="CR42" i="8"/>
  <c r="CP23" i="8"/>
  <c r="CS48" i="8"/>
  <c r="CS13" i="8"/>
  <c r="CS53" i="8"/>
  <c r="CQ42" i="8"/>
  <c r="CR48" i="8"/>
  <c r="CP48" i="8"/>
  <c r="CR53" i="8"/>
  <c r="CU34" i="8"/>
  <c r="CS31" i="8"/>
  <c r="CQ53" i="8"/>
  <c r="CD4" i="8"/>
  <c r="CF50" i="8"/>
  <c r="CC52" i="8"/>
  <c r="CC4" i="8"/>
  <c r="CE50" i="8"/>
  <c r="CB52" i="8"/>
  <c r="CB4" i="8"/>
  <c r="CA4" i="8"/>
  <c r="CB54" i="8"/>
  <c r="CF54" i="8"/>
  <c r="CE54" i="8"/>
  <c r="CC48" i="8"/>
  <c r="CD54" i="8"/>
  <c r="CF52" i="8"/>
  <c r="BO17" i="8"/>
  <c r="BN16" i="8"/>
  <c r="BN17" i="8"/>
  <c r="BQ48" i="8"/>
  <c r="BN8" i="8"/>
  <c r="BM15" i="8"/>
  <c r="BM8" i="8"/>
  <c r="BO51" i="8"/>
  <c r="BL8" i="8"/>
  <c r="BO10" i="8"/>
  <c r="GE22" i="8"/>
  <c r="GF22" i="8"/>
  <c r="GG22" i="8"/>
  <c r="GB22" i="8"/>
  <c r="AM12" i="8"/>
  <c r="AH12" i="8"/>
  <c r="AI12" i="8"/>
  <c r="AJ12" i="8"/>
  <c r="AK12" i="8"/>
  <c r="AL12" i="8"/>
  <c r="FM3" i="8"/>
  <c r="FQ3" i="8"/>
  <c r="FP3" i="8"/>
  <c r="FN3" i="8"/>
  <c r="JN18" i="8"/>
  <c r="JQ18" i="8"/>
  <c r="DU18" i="8"/>
  <c r="DT18" i="8"/>
  <c r="HY45" i="8"/>
  <c r="HU45" i="8"/>
  <c r="HV45" i="8"/>
  <c r="HW45" i="8"/>
  <c r="IJ46" i="8"/>
  <c r="IK46" i="8"/>
  <c r="IL46" i="8"/>
  <c r="IM46" i="8"/>
  <c r="IO46" i="8"/>
  <c r="IN46" i="8"/>
  <c r="AL14" i="8"/>
  <c r="IY21" i="8"/>
  <c r="IZ21" i="8"/>
  <c r="JA21" i="8"/>
  <c r="JB21" i="8"/>
  <c r="JD21" i="8"/>
  <c r="JC21" i="8"/>
  <c r="JB19" i="8"/>
  <c r="JD19" i="8"/>
  <c r="IY19" i="8"/>
  <c r="IZ19" i="8"/>
  <c r="JA19" i="8"/>
  <c r="JC19" i="8"/>
  <c r="JC9" i="8"/>
  <c r="IY9" i="8"/>
  <c r="IZ9" i="8"/>
  <c r="JA9" i="8"/>
  <c r="JB7" i="8"/>
  <c r="IZ7" i="8"/>
  <c r="IY7" i="8"/>
  <c r="JC7" i="8"/>
  <c r="JD7" i="8"/>
  <c r="JS17" i="8"/>
  <c r="JN17" i="8"/>
  <c r="JO17" i="8"/>
  <c r="JP17" i="8"/>
  <c r="JQ15" i="8"/>
  <c r="JR15" i="8"/>
  <c r="JS15" i="8"/>
  <c r="JN15" i="8"/>
  <c r="JP15" i="8"/>
  <c r="JO15" i="8"/>
  <c r="HZ22" i="8"/>
  <c r="HU22" i="8"/>
  <c r="HV22" i="8"/>
  <c r="HW22" i="8"/>
  <c r="AL20" i="8"/>
  <c r="AM20" i="8"/>
  <c r="AH20" i="8"/>
  <c r="AI20" i="8"/>
  <c r="AJ20" i="8"/>
  <c r="AI8" i="8"/>
  <c r="AJ8" i="8"/>
  <c r="AK8" i="8"/>
  <c r="AL8" i="8"/>
  <c r="CC3" i="8"/>
  <c r="AS25" i="3"/>
  <c r="J23" i="3" s="1"/>
  <c r="J23" i="7" s="1"/>
  <c r="AR24" i="3"/>
  <c r="I22" i="3" s="1"/>
  <c r="I22" i="7" s="1"/>
  <c r="AQ23" i="3"/>
  <c r="H21" i="3" s="1"/>
  <c r="H21" i="7" s="1"/>
  <c r="AN12" i="3"/>
  <c r="E10" i="3" s="1"/>
  <c r="X10" i="3" s="1"/>
  <c r="P8" i="3"/>
  <c r="R8" i="3" s="1"/>
  <c r="R8" i="7" s="1"/>
  <c r="AS9" i="3"/>
  <c r="J7" i="3" s="1"/>
  <c r="J7" i="7" s="1"/>
  <c r="IM10" i="8"/>
  <c r="IN10" i="8"/>
  <c r="IO10" i="8"/>
  <c r="EM18" i="8"/>
  <c r="EN18" i="8"/>
  <c r="EL18" i="8"/>
  <c r="EK18" i="8"/>
  <c r="JN45" i="8"/>
  <c r="JQ45" i="8"/>
  <c r="JO45" i="8"/>
  <c r="JP45" i="8"/>
  <c r="JR45" i="8"/>
  <c r="JS45" i="8"/>
  <c r="GC6" i="8"/>
  <c r="GG6" i="8"/>
  <c r="GF6" i="8"/>
  <c r="GE6" i="8"/>
  <c r="GB6" i="8"/>
  <c r="GD6" i="8"/>
  <c r="HZ17" i="8"/>
  <c r="HY17" i="8"/>
  <c r="HU17" i="8"/>
  <c r="HV17" i="8"/>
  <c r="HU5" i="8"/>
  <c r="HZ5" i="8"/>
  <c r="HV5" i="8"/>
  <c r="HW5" i="8"/>
  <c r="IJ22" i="8"/>
  <c r="IK22" i="8"/>
  <c r="IO22" i="8"/>
  <c r="IL22" i="8"/>
  <c r="IM22" i="8"/>
  <c r="HF42" i="8"/>
  <c r="HH42" i="8"/>
  <c r="HI42" i="8"/>
  <c r="HJ40" i="8"/>
  <c r="HK40" i="8"/>
  <c r="HF40" i="8"/>
  <c r="HG40" i="8"/>
  <c r="HH40" i="8"/>
  <c r="HF38" i="8"/>
  <c r="HJ38" i="8"/>
  <c r="HK38" i="8"/>
  <c r="HG38" i="8"/>
  <c r="HJ36" i="8"/>
  <c r="HK36" i="8"/>
  <c r="HF36" i="8"/>
  <c r="HG36" i="8"/>
  <c r="HH36" i="8"/>
  <c r="HF34" i="8"/>
  <c r="HH34" i="8"/>
  <c r="HI34" i="8"/>
  <c r="HJ34" i="8"/>
  <c r="HK34" i="8"/>
  <c r="HF21" i="8"/>
  <c r="HG21" i="8"/>
  <c r="HH21" i="8"/>
  <c r="HI21" i="8"/>
  <c r="HJ21" i="8"/>
  <c r="HH19" i="8"/>
  <c r="HI19" i="8"/>
  <c r="HJ19" i="8"/>
  <c r="HK19" i="8"/>
  <c r="HF19" i="8"/>
  <c r="HG19" i="8"/>
  <c r="HK12" i="8"/>
  <c r="HG12" i="8"/>
  <c r="HH12" i="8"/>
  <c r="HI12" i="8"/>
  <c r="HI5" i="8"/>
  <c r="HF5" i="8"/>
  <c r="GE21" i="8"/>
  <c r="GF21" i="8"/>
  <c r="GG21" i="8"/>
  <c r="GB21" i="8"/>
  <c r="FM22" i="8"/>
  <c r="FR22" i="8"/>
  <c r="FQ22" i="8"/>
  <c r="FO22" i="8"/>
  <c r="FN22" i="8"/>
  <c r="AM18" i="8"/>
  <c r="AL18" i="8"/>
  <c r="GG17" i="8"/>
  <c r="AH8" i="8"/>
  <c r="IN7" i="8"/>
  <c r="IO7" i="8"/>
  <c r="IK7" i="8"/>
  <c r="IL7" i="8"/>
  <c r="IM7" i="8"/>
  <c r="IJ7" i="8"/>
  <c r="AH22" i="8"/>
  <c r="AL22" i="8"/>
  <c r="AM22" i="8"/>
  <c r="AI22" i="8"/>
  <c r="AI10" i="8"/>
  <c r="AJ10" i="8"/>
  <c r="AK10" i="8"/>
  <c r="AL10" i="8"/>
  <c r="FP22" i="8"/>
  <c r="GD22" i="8"/>
  <c r="AM8" i="8"/>
  <c r="GF48" i="8"/>
  <c r="GB48" i="8"/>
  <c r="GC48" i="8"/>
  <c r="GD48" i="8"/>
  <c r="GE48" i="8"/>
  <c r="GG48" i="8"/>
  <c r="AM14" i="8"/>
  <c r="AH14" i="8"/>
  <c r="AI14" i="8"/>
  <c r="AJ14" i="8"/>
  <c r="GC22" i="8"/>
  <c r="AJ16" i="8"/>
  <c r="BM29" i="8"/>
  <c r="BP29" i="8"/>
  <c r="CC43" i="8"/>
  <c r="CE43" i="8"/>
  <c r="CD43" i="8"/>
  <c r="CF43" i="8"/>
  <c r="CA41" i="8"/>
  <c r="CB41" i="8"/>
  <c r="CC41" i="8"/>
  <c r="CD41" i="8"/>
  <c r="CE41" i="8"/>
  <c r="CF41" i="8"/>
  <c r="CC39" i="8"/>
  <c r="CE39" i="8"/>
  <c r="CF39" i="8"/>
  <c r="CA39" i="8"/>
  <c r="CB39" i="8"/>
  <c r="CD39" i="8"/>
  <c r="CA37" i="8"/>
  <c r="CE37" i="8"/>
  <c r="CF37" i="8"/>
  <c r="CB37" i="8"/>
  <c r="CC35" i="8"/>
  <c r="CE35" i="8"/>
  <c r="CF35" i="8"/>
  <c r="CA35" i="8"/>
  <c r="CB35" i="8"/>
  <c r="CE28" i="8"/>
  <c r="CA28" i="8"/>
  <c r="CB28" i="8"/>
  <c r="CC28" i="8"/>
  <c r="CD26" i="8"/>
  <c r="CA26" i="8"/>
  <c r="CE26" i="8"/>
  <c r="CF26" i="8"/>
  <c r="CE24" i="8"/>
  <c r="CF24" i="8"/>
  <c r="CA24" i="8"/>
  <c r="CB24" i="8"/>
  <c r="CE9" i="8"/>
  <c r="CF9" i="8"/>
  <c r="CA9" i="8"/>
  <c r="CB9" i="8"/>
  <c r="CD7" i="8"/>
  <c r="CB7" i="8"/>
  <c r="CS11" i="8"/>
  <c r="CR11" i="8"/>
  <c r="DV20" i="8"/>
  <c r="DW20" i="8"/>
  <c r="EK16" i="8"/>
  <c r="EL16" i="8"/>
  <c r="EM16" i="8"/>
  <c r="EN16" i="8"/>
  <c r="FA41" i="8"/>
  <c r="EY41" i="8"/>
  <c r="EX39" i="8"/>
  <c r="FB39" i="8"/>
  <c r="FC39" i="8"/>
  <c r="EY39" i="8"/>
  <c r="EZ39" i="8"/>
  <c r="FA37" i="8"/>
  <c r="EX37" i="8"/>
  <c r="FB37" i="8"/>
  <c r="EY37" i="8"/>
  <c r="EZ37" i="8"/>
  <c r="EX8" i="8"/>
  <c r="FB8" i="8"/>
  <c r="FC8" i="8"/>
  <c r="FN54" i="8"/>
  <c r="FR54" i="8"/>
  <c r="FO54" i="8"/>
  <c r="FQ52" i="8"/>
  <c r="FR52" i="8"/>
  <c r="FM52" i="8"/>
  <c r="FP52" i="8"/>
  <c r="FM50" i="8"/>
  <c r="FN50" i="8"/>
  <c r="FO50" i="8"/>
  <c r="FP50" i="8"/>
  <c r="FQ50" i="8"/>
  <c r="FR50" i="8"/>
  <c r="FQ48" i="8"/>
  <c r="FR48" i="8"/>
  <c r="FM48" i="8"/>
  <c r="FN48" i="8"/>
  <c r="FO17" i="8"/>
  <c r="FP17" i="8"/>
  <c r="FN15" i="8"/>
  <c r="FP15" i="8"/>
  <c r="FQ15" i="8"/>
  <c r="FR15" i="8"/>
  <c r="FO15" i="8"/>
  <c r="FM15" i="8"/>
  <c r="GD43" i="8"/>
  <c r="GE43" i="8"/>
  <c r="GF43" i="8"/>
  <c r="GG43" i="8"/>
  <c r="GC41" i="8"/>
  <c r="GD41" i="8"/>
  <c r="GG41" i="8"/>
  <c r="GF39" i="8"/>
  <c r="GC39" i="8"/>
  <c r="GE39" i="8"/>
  <c r="GG39" i="8"/>
  <c r="JA48" i="8"/>
  <c r="JC48" i="8"/>
  <c r="JB48" i="8"/>
  <c r="JD48" i="8"/>
  <c r="GC17" i="8"/>
  <c r="GD17" i="8"/>
  <c r="AK20" i="8"/>
  <c r="AH10" i="8"/>
  <c r="CP26" i="8"/>
  <c r="CQ26" i="8"/>
  <c r="CQ20" i="8"/>
  <c r="CU20" i="8"/>
  <c r="EI53" i="8"/>
  <c r="EJ53" i="8"/>
  <c r="EK53" i="8"/>
  <c r="EM53" i="8"/>
  <c r="EL53" i="8"/>
  <c r="EK51" i="8"/>
  <c r="EM51" i="8"/>
  <c r="EN51" i="8"/>
  <c r="EJ51" i="8"/>
  <c r="EK49" i="8"/>
  <c r="EL49" i="8"/>
  <c r="EM49" i="8"/>
  <c r="EN49" i="8"/>
  <c r="EK47" i="8"/>
  <c r="EL47" i="8"/>
  <c r="EI13" i="8"/>
  <c r="EJ13" i="8"/>
  <c r="EK13" i="8"/>
  <c r="EL13" i="8"/>
  <c r="EM13" i="8"/>
  <c r="EN13" i="8"/>
  <c r="EK11" i="8"/>
  <c r="EL11" i="8"/>
  <c r="EM11" i="8"/>
  <c r="EN11" i="8"/>
  <c r="FQ12" i="8"/>
  <c r="FP12" i="8"/>
  <c r="AP23" i="3"/>
  <c r="G21" i="3" s="1"/>
  <c r="G21" i="7" s="1"/>
  <c r="AQ25" i="3"/>
  <c r="H23" i="3" s="1"/>
  <c r="H23" i="7" s="1"/>
  <c r="AR23" i="3"/>
  <c r="I21" i="3" s="1"/>
  <c r="I21" i="7" s="1"/>
  <c r="GC16" i="8"/>
  <c r="GF28" i="8"/>
  <c r="GD26" i="8"/>
  <c r="GQ9" i="8"/>
  <c r="GT25" i="8"/>
  <c r="GT27" i="8"/>
  <c r="GV7" i="8"/>
  <c r="GR31" i="8"/>
  <c r="HJ49" i="8"/>
  <c r="HG51" i="8"/>
  <c r="HF55" i="8"/>
  <c r="HZ28" i="8"/>
  <c r="IM20" i="8"/>
  <c r="IK30" i="8"/>
  <c r="JD4" i="8"/>
  <c r="JB35" i="8"/>
  <c r="JP47" i="8"/>
  <c r="JP12" i="8"/>
  <c r="JS47" i="8"/>
  <c r="JS30" i="8"/>
  <c r="JQ32" i="8"/>
  <c r="IL40" i="8"/>
  <c r="GB16" i="8"/>
  <c r="GE28" i="8"/>
  <c r="GC26" i="8"/>
  <c r="GU9" i="8"/>
  <c r="GS25" i="8"/>
  <c r="GU7" i="8"/>
  <c r="GV31" i="8"/>
  <c r="HI49" i="8"/>
  <c r="HF51" i="8"/>
  <c r="HK55" i="8"/>
  <c r="HY12" i="8"/>
  <c r="HU26" i="8"/>
  <c r="HY24" i="8"/>
  <c r="IK20" i="8"/>
  <c r="IN42" i="8"/>
  <c r="IM44" i="8"/>
  <c r="JS49" i="8"/>
  <c r="JO12" i="8"/>
  <c r="JR47" i="8"/>
  <c r="JR30" i="8"/>
  <c r="JP32" i="8"/>
  <c r="GD28" i="8"/>
  <c r="GB26" i="8"/>
  <c r="GS43" i="8"/>
  <c r="GR25" i="8"/>
  <c r="GT7" i="8"/>
  <c r="GV29" i="8"/>
  <c r="GU31" i="8"/>
  <c r="HH49" i="8"/>
  <c r="HK51" i="8"/>
  <c r="HK53" i="8"/>
  <c r="HJ55" i="8"/>
  <c r="HX12" i="8"/>
  <c r="HZ26" i="8"/>
  <c r="HX24" i="8"/>
  <c r="HU30" i="8"/>
  <c r="IJ20" i="8"/>
  <c r="IM42" i="8"/>
  <c r="IJ44" i="8"/>
  <c r="JR49" i="8"/>
  <c r="JO51" i="8"/>
  <c r="JN12" i="8"/>
  <c r="JQ30" i="8"/>
  <c r="JO32" i="8"/>
  <c r="IN28" i="8"/>
  <c r="GC28" i="8"/>
  <c r="GG26" i="8"/>
  <c r="GR43" i="8"/>
  <c r="GT29" i="8"/>
  <c r="GT31" i="8"/>
  <c r="HG49" i="8"/>
  <c r="HJ51" i="8"/>
  <c r="HJ53" i="8"/>
  <c r="HI55" i="8"/>
  <c r="HV12" i="8"/>
  <c r="HY32" i="8"/>
  <c r="HY26" i="8"/>
  <c r="HV24" i="8"/>
  <c r="HZ30" i="8"/>
  <c r="IO20" i="8"/>
  <c r="IL42" i="8"/>
  <c r="IO44" i="8"/>
  <c r="JS26" i="8"/>
  <c r="JQ49" i="8"/>
  <c r="JN51" i="8"/>
  <c r="JR12" i="8"/>
  <c r="JQ28" i="8"/>
  <c r="JP30" i="8"/>
  <c r="JN32" i="8"/>
  <c r="AR20" i="3"/>
  <c r="I18" i="3" s="1"/>
  <c r="I18" i="7" s="1"/>
  <c r="P12" i="3"/>
  <c r="P12" i="7" s="1"/>
  <c r="GG16" i="8"/>
  <c r="GF26" i="8"/>
  <c r="GV43" i="8"/>
  <c r="GV9" i="8"/>
  <c r="GS27" i="8"/>
  <c r="GS29" i="8"/>
  <c r="HI51" i="8"/>
  <c r="HI53" i="8"/>
  <c r="HW32" i="8"/>
  <c r="HU12" i="8"/>
  <c r="HX26" i="8"/>
  <c r="HU24" i="8"/>
  <c r="IK42" i="8"/>
  <c r="IM28" i="8"/>
  <c r="IO42" i="8"/>
  <c r="IM32" i="8"/>
  <c r="IM40" i="8"/>
  <c r="IO30" i="8"/>
  <c r="JB4" i="8"/>
  <c r="JR26" i="8"/>
  <c r="JP49" i="8"/>
  <c r="JS51" i="8"/>
  <c r="JP28" i="8"/>
  <c r="JO30" i="8"/>
  <c r="JS32" i="8"/>
  <c r="JA35" i="8"/>
  <c r="AR21" i="3"/>
  <c r="I19" i="3" s="1"/>
  <c r="I19" i="7" s="1"/>
  <c r="GU43" i="8"/>
  <c r="GR27" i="8"/>
  <c r="GR29" i="8"/>
  <c r="HG47" i="8"/>
  <c r="IK28" i="8"/>
  <c r="IK32" i="8"/>
  <c r="IJ40" i="8"/>
  <c r="JA4" i="8"/>
  <c r="JQ26" i="8"/>
  <c r="JR51" i="8"/>
  <c r="JO28" i="8"/>
  <c r="P9" i="3"/>
  <c r="R9" i="3" s="1"/>
  <c r="R9" i="7" s="1"/>
  <c r="AR22" i="3"/>
  <c r="I20" i="3" s="1"/>
  <c r="I20" i="7" s="1"/>
  <c r="AS21" i="3"/>
  <c r="J19" i="3" s="1"/>
  <c r="J19" i="7" s="1"/>
  <c r="P18" i="3"/>
  <c r="P18" i="7" s="1"/>
  <c r="AN18" i="3"/>
  <c r="E16" i="3" s="1"/>
  <c r="E16" i="7" s="1"/>
  <c r="AR14" i="3"/>
  <c r="I12" i="3" s="1"/>
  <c r="I12" i="7" s="1"/>
  <c r="AP21" i="3"/>
  <c r="G19" i="3" s="1"/>
  <c r="G19" i="7" s="1"/>
  <c r="AQ20" i="3"/>
  <c r="H18" i="3" s="1"/>
  <c r="H18" i="7" s="1"/>
  <c r="DY14" i="8"/>
  <c r="DX5" i="8"/>
  <c r="DU51" i="8"/>
  <c r="P13" i="3"/>
  <c r="R13" i="3" s="1"/>
  <c r="R13" i="7" s="1"/>
  <c r="DU20" i="8"/>
  <c r="DT20" i="8"/>
  <c r="DT27" i="8"/>
  <c r="DX29" i="8"/>
  <c r="DW31" i="8"/>
  <c r="DY20" i="8"/>
  <c r="DW29" i="8"/>
  <c r="DX20" i="8"/>
  <c r="CS4" i="8"/>
  <c r="CP4" i="8"/>
  <c r="CU45" i="8"/>
  <c r="CR26" i="8"/>
  <c r="CT45" i="8"/>
  <c r="CP51" i="8"/>
  <c r="CU26" i="8"/>
  <c r="CT26" i="8"/>
  <c r="CS26" i="8"/>
  <c r="DI33" i="8"/>
  <c r="DF41" i="8"/>
  <c r="DH41" i="8"/>
  <c r="DH33" i="8"/>
  <c r="DH9" i="8"/>
  <c r="DI7" i="8"/>
  <c r="DG33" i="8"/>
  <c r="DF7" i="8"/>
  <c r="DG7" i="8"/>
  <c r="DE7" i="8"/>
  <c r="DJ35" i="8"/>
  <c r="DJ41" i="8"/>
  <c r="DJ7" i="8"/>
  <c r="DJ43" i="8"/>
  <c r="AN11" i="3"/>
  <c r="E9" i="3" s="1"/>
  <c r="X9" i="3" s="1"/>
  <c r="CA34" i="8"/>
  <c r="CE32" i="8"/>
  <c r="CB3" i="8"/>
  <c r="BN35" i="8"/>
  <c r="BL35" i="8"/>
  <c r="BM41" i="8"/>
  <c r="BO37" i="8"/>
  <c r="BQ43" i="8"/>
  <c r="DY5" i="8"/>
  <c r="DT51" i="8"/>
  <c r="DT49" i="8"/>
  <c r="DT15" i="8"/>
  <c r="DV49" i="8"/>
  <c r="DW55" i="8"/>
  <c r="DW14" i="8"/>
  <c r="DT47" i="8"/>
  <c r="DG12" i="8"/>
  <c r="DI31" i="8"/>
  <c r="DJ21" i="8"/>
  <c r="DI25" i="8"/>
  <c r="DJ55" i="8"/>
  <c r="DH31" i="8"/>
  <c r="CQ10" i="8"/>
  <c r="CR6" i="8"/>
  <c r="CQ6" i="8"/>
  <c r="CP6" i="8"/>
  <c r="CU6" i="8"/>
  <c r="CR17" i="8"/>
  <c r="CT11" i="8"/>
  <c r="CU11" i="8"/>
  <c r="CS52" i="8"/>
  <c r="CQ17" i="8"/>
  <c r="CS6" i="8"/>
  <c r="CR52" i="8"/>
  <c r="CP17" i="8"/>
  <c r="CQ11" i="8"/>
  <c r="CU38" i="8"/>
  <c r="CU40" i="8"/>
  <c r="CQ40" i="8"/>
  <c r="CU17" i="8"/>
  <c r="CP11" i="8"/>
  <c r="CP29" i="8"/>
  <c r="CT17" i="8"/>
  <c r="CA32" i="8"/>
  <c r="CE22" i="8"/>
  <c r="CF22" i="8"/>
  <c r="CA22" i="8"/>
  <c r="CB30" i="8"/>
  <c r="CC22" i="8"/>
  <c r="CF32" i="8"/>
  <c r="CD32" i="8"/>
  <c r="CC32" i="8"/>
  <c r="AP12" i="3"/>
  <c r="G10" i="3" s="1"/>
  <c r="G10" i="7" s="1"/>
  <c r="CB22" i="8"/>
  <c r="BO29" i="8"/>
  <c r="BO14" i="8"/>
  <c r="BN29" i="8"/>
  <c r="BN14" i="8"/>
  <c r="BM14" i="8"/>
  <c r="BQ14" i="8"/>
  <c r="AP13" i="3"/>
  <c r="G11" i="3" s="1"/>
  <c r="G11" i="7" s="1"/>
  <c r="DF12" i="8"/>
  <c r="DE19" i="8"/>
  <c r="DG15" i="8"/>
  <c r="DH23" i="8"/>
  <c r="DF31" i="8"/>
  <c r="DF54" i="8"/>
  <c r="DH25" i="8"/>
  <c r="DF49" i="8"/>
  <c r="DE54" i="8"/>
  <c r="DI5" i="8"/>
  <c r="DE12" i="8"/>
  <c r="DE15" i="8"/>
  <c r="DF23" i="8"/>
  <c r="DE31" i="8"/>
  <c r="DJ54" i="8"/>
  <c r="DG25" i="8"/>
  <c r="DE21" i="8"/>
  <c r="DI4" i="8"/>
  <c r="DJ20" i="8"/>
  <c r="DJ15" i="8"/>
  <c r="DJ52" i="8"/>
  <c r="DE23" i="8"/>
  <c r="DJ31" i="8"/>
  <c r="DI54" i="8"/>
  <c r="DF25" i="8"/>
  <c r="DG20" i="8"/>
  <c r="DJ29" i="8"/>
  <c r="DH21" i="8"/>
  <c r="DG4" i="8"/>
  <c r="DJ12" i="8"/>
  <c r="DI20" i="8"/>
  <c r="DG24" i="8"/>
  <c r="DG52" i="8"/>
  <c r="DH27" i="8"/>
  <c r="DF50" i="8"/>
  <c r="DI29" i="8"/>
  <c r="DF11" i="8"/>
  <c r="DF21" i="8"/>
  <c r="DF4" i="8"/>
  <c r="DI12" i="8"/>
  <c r="DF20" i="8"/>
  <c r="DF28" i="8"/>
  <c r="DF52" i="8"/>
  <c r="DF27" i="8"/>
  <c r="DI16" i="8"/>
  <c r="DJ50" i="8"/>
  <c r="DG29" i="8"/>
  <c r="DE20" i="8"/>
  <c r="DI15" i="8"/>
  <c r="DG32" i="8"/>
  <c r="DE52" i="8"/>
  <c r="DJ27" i="8"/>
  <c r="DG16" i="8"/>
  <c r="DI50" i="8"/>
  <c r="DJ25" i="8"/>
  <c r="BP37" i="8"/>
  <c r="BQ37" i="8"/>
  <c r="BN41" i="8"/>
  <c r="BO20" i="8"/>
  <c r="BP35" i="8"/>
  <c r="BL33" i="8"/>
  <c r="BL39" i="8"/>
  <c r="BL41" i="8"/>
  <c r="BN37" i="8"/>
  <c r="BQ35" i="8"/>
  <c r="BO3" i="8"/>
  <c r="BM37" i="8"/>
  <c r="BP39" i="8"/>
  <c r="BQ3" i="8"/>
  <c r="BP33" i="8"/>
  <c r="BN39" i="8"/>
  <c r="BO33" i="8"/>
  <c r="BM39" i="8"/>
  <c r="BO35" i="8"/>
  <c r="BN33" i="8"/>
  <c r="BP41" i="8"/>
  <c r="BQ39" i="8"/>
  <c r="BM33" i="8"/>
  <c r="BO41" i="8"/>
  <c r="AX3" i="8"/>
  <c r="F23" i="7"/>
  <c r="Y23" i="3"/>
  <c r="W24" i="3"/>
  <c r="X26" i="3"/>
  <c r="E26" i="7"/>
  <c r="E27" i="7"/>
  <c r="D27" i="7"/>
  <c r="W27" i="3"/>
  <c r="F29" i="7"/>
  <c r="X21" i="3"/>
  <c r="W29" i="3"/>
  <c r="D29" i="7"/>
  <c r="R28" i="3"/>
  <c r="R28" i="7" s="1"/>
  <c r="AR7" i="3"/>
  <c r="I5" i="3" s="1"/>
  <c r="I5" i="7" s="1"/>
  <c r="AS22" i="3"/>
  <c r="J20" i="3" s="1"/>
  <c r="J20" i="7" s="1"/>
  <c r="P19" i="3"/>
  <c r="P19" i="7" s="1"/>
  <c r="AM20" i="3"/>
  <c r="D18" i="3" s="1"/>
  <c r="AN19" i="3"/>
  <c r="E17" i="3" s="1"/>
  <c r="E17" i="7" s="1"/>
  <c r="AO18" i="3"/>
  <c r="F16" i="3" s="1"/>
  <c r="F16" i="7" s="1"/>
  <c r="AM12" i="3"/>
  <c r="D10" i="3" s="1"/>
  <c r="D10" i="7" s="1"/>
  <c r="AQ22" i="3"/>
  <c r="H20" i="3" s="1"/>
  <c r="H20" i="7" s="1"/>
  <c r="X44" i="8"/>
  <c r="V44" i="8"/>
  <c r="W44" i="8"/>
  <c r="T36" i="8"/>
  <c r="GB35" i="8"/>
  <c r="GD35" i="8"/>
  <c r="GC35" i="8"/>
  <c r="GG35" i="8"/>
  <c r="GB24" i="8"/>
  <c r="GC24" i="8"/>
  <c r="GE24" i="8"/>
  <c r="GC19" i="8"/>
  <c r="GD19" i="8"/>
  <c r="GE19" i="8"/>
  <c r="GF19" i="8"/>
  <c r="GC9" i="8"/>
  <c r="GD9" i="8"/>
  <c r="GE9" i="8"/>
  <c r="GB9" i="8"/>
  <c r="GG7" i="8"/>
  <c r="GB7" i="8"/>
  <c r="GC7" i="8"/>
  <c r="JB39" i="8"/>
  <c r="JC39" i="8"/>
  <c r="JD39" i="8"/>
  <c r="JA39" i="8"/>
  <c r="IY39" i="8"/>
  <c r="IZ39" i="8"/>
  <c r="IY37" i="8"/>
  <c r="JD37" i="8"/>
  <c r="IZ37" i="8"/>
  <c r="JA37" i="8"/>
  <c r="JB37" i="8"/>
  <c r="JC37" i="8"/>
  <c r="ND34" i="8"/>
  <c r="MZ34" i="8"/>
  <c r="D32" i="8"/>
  <c r="F32" i="8"/>
  <c r="G32" i="8"/>
  <c r="E32" i="8"/>
  <c r="I32" i="8"/>
  <c r="H32" i="8"/>
  <c r="NB45" i="8"/>
  <c r="MZ45" i="8"/>
  <c r="NE45" i="8"/>
  <c r="NA45" i="8"/>
  <c r="IK26" i="8"/>
  <c r="IL26" i="8"/>
  <c r="IM26" i="8"/>
  <c r="IJ26" i="8"/>
  <c r="IO26" i="8"/>
  <c r="IL24" i="8"/>
  <c r="IK24" i="8"/>
  <c r="IM24" i="8"/>
  <c r="IN24" i="8"/>
  <c r="IJ24" i="8"/>
  <c r="KH55" i="8"/>
  <c r="KD55" i="8"/>
  <c r="KC55" i="8"/>
  <c r="KG55" i="8"/>
  <c r="KF55" i="8"/>
  <c r="KE55" i="8"/>
  <c r="KH53" i="8"/>
  <c r="KC53" i="8"/>
  <c r="KD53" i="8"/>
  <c r="KE53" i="8"/>
  <c r="KG53" i="8"/>
  <c r="KW51" i="8"/>
  <c r="KR51" i="8"/>
  <c r="KS51" i="8"/>
  <c r="KT51" i="8"/>
  <c r="KV51" i="8"/>
  <c r="NE48" i="8"/>
  <c r="MZ48" i="8"/>
  <c r="NA48" i="8"/>
  <c r="NB48" i="8"/>
  <c r="ND48" i="8"/>
  <c r="AQ8" i="3"/>
  <c r="H6" i="3" s="1"/>
  <c r="H6" i="7" s="1"/>
  <c r="V36" i="8"/>
  <c r="W36" i="8"/>
  <c r="NC48" i="8"/>
  <c r="FM45" i="8"/>
  <c r="FN45" i="8"/>
  <c r="FO45" i="8"/>
  <c r="FP45" i="8"/>
  <c r="FR45" i="8"/>
  <c r="FR26" i="8"/>
  <c r="FO26" i="8"/>
  <c r="FQ26" i="8"/>
  <c r="FQ24" i="8"/>
  <c r="FN24" i="8"/>
  <c r="FQ9" i="8"/>
  <c r="FR9" i="8"/>
  <c r="FP9" i="8"/>
  <c r="FR7" i="8"/>
  <c r="FO7" i="8"/>
  <c r="FM7" i="8"/>
  <c r="JO7" i="8"/>
  <c r="JQ7" i="8"/>
  <c r="JR7" i="8"/>
  <c r="JP7" i="8"/>
  <c r="JN7" i="8"/>
  <c r="KS21" i="8"/>
  <c r="KT21" i="8"/>
  <c r="KU21" i="8"/>
  <c r="KV21" i="8"/>
  <c r="KW21" i="8"/>
  <c r="KR21" i="8"/>
  <c r="KR19" i="8"/>
  <c r="KS19" i="8"/>
  <c r="KU19" i="8"/>
  <c r="KV19" i="8"/>
  <c r="KT19" i="8"/>
  <c r="KU4" i="8"/>
  <c r="KV4" i="8"/>
  <c r="KW4" i="8"/>
  <c r="KR4" i="8"/>
  <c r="KT4" i="8"/>
  <c r="LK17" i="8"/>
  <c r="LL17" i="8"/>
  <c r="LG17" i="8"/>
  <c r="LH17" i="8"/>
  <c r="LJ17" i="8"/>
  <c r="LL15" i="8"/>
  <c r="LG15" i="8"/>
  <c r="LH15" i="8"/>
  <c r="LI15" i="8"/>
  <c r="LK15" i="8"/>
  <c r="D37" i="8"/>
  <c r="H37" i="8"/>
  <c r="F37" i="8"/>
  <c r="E37" i="8"/>
  <c r="G37" i="8"/>
  <c r="I37" i="8"/>
  <c r="AN7" i="3"/>
  <c r="E5" i="3" s="1"/>
  <c r="E5" i="7" s="1"/>
  <c r="MA3" i="8"/>
  <c r="X36" i="8"/>
  <c r="S44" i="8"/>
  <c r="IO24" i="8"/>
  <c r="IJ18" i="8"/>
  <c r="IL18" i="8"/>
  <c r="IM18" i="8"/>
  <c r="IN18" i="8"/>
  <c r="IO18" i="8"/>
  <c r="FN44" i="8"/>
  <c r="FQ44" i="8"/>
  <c r="FM42" i="8"/>
  <c r="FN42" i="8"/>
  <c r="FO42" i="8"/>
  <c r="FP42" i="8"/>
  <c r="FQ42" i="8"/>
  <c r="FR42" i="8"/>
  <c r="FQ40" i="8"/>
  <c r="FN40" i="8"/>
  <c r="FO40" i="8"/>
  <c r="FP40" i="8"/>
  <c r="FM40" i="8"/>
  <c r="FM38" i="8"/>
  <c r="FN38" i="8"/>
  <c r="FO38" i="8"/>
  <c r="FP38" i="8"/>
  <c r="FQ38" i="8"/>
  <c r="FR38" i="8"/>
  <c r="FQ36" i="8"/>
  <c r="FO36" i="8"/>
  <c r="FP36" i="8"/>
  <c r="FR36" i="8"/>
  <c r="FN36" i="8"/>
  <c r="FM34" i="8"/>
  <c r="FN34" i="8"/>
  <c r="FO34" i="8"/>
  <c r="FP34" i="8"/>
  <c r="FQ34" i="8"/>
  <c r="IN53" i="8"/>
  <c r="IJ53" i="8"/>
  <c r="IK53" i="8"/>
  <c r="IL53" i="8"/>
  <c r="IM53" i="8"/>
  <c r="JB51" i="8"/>
  <c r="JC51" i="8"/>
  <c r="JD51" i="8"/>
  <c r="IY51" i="8"/>
  <c r="JA51" i="8"/>
  <c r="IZ51" i="8"/>
  <c r="JN21" i="8"/>
  <c r="JO21" i="8"/>
  <c r="JP21" i="8"/>
  <c r="JQ21" i="8"/>
  <c r="JR21" i="8"/>
  <c r="JS19" i="8"/>
  <c r="JN19" i="8"/>
  <c r="JO19" i="8"/>
  <c r="JQ19" i="8"/>
  <c r="JP19" i="8"/>
  <c r="MK29" i="8"/>
  <c r="ML29" i="8"/>
  <c r="MM29" i="8"/>
  <c r="MN29" i="8"/>
  <c r="MP29" i="8"/>
  <c r="MO27" i="8"/>
  <c r="MP27" i="8"/>
  <c r="MK27" i="8"/>
  <c r="ML27" i="8"/>
  <c r="MM27" i="8"/>
  <c r="MK25" i="8"/>
  <c r="ML25" i="8"/>
  <c r="MM25" i="8"/>
  <c r="MN25" i="8"/>
  <c r="MO25" i="8"/>
  <c r="MP25" i="8"/>
  <c r="MO23" i="8"/>
  <c r="MP23" i="8"/>
  <c r="MM23" i="8"/>
  <c r="MK23" i="8"/>
  <c r="ML23" i="8"/>
  <c r="MN23" i="8"/>
  <c r="MN18" i="8"/>
  <c r="MO18" i="8"/>
  <c r="MP18" i="8"/>
  <c r="ML18" i="8"/>
  <c r="MM18" i="8"/>
  <c r="ML16" i="8"/>
  <c r="MM16" i="8"/>
  <c r="MN16" i="8"/>
  <c r="MO16" i="8"/>
  <c r="MK16" i="8"/>
  <c r="MO9" i="8"/>
  <c r="MP9" i="8"/>
  <c r="MK9" i="8"/>
  <c r="ML9" i="8"/>
  <c r="MN9" i="8"/>
  <c r="ML7" i="8"/>
  <c r="MN7" i="8"/>
  <c r="MO7" i="8"/>
  <c r="MM7" i="8"/>
  <c r="MK7" i="8"/>
  <c r="NC45" i="8"/>
  <c r="FN10" i="8"/>
  <c r="FO10" i="8"/>
  <c r="FP10" i="8"/>
  <c r="FQ10" i="8"/>
  <c r="FM10" i="8"/>
  <c r="IZ18" i="8"/>
  <c r="JA18" i="8"/>
  <c r="JC18" i="8"/>
  <c r="JB18" i="8"/>
  <c r="FN47" i="8"/>
  <c r="FO47" i="8"/>
  <c r="HY4" i="8"/>
  <c r="HX4" i="8"/>
  <c r="KC31" i="8"/>
  <c r="KD31" i="8"/>
  <c r="KE31" i="8"/>
  <c r="KH31" i="8"/>
  <c r="KF31" i="8"/>
  <c r="KC29" i="8"/>
  <c r="KD29" i="8"/>
  <c r="KE29" i="8"/>
  <c r="KF29" i="8"/>
  <c r="KG29" i="8"/>
  <c r="KH29" i="8"/>
  <c r="KF27" i="8"/>
  <c r="KE27" i="8"/>
  <c r="KD27" i="8"/>
  <c r="KG27" i="8"/>
  <c r="KC25" i="8"/>
  <c r="KD25" i="8"/>
  <c r="KE25" i="8"/>
  <c r="KF25" i="8"/>
  <c r="KG25" i="8"/>
  <c r="KH25" i="8"/>
  <c r="KF23" i="8"/>
  <c r="KG23" i="8"/>
  <c r="KC23" i="8"/>
  <c r="KE23" i="8"/>
  <c r="KD23" i="8"/>
  <c r="KH23" i="8"/>
  <c r="F15" i="8"/>
  <c r="E15" i="8"/>
  <c r="D15" i="8"/>
  <c r="I15" i="8"/>
  <c r="H15" i="8"/>
  <c r="AM7" i="3"/>
  <c r="D5" i="3" s="1"/>
  <c r="W5" i="3" s="1"/>
  <c r="AP18" i="3"/>
  <c r="G16" i="3" s="1"/>
  <c r="G16" i="7" s="1"/>
  <c r="AR12" i="3"/>
  <c r="I10" i="3" s="1"/>
  <c r="I10" i="7" s="1"/>
  <c r="AQ11" i="3"/>
  <c r="H9" i="3" s="1"/>
  <c r="H9" i="7" s="1"/>
  <c r="AN22" i="3"/>
  <c r="E20" i="3" s="1"/>
  <c r="E20" i="7" s="1"/>
  <c r="AO21" i="3"/>
  <c r="F19" i="3" s="1"/>
  <c r="F19" i="7" s="1"/>
  <c r="AP20" i="3"/>
  <c r="G18" i="3" s="1"/>
  <c r="G18" i="7" s="1"/>
  <c r="AQ19" i="3"/>
  <c r="H17" i="3" s="1"/>
  <c r="H17" i="7" s="1"/>
  <c r="AS17" i="3"/>
  <c r="J15" i="3" s="1"/>
  <c r="J15" i="7" s="1"/>
  <c r="P14" i="3"/>
  <c r="P14" i="7" s="1"/>
  <c r="T44" i="8"/>
  <c r="KU51" i="8"/>
  <c r="LX10" i="8"/>
  <c r="LW10" i="8"/>
  <c r="EK48" i="8"/>
  <c r="EL48" i="8"/>
  <c r="EM48" i="8"/>
  <c r="EI48" i="8"/>
  <c r="EJ12" i="8"/>
  <c r="EK12" i="8"/>
  <c r="EN12" i="8"/>
  <c r="FB21" i="8"/>
  <c r="EX21" i="8"/>
  <c r="EX19" i="8"/>
  <c r="FC19" i="8"/>
  <c r="EZ4" i="8"/>
  <c r="FB4" i="8"/>
  <c r="FC4" i="8"/>
  <c r="EX4" i="8"/>
  <c r="FA4" i="8"/>
  <c r="IL39" i="8"/>
  <c r="IM39" i="8"/>
  <c r="IN39" i="8"/>
  <c r="IO39" i="8"/>
  <c r="IK39" i="8"/>
  <c r="KF35" i="8"/>
  <c r="KD35" i="8"/>
  <c r="KC35" i="8"/>
  <c r="KE35" i="8"/>
  <c r="KH35" i="8"/>
  <c r="KG35" i="8"/>
  <c r="KC33" i="8"/>
  <c r="KD33" i="8"/>
  <c r="KE33" i="8"/>
  <c r="KF33" i="8"/>
  <c r="KG33" i="8"/>
  <c r="KH33" i="8"/>
  <c r="KR39" i="8"/>
  <c r="KS39" i="8"/>
  <c r="KT39" i="8"/>
  <c r="KU39" i="8"/>
  <c r="AR13" i="3"/>
  <c r="I11" i="3" s="1"/>
  <c r="I11" i="7" s="1"/>
  <c r="AM22" i="3"/>
  <c r="D20" i="3" s="1"/>
  <c r="D20" i="7" s="1"/>
  <c r="AN21" i="3"/>
  <c r="E19" i="3" s="1"/>
  <c r="AO20" i="3"/>
  <c r="F18" i="3" s="1"/>
  <c r="AP19" i="3"/>
  <c r="G17" i="3" s="1"/>
  <c r="G17" i="7" s="1"/>
  <c r="AS16" i="3"/>
  <c r="J14" i="3" s="1"/>
  <c r="J14" i="7" s="1"/>
  <c r="AP11" i="3"/>
  <c r="G9" i="3" s="1"/>
  <c r="G9" i="7" s="1"/>
  <c r="AS20" i="3"/>
  <c r="J18" i="3" s="1"/>
  <c r="J18" i="7" s="1"/>
  <c r="AM17" i="3"/>
  <c r="D15" i="3" s="1"/>
  <c r="W15" i="3" s="1"/>
  <c r="AQ7" i="3"/>
  <c r="H5" i="3" s="1"/>
  <c r="H5" i="7" s="1"/>
  <c r="ND45" i="8"/>
  <c r="JR6" i="8"/>
  <c r="JS6" i="8"/>
  <c r="JN6" i="8"/>
  <c r="JO6" i="8"/>
  <c r="JQ6" i="8"/>
  <c r="BQ47" i="8"/>
  <c r="BM47" i="8"/>
  <c r="BL47" i="8"/>
  <c r="BO16" i="8"/>
  <c r="BP16" i="8"/>
  <c r="IL14" i="8"/>
  <c r="IM14" i="8"/>
  <c r="IJ14" i="8"/>
  <c r="IL12" i="8"/>
  <c r="IO12" i="8"/>
  <c r="IN12" i="8"/>
  <c r="IJ12" i="8"/>
  <c r="IK12" i="8"/>
  <c r="IM12" i="8"/>
  <c r="MP44" i="8"/>
  <c r="MK44" i="8"/>
  <c r="ML44" i="8"/>
  <c r="MM44" i="8"/>
  <c r="MO44" i="8"/>
  <c r="MO42" i="8"/>
  <c r="MP42" i="8"/>
  <c r="MK42" i="8"/>
  <c r="ML42" i="8"/>
  <c r="MN42" i="8"/>
  <c r="MP40" i="8"/>
  <c r="MO40" i="8"/>
  <c r="MK40" i="8"/>
  <c r="ML40" i="8"/>
  <c r="MM40" i="8"/>
  <c r="NC20" i="8"/>
  <c r="ND20" i="8"/>
  <c r="NA5" i="8"/>
  <c r="MZ5" i="8"/>
  <c r="ND5" i="8"/>
  <c r="AQ15" i="3"/>
  <c r="H13" i="3" s="1"/>
  <c r="H13" i="7" s="1"/>
  <c r="AS7" i="3"/>
  <c r="J5" i="3" s="1"/>
  <c r="J5" i="7" s="1"/>
  <c r="P20" i="3"/>
  <c r="AM21" i="3"/>
  <c r="D19" i="3" s="1"/>
  <c r="AN20" i="3"/>
  <c r="E18" i="3" s="1"/>
  <c r="AO19" i="3"/>
  <c r="F17" i="3" s="1"/>
  <c r="Y17" i="3" s="1"/>
  <c r="AR16" i="3"/>
  <c r="I14" i="3" s="1"/>
  <c r="I14" i="7" s="1"/>
  <c r="IN26" i="8"/>
  <c r="HI6" i="8"/>
  <c r="HJ6" i="8"/>
  <c r="HK6" i="8"/>
  <c r="HF6" i="8"/>
  <c r="HH6" i="8"/>
  <c r="GR53" i="8"/>
  <c r="GS53" i="8"/>
  <c r="GT53" i="8"/>
  <c r="GV53" i="8"/>
  <c r="GU53" i="8"/>
  <c r="GQ53" i="8"/>
  <c r="GQ51" i="8"/>
  <c r="GS51" i="8"/>
  <c r="GT51" i="8"/>
  <c r="GU51" i="8"/>
  <c r="GV51" i="8"/>
  <c r="GV47" i="8"/>
  <c r="GU47" i="8"/>
  <c r="GV21" i="8"/>
  <c r="GQ21" i="8"/>
  <c r="GR21" i="8"/>
  <c r="GU21" i="8"/>
  <c r="GT21" i="8"/>
  <c r="GU19" i="8"/>
  <c r="GV19" i="8"/>
  <c r="GT19" i="8"/>
  <c r="GV12" i="8"/>
  <c r="GS12" i="8"/>
  <c r="GQ12" i="8"/>
  <c r="GR12" i="8"/>
  <c r="GT12" i="8"/>
  <c r="HJ44" i="8"/>
  <c r="HI44" i="8"/>
  <c r="HK44" i="8"/>
  <c r="IK16" i="8"/>
  <c r="IM16" i="8"/>
  <c r="IL16" i="8"/>
  <c r="IY26" i="8"/>
  <c r="IZ26" i="8"/>
  <c r="JA26" i="8"/>
  <c r="JB26" i="8"/>
  <c r="JC26" i="8"/>
  <c r="JD26" i="8"/>
  <c r="JC12" i="8"/>
  <c r="JD12" i="8"/>
  <c r="IY12" i="8"/>
  <c r="JB12" i="8"/>
  <c r="IZ12" i="8"/>
  <c r="JA12" i="8"/>
  <c r="LY43" i="8"/>
  <c r="LZ43" i="8"/>
  <c r="MA43" i="8"/>
  <c r="LX43" i="8"/>
  <c r="LW43" i="8"/>
  <c r="LV41" i="8"/>
  <c r="LW41" i="8"/>
  <c r="LX41" i="8"/>
  <c r="LY41" i="8"/>
  <c r="MA41" i="8"/>
  <c r="LX39" i="8"/>
  <c r="LY39" i="8"/>
  <c r="LZ39" i="8"/>
  <c r="MA39" i="8"/>
  <c r="LV39" i="8"/>
  <c r="LW39" i="8"/>
  <c r="MA37" i="8"/>
  <c r="LV37" i="8"/>
  <c r="LW37" i="8"/>
  <c r="LX37" i="8"/>
  <c r="LZ37" i="8"/>
  <c r="LY31" i="8"/>
  <c r="LZ31" i="8"/>
  <c r="MA31" i="8"/>
  <c r="LV31" i="8"/>
  <c r="LW31" i="8"/>
  <c r="LV29" i="8"/>
  <c r="LW29" i="8"/>
  <c r="LX29" i="8"/>
  <c r="LY29" i="8"/>
  <c r="LZ29" i="8"/>
  <c r="MA29" i="8"/>
  <c r="LY27" i="8"/>
  <c r="LZ27" i="8"/>
  <c r="MA27" i="8"/>
  <c r="LV27" i="8"/>
  <c r="LW27" i="8"/>
  <c r="LX27" i="8"/>
  <c r="LX25" i="8"/>
  <c r="LY25" i="8"/>
  <c r="LZ25" i="8"/>
  <c r="MA25" i="8"/>
  <c r="LW25" i="8"/>
  <c r="LZ23" i="8"/>
  <c r="MA23" i="8"/>
  <c r="LX23" i="8"/>
  <c r="LV23" i="8"/>
  <c r="LW23" i="8"/>
  <c r="LY23" i="8"/>
  <c r="LW8" i="8"/>
  <c r="LX8" i="8"/>
  <c r="LY8" i="8"/>
  <c r="MA8" i="8"/>
  <c r="LV8" i="8"/>
  <c r="D26" i="8"/>
  <c r="F26" i="8"/>
  <c r="H26" i="8"/>
  <c r="I26" i="8"/>
  <c r="IY6" i="8"/>
  <c r="NA17" i="8"/>
  <c r="NB52" i="8"/>
  <c r="JA47" i="8"/>
  <c r="KV44" i="8"/>
  <c r="ND52" i="8"/>
  <c r="GD47" i="8"/>
  <c r="NC52" i="8"/>
  <c r="AJ43" i="8"/>
  <c r="D17" i="8"/>
  <c r="G27" i="8"/>
  <c r="G11" i="8"/>
  <c r="KS3" i="8"/>
  <c r="KV3" i="8"/>
  <c r="HK3" i="8"/>
  <c r="HG3" i="8"/>
  <c r="HF3" i="8"/>
  <c r="BL3" i="8"/>
  <c r="BM3" i="8"/>
  <c r="BN3" i="8"/>
  <c r="CD46" i="8"/>
  <c r="CE46" i="8"/>
  <c r="CF46" i="8"/>
  <c r="CB46" i="8"/>
  <c r="NA46" i="8"/>
  <c r="NC46" i="8"/>
  <c r="ND46" i="8"/>
  <c r="NE46" i="8"/>
  <c r="MZ46" i="8"/>
  <c r="EY6" i="8"/>
  <c r="EZ6" i="8"/>
  <c r="FA6" i="8"/>
  <c r="FB6" i="8"/>
  <c r="FC6" i="8"/>
  <c r="EX6" i="8"/>
  <c r="GS40" i="8"/>
  <c r="GV40" i="8"/>
  <c r="GQ40" i="8"/>
  <c r="GR40" i="8"/>
  <c r="GT40" i="8"/>
  <c r="GU38" i="8"/>
  <c r="GV38" i="8"/>
  <c r="GQ38" i="8"/>
  <c r="GR38" i="8"/>
  <c r="GQ34" i="8"/>
  <c r="GT34" i="8"/>
  <c r="GU5" i="8"/>
  <c r="GV5" i="8"/>
  <c r="GQ5" i="8"/>
  <c r="GR5" i="8"/>
  <c r="H16" i="8"/>
  <c r="E16" i="8"/>
  <c r="G16" i="8"/>
  <c r="D16" i="8"/>
  <c r="F16" i="8"/>
  <c r="I16" i="8"/>
  <c r="AK3" i="8"/>
  <c r="HU3" i="8"/>
  <c r="HY3" i="8"/>
  <c r="LH3" i="8"/>
  <c r="LK3" i="8"/>
  <c r="LI3" i="8"/>
  <c r="DY33" i="8"/>
  <c r="S55" i="8"/>
  <c r="X55" i="8"/>
  <c r="W55" i="8"/>
  <c r="V55" i="8"/>
  <c r="T55" i="8"/>
  <c r="U55" i="8"/>
  <c r="FM46" i="8"/>
  <c r="FN46" i="8"/>
  <c r="FO46" i="8"/>
  <c r="FP46" i="8"/>
  <c r="FQ46" i="8"/>
  <c r="FR46" i="8"/>
  <c r="CB17" i="8"/>
  <c r="CC17" i="8"/>
  <c r="CD17" i="8"/>
  <c r="CE17" i="8"/>
  <c r="CA17" i="8"/>
  <c r="CF15" i="8"/>
  <c r="CA15" i="8"/>
  <c r="CB15" i="8"/>
  <c r="CC15" i="8"/>
  <c r="CE15" i="8"/>
  <c r="CQ52" i="8"/>
  <c r="CP52" i="8"/>
  <c r="CT52" i="8"/>
  <c r="CS27" i="8"/>
  <c r="CU27" i="8"/>
  <c r="CT27" i="8"/>
  <c r="CQ27" i="8"/>
  <c r="CP27" i="8"/>
  <c r="CT21" i="8"/>
  <c r="CQ21" i="8"/>
  <c r="CU15" i="8"/>
  <c r="CR15" i="8"/>
  <c r="CP5" i="8"/>
  <c r="CU5" i="8"/>
  <c r="CQ5" i="8"/>
  <c r="CS5" i="8"/>
  <c r="CT5" i="8"/>
  <c r="DU13" i="8"/>
  <c r="DV13" i="8"/>
  <c r="DW13" i="8"/>
  <c r="DX13" i="8"/>
  <c r="DY13" i="8"/>
  <c r="DY11" i="8"/>
  <c r="DT11" i="8"/>
  <c r="DU11" i="8"/>
  <c r="DV11" i="8"/>
  <c r="DW11" i="8"/>
  <c r="DX11" i="8"/>
  <c r="GU49" i="8"/>
  <c r="GQ49" i="8"/>
  <c r="GR49" i="8"/>
  <c r="GS49" i="8"/>
  <c r="GT49" i="8"/>
  <c r="GV49" i="8"/>
  <c r="GQ47" i="8"/>
  <c r="GR47" i="8"/>
  <c r="GS47" i="8"/>
  <c r="GT47" i="8"/>
  <c r="IO16" i="8"/>
  <c r="IN16" i="8"/>
  <c r="IJ16" i="8"/>
  <c r="IN14" i="8"/>
  <c r="IO14" i="8"/>
  <c r="IK14" i="8"/>
  <c r="JC24" i="8"/>
  <c r="JD24" i="8"/>
  <c r="IY24" i="8"/>
  <c r="JB24" i="8"/>
  <c r="IZ24" i="8"/>
  <c r="JP39" i="8"/>
  <c r="JQ39" i="8"/>
  <c r="JR39" i="8"/>
  <c r="JS39" i="8"/>
  <c r="JN39" i="8"/>
  <c r="D53" i="8"/>
  <c r="H53" i="8"/>
  <c r="I53" i="8"/>
  <c r="E53" i="8"/>
  <c r="G53" i="8"/>
  <c r="AL52" i="8"/>
  <c r="AH52" i="8"/>
  <c r="AJ52" i="8"/>
  <c r="AK52" i="8"/>
  <c r="AM52" i="8"/>
  <c r="AI52" i="8"/>
  <c r="AH50" i="8"/>
  <c r="AJ50" i="8"/>
  <c r="AL50" i="8"/>
  <c r="AI50" i="8"/>
  <c r="AK50" i="8"/>
  <c r="AM50" i="8"/>
  <c r="AL48" i="8"/>
  <c r="AK48" i="8"/>
  <c r="AJ48" i="8"/>
  <c r="AM48" i="8"/>
  <c r="AH48" i="8"/>
  <c r="AI48" i="8"/>
  <c r="AK46" i="8"/>
  <c r="AL46" i="8"/>
  <c r="AH46" i="8"/>
  <c r="AM46" i="8"/>
  <c r="AI46" i="8"/>
  <c r="AM44" i="8"/>
  <c r="AI44" i="8"/>
  <c r="AL44" i="8"/>
  <c r="AH44" i="8"/>
  <c r="AJ44" i="8"/>
  <c r="AJ6" i="8"/>
  <c r="AL6" i="8"/>
  <c r="AK6" i="8"/>
  <c r="DX33" i="8"/>
  <c r="W34" i="8"/>
  <c r="T34" i="8"/>
  <c r="U34" i="8"/>
  <c r="V34" i="8"/>
  <c r="BM13" i="8"/>
  <c r="BL13" i="8"/>
  <c r="CA12" i="8"/>
  <c r="CB12" i="8"/>
  <c r="CC12" i="8"/>
  <c r="CE12" i="8"/>
  <c r="JP55" i="8"/>
  <c r="JN55" i="8"/>
  <c r="JO55" i="8"/>
  <c r="JQ55" i="8"/>
  <c r="JN53" i="8"/>
  <c r="JO53" i="8"/>
  <c r="JP53" i="8"/>
  <c r="JQ53" i="8"/>
  <c r="JR53" i="8"/>
  <c r="JS53" i="8"/>
  <c r="JR44" i="8"/>
  <c r="JS44" i="8"/>
  <c r="JN44" i="8"/>
  <c r="JO44" i="8"/>
  <c r="JN37" i="8"/>
  <c r="JO37" i="8"/>
  <c r="JP37" i="8"/>
  <c r="JQ37" i="8"/>
  <c r="JR37" i="8"/>
  <c r="JS37" i="8"/>
  <c r="JR31" i="8"/>
  <c r="JS31" i="8"/>
  <c r="JN31" i="8"/>
  <c r="JO31" i="8"/>
  <c r="JP31" i="8"/>
  <c r="NA36" i="8"/>
  <c r="NC36" i="8"/>
  <c r="ND36" i="8"/>
  <c r="NB36" i="8"/>
  <c r="NE26" i="8"/>
  <c r="MZ26" i="8"/>
  <c r="ND26" i="8"/>
  <c r="NA26" i="8"/>
  <c r="NA38" i="8"/>
  <c r="NB38" i="8"/>
  <c r="NE38" i="8"/>
  <c r="MZ38" i="8"/>
  <c r="DH3" i="8"/>
  <c r="DJ3" i="8"/>
  <c r="JC3" i="8"/>
  <c r="IY3" i="8"/>
  <c r="IZ3" i="8"/>
  <c r="DF47" i="8"/>
  <c r="GU14" i="8"/>
  <c r="GR14" i="8"/>
  <c r="KG10" i="8"/>
  <c r="KH10" i="8"/>
  <c r="KD10" i="8"/>
  <c r="KE10" i="8"/>
  <c r="KF10" i="8"/>
  <c r="IZ31" i="8"/>
  <c r="JB31" i="8"/>
  <c r="JC31" i="8"/>
  <c r="JD31" i="8"/>
  <c r="IY31" i="8"/>
  <c r="NB39" i="8"/>
  <c r="MZ39" i="8"/>
  <c r="NA39" i="8"/>
  <c r="NC39" i="8"/>
  <c r="ND31" i="8"/>
  <c r="NE31" i="8"/>
  <c r="NA31" i="8"/>
  <c r="NB31" i="8"/>
  <c r="NC31" i="8"/>
  <c r="NE28" i="8"/>
  <c r="MZ28" i="8"/>
  <c r="NA28" i="8"/>
  <c r="NC28" i="8"/>
  <c r="ND28" i="8"/>
  <c r="NC23" i="8"/>
  <c r="ND23" i="8"/>
  <c r="NE23" i="8"/>
  <c r="NA23" i="8"/>
  <c r="NE16" i="8"/>
  <c r="NB16" i="8"/>
  <c r="MZ16" i="8"/>
  <c r="NA16" i="8"/>
  <c r="NC16" i="8"/>
  <c r="ND16" i="8"/>
  <c r="NC13" i="8"/>
  <c r="NA13" i="8"/>
  <c r="NB13" i="8"/>
  <c r="MZ13" i="8"/>
  <c r="ND13" i="8"/>
  <c r="NE13" i="8"/>
  <c r="NC11" i="8"/>
  <c r="ND11" i="8"/>
  <c r="NE11" i="8"/>
  <c r="NA11" i="8"/>
  <c r="NB11" i="8"/>
  <c r="NC54" i="8"/>
  <c r="ND54" i="8"/>
  <c r="NE54" i="8"/>
  <c r="MZ54" i="8"/>
  <c r="NB54" i="8"/>
  <c r="GE17" i="8"/>
  <c r="GB17" i="8"/>
  <c r="JR18" i="8"/>
  <c r="JS18" i="8"/>
  <c r="JO18" i="8"/>
  <c r="JP18" i="8"/>
  <c r="T3" i="8"/>
  <c r="S3" i="8"/>
  <c r="GV3" i="8"/>
  <c r="MK3" i="8"/>
  <c r="MM3" i="8"/>
  <c r="W29" i="8"/>
  <c r="V29" i="8"/>
  <c r="U29" i="8"/>
  <c r="T29" i="8"/>
  <c r="MO14" i="8"/>
  <c r="MP14" i="8"/>
  <c r="ML14" i="8"/>
  <c r="MK14" i="8"/>
  <c r="BO22" i="8"/>
  <c r="BN22" i="8"/>
  <c r="JB36" i="8"/>
  <c r="JD36" i="8"/>
  <c r="IY36" i="8"/>
  <c r="IZ36" i="8"/>
  <c r="LW38" i="8"/>
  <c r="LV38" i="8"/>
  <c r="LX38" i="8"/>
  <c r="LY38" i="8"/>
  <c r="LZ38" i="8"/>
  <c r="MM43" i="8"/>
  <c r="MO43" i="8"/>
  <c r="MP43" i="8"/>
  <c r="MK43" i="8"/>
  <c r="ML43" i="8"/>
  <c r="MN43" i="8"/>
  <c r="MK41" i="8"/>
  <c r="ML41" i="8"/>
  <c r="MM41" i="8"/>
  <c r="MN41" i="8"/>
  <c r="MO41" i="8"/>
  <c r="MP41" i="8"/>
  <c r="MZ47" i="8"/>
  <c r="NC47" i="8"/>
  <c r="ND47" i="8"/>
  <c r="NE47" i="8"/>
  <c r="NA47" i="8"/>
  <c r="W52" i="8"/>
  <c r="X52" i="8"/>
  <c r="V52" i="8"/>
  <c r="BM6" i="8"/>
  <c r="BQ6" i="8"/>
  <c r="BP6" i="8"/>
  <c r="CB6" i="8"/>
  <c r="CA6" i="8"/>
  <c r="KV14" i="8"/>
  <c r="KW14" i="8"/>
  <c r="KR14" i="8"/>
  <c r="KS14" i="8"/>
  <c r="HH39" i="8"/>
  <c r="HJ39" i="8"/>
  <c r="HK39" i="8"/>
  <c r="HF39" i="8"/>
  <c r="HG39" i="8"/>
  <c r="HK37" i="8"/>
  <c r="HH37" i="8"/>
  <c r="A6" i="7"/>
  <c r="DY25" i="8"/>
  <c r="DX25" i="8"/>
  <c r="NB46" i="8"/>
  <c r="HI48" i="8"/>
  <c r="HJ48" i="8"/>
  <c r="HH48" i="8"/>
  <c r="HK48" i="8"/>
  <c r="JD41" i="8"/>
  <c r="IY41" i="8"/>
  <c r="IZ41" i="8"/>
  <c r="JA41" i="8"/>
  <c r="JB41" i="8"/>
  <c r="KV28" i="8"/>
  <c r="KU28" i="8"/>
  <c r="KW28" i="8"/>
  <c r="KR28" i="8"/>
  <c r="LV50" i="8"/>
  <c r="LX50" i="8"/>
  <c r="LY50" i="8"/>
  <c r="LW50" i="8"/>
  <c r="LZ50" i="8"/>
  <c r="LX48" i="8"/>
  <c r="MA48" i="8"/>
  <c r="LV48" i="8"/>
  <c r="LX3" i="8"/>
  <c r="CB34" i="8"/>
  <c r="T28" i="8"/>
  <c r="DI21" i="8"/>
  <c r="JA46" i="8"/>
  <c r="KG45" i="8"/>
  <c r="KT6" i="8"/>
  <c r="NB37" i="8"/>
  <c r="NE29" i="8"/>
  <c r="NA29" i="8"/>
  <c r="NB29" i="8"/>
  <c r="MZ29" i="8"/>
  <c r="ND29" i="8"/>
  <c r="LX46" i="8"/>
  <c r="LY46" i="8"/>
  <c r="BL29" i="8"/>
  <c r="BQ29" i="8"/>
  <c r="KV39" i="8"/>
  <c r="KW39" i="8"/>
  <c r="MO48" i="8"/>
  <c r="MP48" i="8"/>
  <c r="I31" i="8"/>
  <c r="G31" i="8"/>
  <c r="H31" i="8"/>
  <c r="E31" i="8"/>
  <c r="D31" i="8"/>
  <c r="F31" i="8"/>
  <c r="D25" i="8"/>
  <c r="I25" i="8"/>
  <c r="H25" i="8"/>
  <c r="F25" i="8"/>
  <c r="I20" i="8"/>
  <c r="H20" i="8"/>
  <c r="F14" i="8"/>
  <c r="G14" i="8"/>
  <c r="E14" i="8"/>
  <c r="I14" i="8"/>
  <c r="D14" i="8"/>
  <c r="H10" i="8"/>
  <c r="E10" i="8"/>
  <c r="G10" i="8"/>
  <c r="G6" i="8"/>
  <c r="I6" i="8"/>
  <c r="E6" i="8"/>
  <c r="D6" i="8"/>
  <c r="GD55" i="8"/>
  <c r="GF55" i="8"/>
  <c r="KF51" i="8"/>
  <c r="KE51" i="8"/>
  <c r="KH51" i="8"/>
  <c r="KF11" i="8"/>
  <c r="KE11" i="8"/>
  <c r="CE34" i="8"/>
  <c r="W4" i="8"/>
  <c r="W14" i="8"/>
  <c r="KG46" i="8"/>
  <c r="FB35" i="8"/>
  <c r="EX35" i="8"/>
  <c r="IM41" i="8"/>
  <c r="IN41" i="8"/>
  <c r="IK36" i="8"/>
  <c r="JB11" i="8"/>
  <c r="JA11" i="8"/>
  <c r="KH44" i="8"/>
  <c r="KC44" i="8"/>
  <c r="KD8" i="8"/>
  <c r="KE8" i="8"/>
  <c r="KV54" i="8"/>
  <c r="KW54" i="8"/>
  <c r="E35" i="8"/>
  <c r="I35" i="8"/>
  <c r="H35" i="8"/>
  <c r="F35" i="8"/>
  <c r="I29" i="8"/>
  <c r="D29" i="8"/>
  <c r="E29" i="8"/>
  <c r="F29" i="8"/>
  <c r="H29" i="8"/>
  <c r="G29" i="8"/>
  <c r="E24" i="8"/>
  <c r="F24" i="8"/>
  <c r="D24" i="8"/>
  <c r="I24" i="8"/>
  <c r="G24" i="8"/>
  <c r="KD14" i="8"/>
  <c r="KE14" i="8"/>
  <c r="IZ14" i="8"/>
  <c r="IY14" i="8"/>
  <c r="IJ39" i="8"/>
  <c r="IJ34" i="8"/>
  <c r="LX35" i="8"/>
  <c r="LZ35" i="8"/>
  <c r="LV35" i="8"/>
  <c r="LW35" i="8"/>
  <c r="MA20" i="8"/>
  <c r="LW20" i="8"/>
  <c r="LZ20" i="8"/>
  <c r="LV5" i="8"/>
  <c r="LX5" i="8"/>
  <c r="LY5" i="8"/>
  <c r="D49" i="8"/>
  <c r="I49" i="8"/>
  <c r="H49" i="8"/>
  <c r="E49" i="8"/>
  <c r="D39" i="8"/>
  <c r="G39" i="8"/>
  <c r="F39" i="8"/>
  <c r="I39" i="8"/>
  <c r="CS30" i="8"/>
  <c r="DT54" i="8"/>
  <c r="NC17" i="8"/>
  <c r="NB17" i="8"/>
  <c r="LK46" i="8"/>
  <c r="LL46" i="8"/>
  <c r="MP6" i="8"/>
  <c r="ML6" i="8"/>
  <c r="KV22" i="8"/>
  <c r="KW22" i="8"/>
  <c r="IZ43" i="8"/>
  <c r="JA43" i="8"/>
  <c r="JP5" i="8"/>
  <c r="JQ5" i="8"/>
  <c r="LV42" i="8"/>
  <c r="LW42" i="8"/>
  <c r="LY42" i="8"/>
  <c r="LZ42" i="8"/>
  <c r="LZ40" i="8"/>
  <c r="LV17" i="8"/>
  <c r="LX17" i="8"/>
  <c r="LY17" i="8"/>
  <c r="LX15" i="8"/>
  <c r="LW15" i="8"/>
  <c r="I54" i="8"/>
  <c r="F54" i="8"/>
  <c r="H54" i="8"/>
  <c r="D54" i="8"/>
  <c r="E54" i="8"/>
  <c r="H43" i="8"/>
  <c r="F43" i="8"/>
  <c r="E43" i="8"/>
  <c r="I43" i="8"/>
  <c r="D43" i="8"/>
  <c r="V14" i="8"/>
  <c r="KC45" i="8"/>
  <c r="KD45" i="8"/>
  <c r="MO22" i="8"/>
  <c r="MP22" i="8"/>
  <c r="DG38" i="8"/>
  <c r="DE38" i="8"/>
  <c r="DG34" i="8"/>
  <c r="DE34" i="8"/>
  <c r="DT50" i="8"/>
  <c r="DV50" i="8"/>
  <c r="JC15" i="8"/>
  <c r="IZ15" i="8"/>
  <c r="IY15" i="8"/>
  <c r="LW12" i="8"/>
  <c r="LX12" i="8"/>
  <c r="LY12" i="8"/>
  <c r="MN55" i="8"/>
  <c r="MO55" i="8"/>
  <c r="NA41" i="8"/>
  <c r="MZ41" i="8"/>
  <c r="ND41" i="8"/>
  <c r="NE41" i="8"/>
  <c r="NA34" i="8"/>
  <c r="NB34" i="8"/>
  <c r="NC34" i="8"/>
  <c r="NE20" i="8"/>
  <c r="MZ20" i="8"/>
  <c r="NB20" i="8"/>
  <c r="NA20" i="8"/>
  <c r="MZ8" i="8"/>
  <c r="NB8" i="8"/>
  <c r="NA8" i="8"/>
  <c r="NC8" i="8"/>
  <c r="NE5" i="8"/>
  <c r="NC5" i="8"/>
  <c r="NB5" i="8"/>
  <c r="G51" i="8"/>
  <c r="E51" i="8"/>
  <c r="D18" i="8"/>
  <c r="H18" i="8"/>
  <c r="E18" i="8"/>
  <c r="I18" i="8"/>
  <c r="F18" i="8"/>
  <c r="H5" i="8"/>
  <c r="D5" i="8"/>
  <c r="F5" i="8"/>
  <c r="AK36" i="8"/>
  <c r="AM36" i="8"/>
  <c r="BA38" i="8"/>
  <c r="AW38" i="8"/>
  <c r="AX14" i="8"/>
  <c r="BA14" i="8"/>
  <c r="AX8" i="8"/>
  <c r="AW8" i="8"/>
  <c r="H55" i="8"/>
  <c r="G55" i="8"/>
  <c r="I50" i="8"/>
  <c r="G50" i="8"/>
  <c r="H50" i="8"/>
  <c r="E50" i="8"/>
  <c r="G45" i="8"/>
  <c r="F45" i="8"/>
  <c r="E12" i="8"/>
  <c r="F12" i="8"/>
  <c r="I36" i="8"/>
  <c r="E36" i="8"/>
  <c r="H21" i="8"/>
  <c r="G21" i="8"/>
  <c r="GQ43" i="8"/>
  <c r="AO9" i="3"/>
  <c r="F7" i="3" s="1"/>
  <c r="Y7" i="3" s="1"/>
  <c r="GF33" i="8"/>
  <c r="GG33" i="8"/>
  <c r="GB33" i="8"/>
  <c r="GC33" i="8"/>
  <c r="GD33" i="8"/>
  <c r="GE33" i="8"/>
  <c r="AS15" i="3"/>
  <c r="J13" i="3" s="1"/>
  <c r="J13" i="7" s="1"/>
  <c r="CD3" i="8"/>
  <c r="CE3" i="8"/>
  <c r="CF3" i="8"/>
  <c r="EI50" i="8"/>
  <c r="EJ50" i="8"/>
  <c r="EK50" i="8"/>
  <c r="EL50" i="8"/>
  <c r="EM50" i="8"/>
  <c r="EN50" i="8"/>
  <c r="DX41" i="8"/>
  <c r="DW41" i="8"/>
  <c r="DY41" i="8"/>
  <c r="DU41" i="8"/>
  <c r="DV41" i="8"/>
  <c r="AK35" i="8"/>
  <c r="AM35" i="8"/>
  <c r="AI35" i="8"/>
  <c r="AJ35" i="8"/>
  <c r="AH35" i="8"/>
  <c r="AL35" i="8"/>
  <c r="AK27" i="8"/>
  <c r="AH27" i="8"/>
  <c r="AM27" i="8"/>
  <c r="AL27" i="8"/>
  <c r="AJ27" i="8"/>
  <c r="AL25" i="8"/>
  <c r="AM25" i="8"/>
  <c r="AI25" i="8"/>
  <c r="AJ25" i="8"/>
  <c r="AK25" i="8"/>
  <c r="AH25" i="8"/>
  <c r="AY55" i="8"/>
  <c r="AW55" i="8"/>
  <c r="AX55" i="8"/>
  <c r="AZ55" i="8"/>
  <c r="BA55" i="8"/>
  <c r="BB55" i="8"/>
  <c r="BA53" i="8"/>
  <c r="BB53" i="8"/>
  <c r="AZ53" i="8"/>
  <c r="AW53" i="8"/>
  <c r="AY51" i="8"/>
  <c r="BA51" i="8"/>
  <c r="AX49" i="8"/>
  <c r="AY49" i="8"/>
  <c r="AZ49" i="8"/>
  <c r="AW49" i="8"/>
  <c r="BA49" i="8"/>
  <c r="BB49" i="8"/>
  <c r="AY47" i="8"/>
  <c r="BB47" i="8"/>
  <c r="AW47" i="8"/>
  <c r="AX47" i="8"/>
  <c r="AZ47" i="8"/>
  <c r="BA47" i="8"/>
  <c r="AW45" i="8"/>
  <c r="AX45" i="8"/>
  <c r="BB45" i="8"/>
  <c r="AY43" i="8"/>
  <c r="BB43" i="8"/>
  <c r="BB41" i="8"/>
  <c r="BA41" i="8"/>
  <c r="AY39" i="8"/>
  <c r="BB39" i="8"/>
  <c r="AW39" i="8"/>
  <c r="AX39" i="8"/>
  <c r="AZ39" i="8"/>
  <c r="BA39" i="8"/>
  <c r="BA37" i="8"/>
  <c r="BB37" i="8"/>
  <c r="AY37" i="8"/>
  <c r="AZ37" i="8"/>
  <c r="AZ35" i="8"/>
  <c r="BB35" i="8"/>
  <c r="AX35" i="8"/>
  <c r="AZ33" i="8"/>
  <c r="BA33" i="8"/>
  <c r="BB33" i="8"/>
  <c r="AW33" i="8"/>
  <c r="AX33" i="8"/>
  <c r="AY33" i="8"/>
  <c r="AY31" i="8"/>
  <c r="BA31" i="8"/>
  <c r="BB31" i="8"/>
  <c r="AW31" i="8"/>
  <c r="AX31" i="8"/>
  <c r="BB29" i="8"/>
  <c r="AW29" i="8"/>
  <c r="AX29" i="8"/>
  <c r="AY29" i="8"/>
  <c r="BA29" i="8"/>
  <c r="AW27" i="8"/>
  <c r="BB27" i="8"/>
  <c r="AX25" i="8"/>
  <c r="AY25" i="8"/>
  <c r="AZ25" i="8"/>
  <c r="AW25" i="8"/>
  <c r="BA25" i="8"/>
  <c r="AY23" i="8"/>
  <c r="AW23" i="8"/>
  <c r="AX23" i="8"/>
  <c r="AZ23" i="8"/>
  <c r="BA23" i="8"/>
  <c r="AW21" i="8"/>
  <c r="BA21" i="8"/>
  <c r="BB21" i="8"/>
  <c r="AX21" i="8"/>
  <c r="AY19" i="8"/>
  <c r="BA19" i="8"/>
  <c r="BB19" i="8"/>
  <c r="AZ19" i="8"/>
  <c r="AX19" i="8"/>
  <c r="AW17" i="8"/>
  <c r="AX17" i="8"/>
  <c r="AY17" i="8"/>
  <c r="BA17" i="8"/>
  <c r="BB17" i="8"/>
  <c r="AZ15" i="8"/>
  <c r="BA15" i="8"/>
  <c r="BB15" i="8"/>
  <c r="AW15" i="8"/>
  <c r="AX15" i="8"/>
  <c r="AX13" i="8"/>
  <c r="AY13" i="8"/>
  <c r="AZ13" i="8"/>
  <c r="AW13" i="8"/>
  <c r="AW11" i="8"/>
  <c r="AX11" i="8"/>
  <c r="BA11" i="8"/>
  <c r="AY11" i="8"/>
  <c r="BB11" i="8"/>
  <c r="AW9" i="8"/>
  <c r="AX9" i="8"/>
  <c r="BA9" i="8"/>
  <c r="BB9" i="8"/>
  <c r="AZ7" i="8"/>
  <c r="BA7" i="8"/>
  <c r="AY7" i="8"/>
  <c r="BB7" i="8"/>
  <c r="AW7" i="8"/>
  <c r="EJ54" i="8"/>
  <c r="EK54" i="8"/>
  <c r="FA46" i="8"/>
  <c r="GD37" i="8"/>
  <c r="GE37" i="8"/>
  <c r="GF37" i="8"/>
  <c r="AZ29" i="8"/>
  <c r="BB23" i="8"/>
  <c r="AW37" i="8"/>
  <c r="FM26" i="8"/>
  <c r="FN26" i="8"/>
  <c r="FN12" i="8"/>
  <c r="FO12" i="8"/>
  <c r="FR12" i="8"/>
  <c r="FM12" i="8"/>
  <c r="GS36" i="8"/>
  <c r="GU36" i="8"/>
  <c r="GQ36" i="8"/>
  <c r="GR36" i="8"/>
  <c r="GT36" i="8"/>
  <c r="GR34" i="8"/>
  <c r="GS34" i="8"/>
  <c r="HY37" i="8"/>
  <c r="HU37" i="8"/>
  <c r="HV37" i="8"/>
  <c r="HW37" i="8"/>
  <c r="HX37" i="8"/>
  <c r="AH6" i="8"/>
  <c r="AI6" i="8"/>
  <c r="AM6" i="8"/>
  <c r="AH4" i="8"/>
  <c r="AI4" i="8"/>
  <c r="AJ4" i="8"/>
  <c r="AM4" i="8"/>
  <c r="AK4" i="8"/>
  <c r="AL4" i="8"/>
  <c r="HF46" i="8"/>
  <c r="HI46" i="8"/>
  <c r="HJ46" i="8"/>
  <c r="DV22" i="8"/>
  <c r="DY22" i="8"/>
  <c r="DT22" i="8"/>
  <c r="AZ9" i="8"/>
  <c r="AY53" i="8"/>
  <c r="DX27" i="8"/>
  <c r="DU27" i="8"/>
  <c r="DV27" i="8"/>
  <c r="DW27" i="8"/>
  <c r="FR24" i="8"/>
  <c r="FM24" i="8"/>
  <c r="FO24" i="8"/>
  <c r="FP24" i="8"/>
  <c r="FM9" i="8"/>
  <c r="FN9" i="8"/>
  <c r="FP7" i="8"/>
  <c r="FQ7" i="8"/>
  <c r="FN7" i="8"/>
  <c r="GC54" i="8"/>
  <c r="GD54" i="8"/>
  <c r="GE54" i="8"/>
  <c r="GT32" i="8"/>
  <c r="GU32" i="8"/>
  <c r="GU30" i="8"/>
  <c r="GV30" i="8"/>
  <c r="GS30" i="8"/>
  <c r="GT30" i="8"/>
  <c r="GQ30" i="8"/>
  <c r="HZ44" i="8"/>
  <c r="HW44" i="8"/>
  <c r="HX44" i="8"/>
  <c r="HY44" i="8"/>
  <c r="HZ16" i="8"/>
  <c r="HU16" i="8"/>
  <c r="HV16" i="8"/>
  <c r="HX16" i="8"/>
  <c r="HW16" i="8"/>
  <c r="HZ4" i="8"/>
  <c r="HU4" i="8"/>
  <c r="HV4" i="8"/>
  <c r="AI42" i="8"/>
  <c r="AJ42" i="8"/>
  <c r="AK42" i="8"/>
  <c r="AL42" i="8"/>
  <c r="AM42" i="8"/>
  <c r="AL40" i="8"/>
  <c r="AH40" i="8"/>
  <c r="AI40" i="8"/>
  <c r="AJ40" i="8"/>
  <c r="AM40" i="8"/>
  <c r="AH23" i="8"/>
  <c r="AJ23" i="8"/>
  <c r="AI23" i="8"/>
  <c r="AL23" i="8"/>
  <c r="AM23" i="8"/>
  <c r="AH21" i="8"/>
  <c r="AI21" i="8"/>
  <c r="AK21" i="8"/>
  <c r="AL21" i="8"/>
  <c r="AM21" i="8"/>
  <c r="EY46" i="8"/>
  <c r="EX46" i="8"/>
  <c r="FN14" i="8"/>
  <c r="FR14" i="8"/>
  <c r="FP14" i="8"/>
  <c r="FO14" i="8"/>
  <c r="CQ14" i="8"/>
  <c r="CT14" i="8"/>
  <c r="CS14" i="8"/>
  <c r="CP14" i="8"/>
  <c r="AY9" i="8"/>
  <c r="AX53" i="8"/>
  <c r="BO32" i="8"/>
  <c r="BP32" i="8"/>
  <c r="BN32" i="8"/>
  <c r="BQ32" i="8"/>
  <c r="BL30" i="8"/>
  <c r="BN30" i="8"/>
  <c r="BO30" i="8"/>
  <c r="BL26" i="8"/>
  <c r="BM26" i="8"/>
  <c r="BN26" i="8"/>
  <c r="BO24" i="8"/>
  <c r="BN24" i="8"/>
  <c r="BQ24" i="8"/>
  <c r="CQ45" i="8"/>
  <c r="CR45" i="8"/>
  <c r="CP45" i="8"/>
  <c r="CQ37" i="8"/>
  <c r="CT37" i="8"/>
  <c r="CT20" i="8"/>
  <c r="CP20" i="8"/>
  <c r="CR20" i="8"/>
  <c r="CS20" i="8"/>
  <c r="CR4" i="8"/>
  <c r="CU4" i="8"/>
  <c r="CT4" i="8"/>
  <c r="DE41" i="8"/>
  <c r="DG41" i="8"/>
  <c r="DE37" i="8"/>
  <c r="DJ37" i="8"/>
  <c r="DF37" i="8"/>
  <c r="DG37" i="8"/>
  <c r="DH37" i="8"/>
  <c r="DE33" i="8"/>
  <c r="DJ33" i="8"/>
  <c r="DF9" i="8"/>
  <c r="DI9" i="8"/>
  <c r="DJ9" i="8"/>
  <c r="DE9" i="8"/>
  <c r="DU5" i="8"/>
  <c r="DV5" i="8"/>
  <c r="DW5" i="8"/>
  <c r="DV55" i="8"/>
  <c r="DX55" i="8"/>
  <c r="DU55" i="8"/>
  <c r="DY55" i="8"/>
  <c r="DX53" i="8"/>
  <c r="DW53" i="8"/>
  <c r="DX51" i="8"/>
  <c r="DW51" i="8"/>
  <c r="DV51" i="8"/>
  <c r="DY49" i="8"/>
  <c r="DW49" i="8"/>
  <c r="DX49" i="8"/>
  <c r="DU47" i="8"/>
  <c r="DX47" i="8"/>
  <c r="DV47" i="8"/>
  <c r="DW47" i="8"/>
  <c r="FP21" i="8"/>
  <c r="FQ21" i="8"/>
  <c r="FM21" i="8"/>
  <c r="AM9" i="3"/>
  <c r="D7" i="3" s="1"/>
  <c r="W7" i="3" s="1"/>
  <c r="GF3" i="8"/>
  <c r="GE3" i="8"/>
  <c r="GG3" i="8"/>
  <c r="EK22" i="8"/>
  <c r="EI22" i="8"/>
  <c r="EL22" i="8"/>
  <c r="EJ22" i="8"/>
  <c r="BP22" i="8"/>
  <c r="BQ22" i="8"/>
  <c r="BM22" i="8"/>
  <c r="BL22" i="8"/>
  <c r="GR22" i="8"/>
  <c r="GV22" i="8"/>
  <c r="GQ22" i="8"/>
  <c r="AI27" i="8"/>
  <c r="AZ11" i="8"/>
  <c r="BA45" i="8"/>
  <c r="BB25" i="8"/>
  <c r="FP33" i="8"/>
  <c r="FQ33" i="8"/>
  <c r="FO33" i="8"/>
  <c r="FR33" i="8"/>
  <c r="FP31" i="8"/>
  <c r="FQ31" i="8"/>
  <c r="FR31" i="8"/>
  <c r="FR29" i="8"/>
  <c r="FM29" i="8"/>
  <c r="FN29" i="8"/>
  <c r="FO29" i="8"/>
  <c r="AH3" i="8"/>
  <c r="AJ3" i="8"/>
  <c r="EJ3" i="8"/>
  <c r="EM3" i="8"/>
  <c r="CR14" i="8"/>
  <c r="GC21" i="8"/>
  <c r="GD21" i="8"/>
  <c r="EM14" i="8"/>
  <c r="EJ14" i="8"/>
  <c r="EI14" i="8"/>
  <c r="CD14" i="8"/>
  <c r="CE14" i="8"/>
  <c r="CF14" i="8"/>
  <c r="AZ31" i="8"/>
  <c r="AZ45" i="8"/>
  <c r="AQ9" i="3"/>
  <c r="H7" i="3" s="1"/>
  <c r="H7" i="7" s="1"/>
  <c r="GS3" i="8"/>
  <c r="GU3" i="8"/>
  <c r="GD25" i="8"/>
  <c r="GE25" i="8"/>
  <c r="GF25" i="8"/>
  <c r="EI18" i="8"/>
  <c r="EJ18" i="8"/>
  <c r="DV18" i="8"/>
  <c r="DW18" i="8"/>
  <c r="DX18" i="8"/>
  <c r="DY18" i="8"/>
  <c r="DI6" i="8"/>
  <c r="DE6" i="8"/>
  <c r="DG6" i="8"/>
  <c r="DF6" i="8"/>
  <c r="DH6" i="8"/>
  <c r="BB13" i="8"/>
  <c r="AX7" i="8"/>
  <c r="AY45" i="8"/>
  <c r="AQ12" i="3"/>
  <c r="H10" i="3" s="1"/>
  <c r="H10" i="7" s="1"/>
  <c r="DF13" i="8"/>
  <c r="DI13" i="8"/>
  <c r="DJ13" i="8"/>
  <c r="DU33" i="8"/>
  <c r="DV33" i="8"/>
  <c r="DW33" i="8"/>
  <c r="GF29" i="8"/>
  <c r="GG29" i="8"/>
  <c r="GB29" i="8"/>
  <c r="BA13" i="8"/>
  <c r="AZ21" i="8"/>
  <c r="AW19" i="8"/>
  <c r="AZ17" i="8"/>
  <c r="GF14" i="8"/>
  <c r="GG14" i="8"/>
  <c r="FP49" i="8"/>
  <c r="FQ49" i="8"/>
  <c r="HY49" i="8"/>
  <c r="HU49" i="8"/>
  <c r="HV49" i="8"/>
  <c r="HV42" i="8"/>
  <c r="HW42" i="8"/>
  <c r="HX42" i="8"/>
  <c r="HU42" i="8"/>
  <c r="HZ27" i="8"/>
  <c r="HV27" i="8"/>
  <c r="HW27" i="8"/>
  <c r="HW25" i="8"/>
  <c r="HX25" i="8"/>
  <c r="HY25" i="8"/>
  <c r="HZ25" i="8"/>
  <c r="HX23" i="8"/>
  <c r="HY23" i="8"/>
  <c r="HZ23" i="8"/>
  <c r="HX13" i="8"/>
  <c r="HZ13" i="8"/>
  <c r="HU13" i="8"/>
  <c r="HV13" i="8"/>
  <c r="HW13" i="8"/>
  <c r="HV11" i="8"/>
  <c r="HW11" i="8"/>
  <c r="HU11" i="8"/>
  <c r="HY11" i="8"/>
  <c r="HZ11" i="8"/>
  <c r="AK55" i="8"/>
  <c r="AL55" i="8"/>
  <c r="AI55" i="8"/>
  <c r="AH55" i="8"/>
  <c r="AH53" i="8"/>
  <c r="AI53" i="8"/>
  <c r="AM53" i="8"/>
  <c r="AK51" i="8"/>
  <c r="AL51" i="8"/>
  <c r="AI51" i="8"/>
  <c r="AK47" i="8"/>
  <c r="AH47" i="8"/>
  <c r="AJ47" i="8"/>
  <c r="AI47" i="8"/>
  <c r="AI45" i="8"/>
  <c r="AJ45" i="8"/>
  <c r="AK45" i="8"/>
  <c r="AJ38" i="8"/>
  <c r="AK38" i="8"/>
  <c r="AL38" i="8"/>
  <c r="AI38" i="8"/>
  <c r="AM38" i="8"/>
  <c r="AL32" i="8"/>
  <c r="AM32" i="8"/>
  <c r="AH32" i="8"/>
  <c r="AI32" i="8"/>
  <c r="AJ19" i="8"/>
  <c r="AH19" i="8"/>
  <c r="AI19" i="8"/>
  <c r="AL19" i="8"/>
  <c r="AM19" i="8"/>
  <c r="AH17" i="8"/>
  <c r="AK17" i="8"/>
  <c r="AL17" i="8"/>
  <c r="AM17" i="8"/>
  <c r="AK15" i="8"/>
  <c r="AI15" i="8"/>
  <c r="AJ15" i="8"/>
  <c r="AH13" i="8"/>
  <c r="AI13" i="8"/>
  <c r="AJ13" i="8"/>
  <c r="AK13" i="8"/>
  <c r="AK11" i="8"/>
  <c r="AI11" i="8"/>
  <c r="AH11" i="8"/>
  <c r="AJ9" i="8"/>
  <c r="AK9" i="8"/>
  <c r="AL9" i="8"/>
  <c r="AM9" i="8"/>
  <c r="AH51" i="8"/>
  <c r="EX23" i="8"/>
  <c r="FB23" i="8"/>
  <c r="FR47" i="8"/>
  <c r="FM47" i="8"/>
  <c r="FR44" i="8"/>
  <c r="FM44" i="8"/>
  <c r="GQ55" i="8"/>
  <c r="GS55" i="8"/>
  <c r="GS48" i="8"/>
  <c r="GV48" i="8"/>
  <c r="HF37" i="8"/>
  <c r="HG37" i="8"/>
  <c r="HF15" i="8"/>
  <c r="HH15" i="8"/>
  <c r="HV54" i="8"/>
  <c r="HX54" i="8"/>
  <c r="HY54" i="8"/>
  <c r="HZ54" i="8"/>
  <c r="HX47" i="8"/>
  <c r="HY47" i="8"/>
  <c r="HZ47" i="8"/>
  <c r="P17" i="3"/>
  <c r="R17" i="3" s="1"/>
  <c r="R17" i="7" s="1"/>
  <c r="AS18" i="3"/>
  <c r="J16" i="3" s="1"/>
  <c r="J16" i="7" s="1"/>
  <c r="AQ16" i="3"/>
  <c r="H14" i="3" s="1"/>
  <c r="H14" i="7" s="1"/>
  <c r="AP15" i="3"/>
  <c r="G13" i="3" s="1"/>
  <c r="G13" i="7" s="1"/>
  <c r="AO14" i="3"/>
  <c r="F12" i="3" s="1"/>
  <c r="F12" i="7" s="1"/>
  <c r="AN13" i="3"/>
  <c r="E11" i="3" s="1"/>
  <c r="E11" i="7" s="1"/>
  <c r="AR9" i="3"/>
  <c r="I7" i="3" s="1"/>
  <c r="I7" i="7" s="1"/>
  <c r="GE46" i="8"/>
  <c r="GG46" i="8"/>
  <c r="CT10" i="8"/>
  <c r="CC45" i="8"/>
  <c r="CP22" i="8"/>
  <c r="EY25" i="8"/>
  <c r="FQ47" i="8"/>
  <c r="FO49" i="8"/>
  <c r="GE14" i="8"/>
  <c r="HI15" i="8"/>
  <c r="HH44" i="8"/>
  <c r="HF8" i="8"/>
  <c r="HV25" i="8"/>
  <c r="HW23" i="8"/>
  <c r="HU54" i="8"/>
  <c r="HX49" i="8"/>
  <c r="DG10" i="8"/>
  <c r="DJ10" i="8"/>
  <c r="CA46" i="8"/>
  <c r="CC46" i="8"/>
  <c r="AK49" i="8"/>
  <c r="AH45" i="8"/>
  <c r="AJ17" i="8"/>
  <c r="EK35" i="8"/>
  <c r="FM54" i="8"/>
  <c r="GB53" i="8"/>
  <c r="GF53" i="8"/>
  <c r="GG53" i="8"/>
  <c r="GF51" i="8"/>
  <c r="GC45" i="8"/>
  <c r="GD45" i="8"/>
  <c r="GB41" i="8"/>
  <c r="GE41" i="8"/>
  <c r="GF41" i="8"/>
  <c r="GE35" i="8"/>
  <c r="GF35" i="8"/>
  <c r="GF24" i="8"/>
  <c r="GD24" i="8"/>
  <c r="GG19" i="8"/>
  <c r="GB19" i="8"/>
  <c r="GF9" i="8"/>
  <c r="GG9" i="8"/>
  <c r="GE7" i="8"/>
  <c r="GF7" i="8"/>
  <c r="GQ37" i="8"/>
  <c r="GR37" i="8"/>
  <c r="HJ42" i="8"/>
  <c r="HK42" i="8"/>
  <c r="HI30" i="8"/>
  <c r="HJ30" i="8"/>
  <c r="HF23" i="8"/>
  <c r="HG23" i="8"/>
  <c r="HJ5" i="8"/>
  <c r="HK5" i="8"/>
  <c r="AM18" i="3"/>
  <c r="D16" i="3" s="1"/>
  <c r="W16" i="3" s="1"/>
  <c r="AS19" i="3"/>
  <c r="J17" i="3" s="1"/>
  <c r="J17" i="7" s="1"/>
  <c r="AR18" i="3"/>
  <c r="I16" i="3" s="1"/>
  <c r="I16" i="7" s="1"/>
  <c r="AQ17" i="3"/>
  <c r="H15" i="3" s="1"/>
  <c r="H15" i="7" s="1"/>
  <c r="AP16" i="3"/>
  <c r="G14" i="3" s="1"/>
  <c r="G14" i="7" s="1"/>
  <c r="AN14" i="3"/>
  <c r="E12" i="3" s="1"/>
  <c r="X12" i="3" s="1"/>
  <c r="AS11" i="3"/>
  <c r="J9" i="3" s="1"/>
  <c r="J9" i="7" s="1"/>
  <c r="AO17" i="3"/>
  <c r="F15" i="3" s="1"/>
  <c r="Y15" i="3" s="1"/>
  <c r="AO13" i="3"/>
  <c r="F11" i="3" s="1"/>
  <c r="Y11" i="3" s="1"/>
  <c r="CU10" i="8"/>
  <c r="CB45" i="8"/>
  <c r="CQ22" i="8"/>
  <c r="CT22" i="8"/>
  <c r="FC13" i="8"/>
  <c r="EX25" i="8"/>
  <c r="EZ23" i="8"/>
  <c r="FP47" i="8"/>
  <c r="FN49" i="8"/>
  <c r="FN51" i="8"/>
  <c r="FP44" i="8"/>
  <c r="GT48" i="8"/>
  <c r="HF10" i="8"/>
  <c r="HG44" i="8"/>
  <c r="HJ8" i="8"/>
  <c r="HU25" i="8"/>
  <c r="HV23" i="8"/>
  <c r="HW54" i="8"/>
  <c r="HW49" i="8"/>
  <c r="FA25" i="8"/>
  <c r="AI17" i="8"/>
  <c r="CA50" i="8"/>
  <c r="CC50" i="8"/>
  <c r="CT49" i="8"/>
  <c r="CS49" i="8"/>
  <c r="CP49" i="8"/>
  <c r="CQ24" i="8"/>
  <c r="CP24" i="8"/>
  <c r="EI47" i="8"/>
  <c r="EJ47" i="8"/>
  <c r="EL33" i="8"/>
  <c r="EM33" i="8"/>
  <c r="FC5" i="8"/>
  <c r="EZ5" i="8"/>
  <c r="FQ20" i="8"/>
  <c r="FR20" i="8"/>
  <c r="GQ19" i="8"/>
  <c r="GR19" i="8"/>
  <c r="GS19" i="8"/>
  <c r="HJ47" i="8"/>
  <c r="HK47" i="8"/>
  <c r="HJ35" i="8"/>
  <c r="HK35" i="8"/>
  <c r="HJ20" i="8"/>
  <c r="HY52" i="8"/>
  <c r="HU52" i="8"/>
  <c r="HV52" i="8"/>
  <c r="AQ18" i="3"/>
  <c r="H16" i="3" s="1"/>
  <c r="H16" i="7" s="1"/>
  <c r="AP17" i="3"/>
  <c r="G15" i="3" s="1"/>
  <c r="G15" i="7" s="1"/>
  <c r="AN15" i="3"/>
  <c r="E13" i="3" s="1"/>
  <c r="E13" i="7" s="1"/>
  <c r="AS12" i="3"/>
  <c r="J10" i="3" s="1"/>
  <c r="J10" i="7" s="1"/>
  <c r="AR11" i="3"/>
  <c r="I9" i="3" s="1"/>
  <c r="I9" i="7" s="1"/>
  <c r="AP9" i="3"/>
  <c r="G7" i="3" s="1"/>
  <c r="G7" i="7" s="1"/>
  <c r="AM13" i="3"/>
  <c r="D11" i="3" s="1"/>
  <c r="D11" i="7" s="1"/>
  <c r="GC46" i="8"/>
  <c r="CR10" i="8"/>
  <c r="EZ13" i="8"/>
  <c r="EY23" i="8"/>
  <c r="FM49" i="8"/>
  <c r="FM51" i="8"/>
  <c r="FO44" i="8"/>
  <c r="GR48" i="8"/>
  <c r="HK14" i="8"/>
  <c r="HK10" i="8"/>
  <c r="HF44" i="8"/>
  <c r="HU23" i="8"/>
  <c r="AL53" i="8"/>
  <c r="AL47" i="8"/>
  <c r="CP40" i="8"/>
  <c r="CT40" i="8"/>
  <c r="DE29" i="8"/>
  <c r="DH29" i="8"/>
  <c r="DG27" i="8"/>
  <c r="DE27" i="8"/>
  <c r="DG23" i="8"/>
  <c r="DI23" i="8"/>
  <c r="DT29" i="8"/>
  <c r="DY29" i="8"/>
  <c r="EN52" i="8"/>
  <c r="EK52" i="8"/>
  <c r="EN40" i="8"/>
  <c r="EI40" i="8"/>
  <c r="EL5" i="8"/>
  <c r="EM5" i="8"/>
  <c r="EZ17" i="8"/>
  <c r="EX17" i="8"/>
  <c r="EY17" i="8"/>
  <c r="FB15" i="8"/>
  <c r="EX15" i="8"/>
  <c r="EZ15" i="8"/>
  <c r="FN52" i="8"/>
  <c r="FO52" i="8"/>
  <c r="FQ17" i="8"/>
  <c r="FR17" i="8"/>
  <c r="GE4" i="8"/>
  <c r="GC4" i="8"/>
  <c r="GB4" i="8"/>
  <c r="GD4" i="8"/>
  <c r="GU25" i="8"/>
  <c r="GV25" i="8"/>
  <c r="HF52" i="8"/>
  <c r="HG52" i="8"/>
  <c r="HG33" i="8"/>
  <c r="HH33" i="8"/>
  <c r="HJ26" i="8"/>
  <c r="HK26" i="8"/>
  <c r="HI18" i="8"/>
  <c r="HJ18" i="8"/>
  <c r="EY44" i="8"/>
  <c r="EZ44" i="8"/>
  <c r="HG50" i="8"/>
  <c r="HH50" i="8"/>
  <c r="HW36" i="8"/>
  <c r="HZ36" i="8"/>
  <c r="HU36" i="8"/>
  <c r="HZ32" i="8"/>
  <c r="HU32" i="8"/>
  <c r="HV32" i="8"/>
  <c r="HV30" i="8"/>
  <c r="HW30" i="8"/>
  <c r="HX30" i="8"/>
  <c r="HX20" i="8"/>
  <c r="HY20" i="8"/>
  <c r="AJ28" i="8"/>
  <c r="AK28" i="8"/>
  <c r="AH26" i="8"/>
  <c r="AJ26" i="8"/>
  <c r="AK26" i="8"/>
  <c r="AL26" i="8"/>
  <c r="AX54" i="8"/>
  <c r="BA54" i="8"/>
  <c r="AZ54" i="8"/>
  <c r="BA52" i="8"/>
  <c r="AW52" i="8"/>
  <c r="AX52" i="8"/>
  <c r="AY52" i="8"/>
  <c r="BA40" i="8"/>
  <c r="BB40" i="8"/>
  <c r="AW40" i="8"/>
  <c r="AX40" i="8"/>
  <c r="AX38" i="8"/>
  <c r="AY38" i="8"/>
  <c r="BA36" i="8"/>
  <c r="BB36" i="8"/>
  <c r="BA28" i="8"/>
  <c r="BB28" i="8"/>
  <c r="AW28" i="8"/>
  <c r="AX28" i="8"/>
  <c r="AX26" i="8"/>
  <c r="BB26" i="8"/>
  <c r="AY26" i="8"/>
  <c r="BA24" i="8"/>
  <c r="BB24" i="8"/>
  <c r="AX22" i="8"/>
  <c r="AW22" i="8"/>
  <c r="AY22" i="8"/>
  <c r="AZ18" i="8"/>
  <c r="AW18" i="8"/>
  <c r="AX10" i="8"/>
  <c r="BA10" i="8"/>
  <c r="AX6" i="8"/>
  <c r="AW6" i="8"/>
  <c r="BB6" i="8"/>
  <c r="BA6" i="8"/>
  <c r="BB4" i="8"/>
  <c r="AW4" i="8"/>
  <c r="AX4" i="8"/>
  <c r="HY41" i="8"/>
  <c r="HU41" i="8"/>
  <c r="HW34" i="8"/>
  <c r="HX34" i="8"/>
  <c r="HY34" i="8"/>
  <c r="HZ8" i="8"/>
  <c r="HW8" i="8"/>
  <c r="HU8" i="8"/>
  <c r="GV45" i="8"/>
  <c r="HX45" i="8"/>
  <c r="HZ45" i="8"/>
  <c r="EX55" i="8"/>
  <c r="FA55" i="8"/>
  <c r="HU28" i="8"/>
  <c r="HV28" i="8"/>
  <c r="HX28" i="8"/>
  <c r="HX15" i="8"/>
  <c r="HU15" i="8"/>
  <c r="HY15" i="8"/>
  <c r="HZ51" i="8"/>
  <c r="HV51" i="8"/>
  <c r="HW51" i="8"/>
  <c r="HZ39" i="8"/>
  <c r="HV39" i="8"/>
  <c r="HW39" i="8"/>
  <c r="FB41" i="8"/>
  <c r="AM14" i="3"/>
  <c r="D12" i="3" s="1"/>
  <c r="D12" i="7" s="1"/>
  <c r="AS14" i="3"/>
  <c r="J12" i="3" s="1"/>
  <c r="J12" i="7" s="1"/>
  <c r="AR15" i="3"/>
  <c r="I13" i="3" s="1"/>
  <c r="I13" i="7" s="1"/>
  <c r="P11" i="3"/>
  <c r="P11" i="7" s="1"/>
  <c r="AR17" i="3"/>
  <c r="I15" i="3" s="1"/>
  <c r="I15" i="7" s="1"/>
  <c r="AO15" i="3"/>
  <c r="F13" i="3" s="1"/>
  <c r="F13" i="7" s="1"/>
  <c r="AP14" i="3"/>
  <c r="G12" i="3" s="1"/>
  <c r="G12" i="7" s="1"/>
  <c r="AQ14" i="3"/>
  <c r="H12" i="3" s="1"/>
  <c r="H12" i="7" s="1"/>
  <c r="FA36" i="8"/>
  <c r="FA3" i="8"/>
  <c r="FC10" i="8"/>
  <c r="EY11" i="8"/>
  <c r="FC34" i="8"/>
  <c r="EY8" i="8"/>
  <c r="EX36" i="8"/>
  <c r="EZ3" i="8"/>
  <c r="EY43" i="8"/>
  <c r="EY20" i="8"/>
  <c r="FC28" i="8"/>
  <c r="EX11" i="8"/>
  <c r="FC36" i="8"/>
  <c r="EZ20" i="8"/>
  <c r="EX10" i="8"/>
  <c r="EX32" i="8"/>
  <c r="EZ10" i="8"/>
  <c r="EZ11" i="8"/>
  <c r="EX30" i="8"/>
  <c r="FB28" i="8"/>
  <c r="FA17" i="8"/>
  <c r="FA11" i="8"/>
  <c r="EY36" i="8"/>
  <c r="FC3" i="8"/>
  <c r="EX3" i="8"/>
  <c r="FB3" i="8"/>
  <c r="FA10" i="8"/>
  <c r="FC17" i="8"/>
  <c r="FC41" i="8"/>
  <c r="FB30" i="8"/>
  <c r="FC32" i="8"/>
  <c r="FA28" i="8"/>
  <c r="FB17" i="8"/>
  <c r="FB11" i="8"/>
  <c r="EY28" i="8"/>
  <c r="FB32" i="8"/>
  <c r="EZ41" i="8"/>
  <c r="FA30" i="8"/>
  <c r="EX28" i="8"/>
  <c r="FC30" i="8"/>
  <c r="FA9" i="8"/>
  <c r="EX33" i="8"/>
  <c r="EX38" i="8"/>
  <c r="EZ43" i="8"/>
  <c r="EY21" i="8"/>
  <c r="FA47" i="8"/>
  <c r="FC51" i="8"/>
  <c r="FA21" i="8"/>
  <c r="FA35" i="8"/>
  <c r="EX51" i="8"/>
  <c r="EZ8" i="8"/>
  <c r="EY9" i="8"/>
  <c r="FA8" i="8"/>
  <c r="FC47" i="8"/>
  <c r="FA52" i="8"/>
  <c r="FA38" i="8"/>
  <c r="FC43" i="8"/>
  <c r="EZ19" i="8"/>
  <c r="FA33" i="8"/>
  <c r="FA43" i="8"/>
  <c r="EX9" i="8"/>
  <c r="FA51" i="8"/>
  <c r="FB47" i="8"/>
  <c r="EX52" i="8"/>
  <c r="EZ38" i="8"/>
  <c r="FB43" i="8"/>
  <c r="FB54" i="8"/>
  <c r="EY19" i="8"/>
  <c r="EX54" i="8"/>
  <c r="EY54" i="8"/>
  <c r="EY38" i="8"/>
  <c r="FB9" i="8"/>
  <c r="FC33" i="8"/>
  <c r="EY35" i="8"/>
  <c r="EZ54" i="8"/>
  <c r="FB19" i="8"/>
  <c r="FA19" i="8"/>
  <c r="EZ52" i="8"/>
  <c r="EZ33" i="8"/>
  <c r="FC35" i="8"/>
  <c r="FC21" i="8"/>
  <c r="EZ51" i="8"/>
  <c r="EY33" i="8"/>
  <c r="EY49" i="8"/>
  <c r="EZ21" i="8"/>
  <c r="FA5" i="8"/>
  <c r="EZ49" i="8"/>
  <c r="EY29" i="8"/>
  <c r="EZ34" i="8"/>
  <c r="EY14" i="8"/>
  <c r="FA49" i="8"/>
  <c r="EY34" i="8"/>
  <c r="FA29" i="8"/>
  <c r="EZ24" i="8"/>
  <c r="FC20" i="8"/>
  <c r="FB5" i="8"/>
  <c r="EY5" i="8"/>
  <c r="FB24" i="8"/>
  <c r="EX49" i="8"/>
  <c r="EX14" i="8"/>
  <c r="EX5" i="8"/>
  <c r="FA24" i="8"/>
  <c r="FB20" i="8"/>
  <c r="EY24" i="8"/>
  <c r="P15" i="3"/>
  <c r="P15" i="7" s="1"/>
  <c r="EX24" i="8"/>
  <c r="FA20" i="8"/>
  <c r="FB29" i="8"/>
  <c r="FB49" i="8"/>
  <c r="EX34" i="8"/>
  <c r="EZ14" i="8"/>
  <c r="FB14" i="8"/>
  <c r="FC29" i="8"/>
  <c r="FB34" i="8"/>
  <c r="FA14" i="8"/>
  <c r="DX16" i="8"/>
  <c r="DV16" i="8"/>
  <c r="DU16" i="8"/>
  <c r="DT16" i="8"/>
  <c r="DU40" i="8"/>
  <c r="DW36" i="8"/>
  <c r="DT7" i="8"/>
  <c r="DU19" i="8"/>
  <c r="DW28" i="8"/>
  <c r="DV9" i="8"/>
  <c r="DU14" i="8"/>
  <c r="DT40" i="8"/>
  <c r="DW32" i="8"/>
  <c r="DV48" i="8"/>
  <c r="DX36" i="8"/>
  <c r="DY7" i="8"/>
  <c r="DY21" i="8"/>
  <c r="DV28" i="8"/>
  <c r="DU9" i="8"/>
  <c r="DU30" i="8"/>
  <c r="DX32" i="8"/>
  <c r="DU48" i="8"/>
  <c r="DU38" i="8"/>
  <c r="DV36" i="8"/>
  <c r="DU50" i="8"/>
  <c r="DY24" i="8"/>
  <c r="DT41" i="8"/>
  <c r="DX21" i="8"/>
  <c r="DU28" i="8"/>
  <c r="DT30" i="8"/>
  <c r="DV32" i="8"/>
  <c r="DT38" i="8"/>
  <c r="DU36" i="8"/>
  <c r="DY50" i="8"/>
  <c r="DX24" i="8"/>
  <c r="DW21" i="8"/>
  <c r="DY30" i="8"/>
  <c r="DY40" i="8"/>
  <c r="DU32" i="8"/>
  <c r="DY38" i="8"/>
  <c r="DT36" i="8"/>
  <c r="DX50" i="8"/>
  <c r="DW24" i="8"/>
  <c r="DV21" i="8"/>
  <c r="DX30" i="8"/>
  <c r="DW40" i="8"/>
  <c r="DX38" i="8"/>
  <c r="DW50" i="8"/>
  <c r="DY46" i="8"/>
  <c r="DT46" i="8"/>
  <c r="DU21" i="8"/>
  <c r="DX40" i="8"/>
  <c r="DW38" i="8"/>
  <c r="DT14" i="8"/>
  <c r="DX14" i="8"/>
  <c r="DU26" i="8"/>
  <c r="DW25" i="8"/>
  <c r="DT19" i="8"/>
  <c r="DU34" i="8"/>
  <c r="DV53" i="8"/>
  <c r="DV25" i="8"/>
  <c r="DY19" i="8"/>
  <c r="DT34" i="8"/>
  <c r="DU53" i="8"/>
  <c r="DU25" i="8"/>
  <c r="DT53" i="8"/>
  <c r="DY34" i="8"/>
  <c r="DX34" i="8"/>
  <c r="DW34" i="8"/>
  <c r="DT25" i="8"/>
  <c r="DW19" i="8"/>
  <c r="DY53" i="8"/>
  <c r="DV19" i="8"/>
  <c r="DE48" i="8"/>
  <c r="DI48" i="8"/>
  <c r="DE46" i="8"/>
  <c r="DJ48" i="8"/>
  <c r="DI46" i="8"/>
  <c r="DJ46" i="8"/>
  <c r="DH48" i="8"/>
  <c r="DG48" i="8"/>
  <c r="DH46" i="8"/>
  <c r="DF46" i="8"/>
  <c r="DE3" i="8"/>
  <c r="DJ5" i="8"/>
  <c r="DG19" i="8"/>
  <c r="DH24" i="8"/>
  <c r="DF32" i="8"/>
  <c r="DE10" i="8"/>
  <c r="DH16" i="8"/>
  <c r="DI14" i="8"/>
  <c r="DI53" i="8"/>
  <c r="DH11" i="8"/>
  <c r="DG26" i="8"/>
  <c r="DH5" i="8"/>
  <c r="DJ19" i="8"/>
  <c r="DF24" i="8"/>
  <c r="DI10" i="8"/>
  <c r="DF16" i="8"/>
  <c r="DE11" i="8"/>
  <c r="DE18" i="8"/>
  <c r="DG5" i="8"/>
  <c r="DE24" i="8"/>
  <c r="DH10" i="8"/>
  <c r="DE16" i="8"/>
  <c r="DJ49" i="8"/>
  <c r="DG11" i="8"/>
  <c r="DH18" i="8"/>
  <c r="DF5" i="8"/>
  <c r="DI18" i="8"/>
  <c r="DF26" i="8"/>
  <c r="DG14" i="8"/>
  <c r="DI49" i="8"/>
  <c r="DE26" i="8"/>
  <c r="DF17" i="8"/>
  <c r="DI3" i="8"/>
  <c r="DG18" i="8"/>
  <c r="DI19" i="8"/>
  <c r="DJ32" i="8"/>
  <c r="DF51" i="8"/>
  <c r="DJ26" i="8"/>
  <c r="DF14" i="8"/>
  <c r="DH49" i="8"/>
  <c r="DI55" i="8"/>
  <c r="DF3" i="8"/>
  <c r="DH32" i="8"/>
  <c r="DF55" i="8"/>
  <c r="DG49" i="8"/>
  <c r="DJ22" i="8"/>
  <c r="DE28" i="8"/>
  <c r="DJ44" i="8"/>
  <c r="DE51" i="8"/>
  <c r="DH44" i="8"/>
  <c r="DJ51" i="8"/>
  <c r="DH39" i="8"/>
  <c r="DE17" i="8"/>
  <c r="DG44" i="8"/>
  <c r="DF39" i="8"/>
  <c r="DH22" i="8"/>
  <c r="DJ17" i="8"/>
  <c r="DG22" i="8"/>
  <c r="DF44" i="8"/>
  <c r="DE39" i="8"/>
  <c r="DG39" i="8"/>
  <c r="DI17" i="8"/>
  <c r="DI22" i="8"/>
  <c r="DF22" i="8"/>
  <c r="DJ28" i="8"/>
  <c r="DE44" i="8"/>
  <c r="DJ39" i="8"/>
  <c r="DI51" i="8"/>
  <c r="DH17" i="8"/>
  <c r="DH28" i="8"/>
  <c r="DG28" i="8"/>
  <c r="DH51" i="8"/>
  <c r="CS3" i="8"/>
  <c r="CU39" i="8"/>
  <c r="CT50" i="8"/>
  <c r="CQ55" i="8"/>
  <c r="CP3" i="8"/>
  <c r="CR28" i="8"/>
  <c r="CS50" i="8"/>
  <c r="CP55" i="8"/>
  <c r="CT39" i="8"/>
  <c r="CR3" i="8"/>
  <c r="CQ28" i="8"/>
  <c r="CS28" i="8"/>
  <c r="CR50" i="8"/>
  <c r="CR16" i="8"/>
  <c r="CS39" i="8"/>
  <c r="CT28" i="8"/>
  <c r="CQ3" i="8"/>
  <c r="CU55" i="8"/>
  <c r="CQ50" i="8"/>
  <c r="CR39" i="8"/>
  <c r="CU28" i="8"/>
  <c r="CQ39" i="8"/>
  <c r="CT55" i="8"/>
  <c r="AQ13" i="3"/>
  <c r="H11" i="3" s="1"/>
  <c r="H11" i="7" s="1"/>
  <c r="CU46" i="8"/>
  <c r="CQ46" i="8"/>
  <c r="CQ16" i="8"/>
  <c r="CU7" i="8"/>
  <c r="CS46" i="8"/>
  <c r="CQ36" i="8"/>
  <c r="CR36" i="8"/>
  <c r="CT7" i="8"/>
  <c r="CS7" i="8"/>
  <c r="CU36" i="8"/>
  <c r="AS13" i="3"/>
  <c r="J11" i="3" s="1"/>
  <c r="J11" i="7" s="1"/>
  <c r="CU16" i="8"/>
  <c r="CR7" i="8"/>
  <c r="CT36" i="8"/>
  <c r="CT46" i="8"/>
  <c r="CP16" i="8"/>
  <c r="CQ7" i="8"/>
  <c r="CP36" i="8"/>
  <c r="CT16" i="8"/>
  <c r="CR46" i="8"/>
  <c r="CP43" i="8"/>
  <c r="CQ43" i="8"/>
  <c r="CR51" i="8"/>
  <c r="CS38" i="8"/>
  <c r="CQ51" i="8"/>
  <c r="CU43" i="8"/>
  <c r="CR38" i="8"/>
  <c r="CU51" i="8"/>
  <c r="CP38" i="8"/>
  <c r="CT38" i="8"/>
  <c r="CT51" i="8"/>
  <c r="CT43" i="8"/>
  <c r="P10" i="3"/>
  <c r="R10" i="3" s="1"/>
  <c r="R10" i="7" s="1"/>
  <c r="CE40" i="8"/>
  <c r="CB42" i="8"/>
  <c r="CD38" i="8"/>
  <c r="CC40" i="8"/>
  <c r="CE16" i="8"/>
  <c r="CE44" i="8"/>
  <c r="CF42" i="8"/>
  <c r="CA40" i="8"/>
  <c r="CE42" i="8"/>
  <c r="CF44" i="8"/>
  <c r="CD42" i="8"/>
  <c r="CD44" i="8"/>
  <c r="AO12" i="3"/>
  <c r="F10" i="3" s="1"/>
  <c r="F10" i="7" s="1"/>
  <c r="CB38" i="8"/>
  <c r="CC44" i="8"/>
  <c r="CC42" i="8"/>
  <c r="CF38" i="8"/>
  <c r="CF40" i="8"/>
  <c r="CB44" i="8"/>
  <c r="CE38" i="8"/>
  <c r="CA38" i="8"/>
  <c r="CD6" i="8"/>
  <c r="CF16" i="8"/>
  <c r="CA29" i="8"/>
  <c r="CE6" i="8"/>
  <c r="CD16" i="8"/>
  <c r="CF29" i="8"/>
  <c r="CC16" i="8"/>
  <c r="CE29" i="8"/>
  <c r="CB16" i="8"/>
  <c r="CD29" i="8"/>
  <c r="CF6" i="8"/>
  <c r="CC29" i="8"/>
  <c r="BM46" i="8"/>
  <c r="BP13" i="8"/>
  <c r="BN48" i="8"/>
  <c r="BQ11" i="8"/>
  <c r="BL4" i="8"/>
  <c r="BN18" i="8"/>
  <c r="BO13" i="8"/>
  <c r="BM48" i="8"/>
  <c r="BN54" i="8"/>
  <c r="BO52" i="8"/>
  <c r="BO11" i="8"/>
  <c r="BQ13" i="8"/>
  <c r="BP18" i="8"/>
  <c r="BN13" i="8"/>
  <c r="BL48" i="8"/>
  <c r="BP31" i="8"/>
  <c r="BL11" i="8"/>
  <c r="BO48" i="8"/>
  <c r="BQ52" i="8"/>
  <c r="BN31" i="8"/>
  <c r="BM50" i="8"/>
  <c r="BM52" i="8"/>
  <c r="BM31" i="8"/>
  <c r="BO31" i="8"/>
  <c r="BN52" i="8"/>
  <c r="BN11" i="8"/>
  <c r="BQ31" i="8"/>
  <c r="AM11" i="3"/>
  <c r="D9" i="3" s="1"/>
  <c r="D9" i="7" s="1"/>
  <c r="BP54" i="8"/>
  <c r="BL52" i="8"/>
  <c r="BP46" i="8"/>
  <c r="BQ46" i="8"/>
  <c r="BQ54" i="8"/>
  <c r="BP27" i="8"/>
  <c r="BM51" i="8"/>
  <c r="BQ53" i="8"/>
  <c r="BQ27" i="8"/>
  <c r="BN4" i="8"/>
  <c r="BL25" i="8"/>
  <c r="BO54" i="8"/>
  <c r="BM18" i="8"/>
  <c r="BL54" i="8"/>
  <c r="BP51" i="8"/>
  <c r="BN46" i="8"/>
  <c r="BM4" i="8"/>
  <c r="BP25" i="8"/>
  <c r="BP53" i="8"/>
  <c r="BQ18" i="8"/>
  <c r="BL51" i="8"/>
  <c r="BN27" i="8"/>
  <c r="BL53" i="8"/>
  <c r="BL27" i="8"/>
  <c r="BO27" i="8"/>
  <c r="BO25" i="8"/>
  <c r="BO53" i="8"/>
  <c r="BP49" i="8"/>
  <c r="BQ49" i="8"/>
  <c r="BO46" i="8"/>
  <c r="BP4" i="8"/>
  <c r="BN25" i="8"/>
  <c r="BN53" i="8"/>
  <c r="BO49" i="8"/>
  <c r="BO18" i="8"/>
  <c r="BO4" i="8"/>
  <c r="BM25" i="8"/>
  <c r="BN49" i="8"/>
  <c r="BN51" i="8"/>
  <c r="BM49" i="8"/>
  <c r="BL43" i="8"/>
  <c r="BP20" i="8"/>
  <c r="BM45" i="8"/>
  <c r="BL45" i="8"/>
  <c r="BQ20" i="8"/>
  <c r="BN43" i="8"/>
  <c r="BN20" i="8"/>
  <c r="BM43" i="8"/>
  <c r="BP45" i="8"/>
  <c r="BP5" i="8"/>
  <c r="BO28" i="8"/>
  <c r="BM20" i="8"/>
  <c r="BO43" i="8"/>
  <c r="BN45" i="8"/>
  <c r="BO45" i="8"/>
  <c r="AO10" i="3"/>
  <c r="F8" i="3" s="1"/>
  <c r="F8" i="7" s="1"/>
  <c r="AW44" i="8"/>
  <c r="BB44" i="8"/>
  <c r="BA3" i="8"/>
  <c r="AW42" i="8"/>
  <c r="BA42" i="8"/>
  <c r="BB42" i="8"/>
  <c r="BB3" i="8"/>
  <c r="AZ42" i="8"/>
  <c r="AZ44" i="8"/>
  <c r="AY3" i="8"/>
  <c r="AP10" i="3"/>
  <c r="G8" i="3" s="1"/>
  <c r="G8" i="7" s="1"/>
  <c r="AY44" i="8"/>
  <c r="AZ3" i="8"/>
  <c r="AX44" i="8"/>
  <c r="DV3" i="8"/>
  <c r="DT26" i="8"/>
  <c r="DU37" i="8"/>
  <c r="DV31" i="8"/>
  <c r="DY15" i="8"/>
  <c r="DY17" i="8"/>
  <c r="DY3" i="8"/>
  <c r="DY26" i="8"/>
  <c r="DY44" i="8"/>
  <c r="DU31" i="8"/>
  <c r="DX17" i="8"/>
  <c r="DT3" i="8"/>
  <c r="DU3" i="8"/>
  <c r="DX26" i="8"/>
  <c r="DW44" i="8"/>
  <c r="DT31" i="8"/>
  <c r="DW17" i="8"/>
  <c r="DW46" i="8"/>
  <c r="DW26" i="8"/>
  <c r="DX44" i="8"/>
  <c r="DY31" i="8"/>
  <c r="DV17" i="8"/>
  <c r="DW3" i="8"/>
  <c r="DY37" i="8"/>
  <c r="DV44" i="8"/>
  <c r="DW15" i="8"/>
  <c r="DU17" i="8"/>
  <c r="DX46" i="8"/>
  <c r="DX15" i="8"/>
  <c r="DX37" i="8"/>
  <c r="DU44" i="8"/>
  <c r="DV15" i="8"/>
  <c r="DU46" i="8"/>
  <c r="DW37" i="8"/>
  <c r="DE13" i="8"/>
  <c r="DH47" i="8"/>
  <c r="DG45" i="8"/>
  <c r="DE55" i="8"/>
  <c r="DE35" i="8"/>
  <c r="DE43" i="8"/>
  <c r="DJ53" i="8"/>
  <c r="DI35" i="8"/>
  <c r="DI43" i="8"/>
  <c r="DE53" i="8"/>
  <c r="DG43" i="8"/>
  <c r="DG35" i="8"/>
  <c r="DG30" i="8"/>
  <c r="DE47" i="8"/>
  <c r="DJ8" i="8"/>
  <c r="DF30" i="8"/>
  <c r="DH45" i="8"/>
  <c r="DH53" i="8"/>
  <c r="DH13" i="8"/>
  <c r="DJ47" i="8"/>
  <c r="DI45" i="8"/>
  <c r="DF45" i="8"/>
  <c r="DI8" i="8"/>
  <c r="DJ30" i="8"/>
  <c r="DG53" i="8"/>
  <c r="DG13" i="8"/>
  <c r="DH8" i="8"/>
  <c r="DI30" i="8"/>
  <c r="DG8" i="8"/>
  <c r="DH30" i="8"/>
  <c r="DI47" i="8"/>
  <c r="DJ45" i="8"/>
  <c r="DH55" i="8"/>
  <c r="DH35" i="8"/>
  <c r="DH43" i="8"/>
  <c r="DF8" i="8"/>
  <c r="CP12" i="8"/>
  <c r="CS12" i="8"/>
  <c r="CQ29" i="8"/>
  <c r="CR9" i="8"/>
  <c r="CS15" i="8"/>
  <c r="CU37" i="8"/>
  <c r="CT54" i="8"/>
  <c r="CP37" i="8"/>
  <c r="CP21" i="8"/>
  <c r="CQ44" i="8"/>
  <c r="CU24" i="8"/>
  <c r="CQ9" i="8"/>
  <c r="CQ15" i="8"/>
  <c r="CS37" i="8"/>
  <c r="CT24" i="8"/>
  <c r="CP9" i="8"/>
  <c r="CP15" i="8"/>
  <c r="CR37" i="8"/>
  <c r="CU44" i="8"/>
  <c r="CR21" i="8"/>
  <c r="CS21" i="8"/>
  <c r="CQ12" i="8"/>
  <c r="CR44" i="8"/>
  <c r="CS44" i="8"/>
  <c r="CS24" i="8"/>
  <c r="CU29" i="8"/>
  <c r="CU9" i="8"/>
  <c r="CT44" i="8"/>
  <c r="CU54" i="8"/>
  <c r="CR24" i="8"/>
  <c r="CT29" i="8"/>
  <c r="CS54" i="8"/>
  <c r="CR12" i="8"/>
  <c r="CS29" i="8"/>
  <c r="CT15" i="8"/>
  <c r="CT12" i="8"/>
  <c r="CR54" i="8"/>
  <c r="CQ54" i="8"/>
  <c r="CA7" i="8"/>
  <c r="CE48" i="8"/>
  <c r="CC30" i="8"/>
  <c r="CD48" i="8"/>
  <c r="CF7" i="8"/>
  <c r="CA33" i="8"/>
  <c r="CE19" i="8"/>
  <c r="CF30" i="8"/>
  <c r="CA21" i="8"/>
  <c r="CB48" i="8"/>
  <c r="CF33" i="8"/>
  <c r="CD19" i="8"/>
  <c r="CE30" i="8"/>
  <c r="CF21" i="8"/>
  <c r="CA48" i="8"/>
  <c r="CE33" i="8"/>
  <c r="CC19" i="8"/>
  <c r="CA30" i="8"/>
  <c r="CE21" i="8"/>
  <c r="CC7" i="8"/>
  <c r="CD33" i="8"/>
  <c r="CB19" i="8"/>
  <c r="CD21" i="8"/>
  <c r="CC33" i="8"/>
  <c r="CA19" i="8"/>
  <c r="CC21" i="8"/>
  <c r="BM12" i="8"/>
  <c r="BP10" i="8"/>
  <c r="BN50" i="8"/>
  <c r="BQ55" i="8"/>
  <c r="BL50" i="8"/>
  <c r="BN42" i="8"/>
  <c r="BP28" i="8"/>
  <c r="BO12" i="8"/>
  <c r="BL10" i="8"/>
  <c r="BO5" i="8"/>
  <c r="BQ50" i="8"/>
  <c r="BP12" i="8"/>
  <c r="BN28" i="8"/>
  <c r="BQ42" i="8"/>
  <c r="BQ5" i="8"/>
  <c r="BL23" i="8"/>
  <c r="BL42" i="8"/>
  <c r="BP50" i="8"/>
  <c r="BM28" i="8"/>
  <c r="BP42" i="8"/>
  <c r="BN23" i="8"/>
  <c r="AO11" i="3"/>
  <c r="F9" i="3" s="1"/>
  <c r="F9" i="7" s="1"/>
  <c r="BN5" i="8"/>
  <c r="BO23" i="8"/>
  <c r="BO55" i="8"/>
  <c r="BP23" i="8"/>
  <c r="BM5" i="8"/>
  <c r="BN10" i="8"/>
  <c r="BM55" i="8"/>
  <c r="BM23" i="8"/>
  <c r="BQ12" i="8"/>
  <c r="BM10" i="8"/>
  <c r="BP55" i="8"/>
  <c r="BL55" i="8"/>
  <c r="BA32" i="8"/>
  <c r="AZ30" i="8"/>
  <c r="BB34" i="8"/>
  <c r="AZ41" i="8"/>
  <c r="AY14" i="8"/>
  <c r="AY50" i="8"/>
  <c r="AZ34" i="8"/>
  <c r="BA18" i="8"/>
  <c r="AY41" i="8"/>
  <c r="AZ16" i="8"/>
  <c r="AZ43" i="8"/>
  <c r="AZ32" i="8"/>
  <c r="BB12" i="8"/>
  <c r="AW35" i="8"/>
  <c r="AX50" i="8"/>
  <c r="AY35" i="8"/>
  <c r="AX18" i="8"/>
  <c r="AX41" i="8"/>
  <c r="AY32" i="8"/>
  <c r="BA30" i="8"/>
  <c r="BB10" i="8"/>
  <c r="BB50" i="8"/>
  <c r="AW41" i="8"/>
  <c r="AX16" i="8"/>
  <c r="AY48" i="8"/>
  <c r="BA8" i="8"/>
  <c r="AX32" i="8"/>
  <c r="BA35" i="8"/>
  <c r="AW34" i="8"/>
  <c r="AW10" i="8"/>
  <c r="AZ10" i="8"/>
  <c r="AZ50" i="8"/>
  <c r="BA34" i="8"/>
  <c r="BB14" i="8"/>
  <c r="AW16" i="8"/>
  <c r="AX48" i="8"/>
  <c r="AZ8" i="8"/>
  <c r="AW32" i="8"/>
  <c r="BA12" i="8"/>
  <c r="AR10" i="3"/>
  <c r="I8" i="3" s="1"/>
  <c r="I8" i="7" s="1"/>
  <c r="AY30" i="8"/>
  <c r="AZ14" i="8"/>
  <c r="BB18" i="8"/>
  <c r="BA16" i="8"/>
  <c r="AX43" i="8"/>
  <c r="AW48" i="8"/>
  <c r="AY8" i="8"/>
  <c r="AZ12" i="8"/>
  <c r="BA43" i="8"/>
  <c r="AQ10" i="3"/>
  <c r="H8" i="3" s="1"/>
  <c r="H8" i="7" s="1"/>
  <c r="AY34" i="8"/>
  <c r="AW43" i="8"/>
  <c r="BB48" i="8"/>
  <c r="AW30" i="8"/>
  <c r="AN9" i="3"/>
  <c r="E7" i="3" s="1"/>
  <c r="E7" i="7" s="1"/>
  <c r="P7" i="3"/>
  <c r="R7" i="3" s="1"/>
  <c r="R7" i="7" s="1"/>
  <c r="AN10" i="3"/>
  <c r="E8" i="3" s="1"/>
  <c r="E8" i="7" s="1"/>
  <c r="AS10" i="3"/>
  <c r="J8" i="3" s="1"/>
  <c r="J8" i="7" s="1"/>
  <c r="AH34" i="8"/>
  <c r="W7" i="8"/>
  <c r="T32" i="8"/>
  <c r="AJ49" i="8"/>
  <c r="AI16" i="8"/>
  <c r="AJ37" i="8"/>
  <c r="AM54" i="8"/>
  <c r="AK18" i="8"/>
  <c r="BB20" i="8"/>
  <c r="AZ51" i="8"/>
  <c r="BB5" i="8"/>
  <c r="BA27" i="8"/>
  <c r="AJ55" i="8"/>
  <c r="AM34" i="8"/>
  <c r="W32" i="8"/>
  <c r="AI49" i="8"/>
  <c r="AH16" i="8"/>
  <c r="AI37" i="8"/>
  <c r="AL54" i="8"/>
  <c r="AJ18" i="8"/>
  <c r="BA22" i="8"/>
  <c r="BA5" i="8"/>
  <c r="AZ27" i="8"/>
  <c r="AM8" i="3"/>
  <c r="D6" i="3" s="1"/>
  <c r="D6" i="7" s="1"/>
  <c r="AL34" i="8"/>
  <c r="U7" i="8"/>
  <c r="S32" i="8"/>
  <c r="AH49" i="8"/>
  <c r="AM16" i="8"/>
  <c r="AH37" i="8"/>
  <c r="AK54" i="8"/>
  <c r="AM30" i="8"/>
  <c r="AI18" i="8"/>
  <c r="AZ46" i="8"/>
  <c r="AZ5" i="8"/>
  <c r="AK34" i="8"/>
  <c r="X48" i="8"/>
  <c r="AJ54" i="8"/>
  <c r="AL30" i="8"/>
  <c r="AY27" i="8"/>
  <c r="AZ20" i="8"/>
  <c r="AY5" i="8"/>
  <c r="AW46" i="8"/>
  <c r="AH15" i="8"/>
  <c r="AJ34" i="8"/>
  <c r="X7" i="8"/>
  <c r="V48" i="8"/>
  <c r="AI54" i="8"/>
  <c r="AK30" i="8"/>
  <c r="AZ22" i="8"/>
  <c r="BB46" i="8"/>
  <c r="BA20" i="8"/>
  <c r="AX51" i="8"/>
  <c r="AX5" i="8"/>
  <c r="AJ51" i="8"/>
  <c r="T7" i="8"/>
  <c r="X32" i="8"/>
  <c r="U48" i="8"/>
  <c r="AM49" i="8"/>
  <c r="AL16" i="8"/>
  <c r="AM37" i="8"/>
  <c r="AJ30" i="8"/>
  <c r="AH18" i="8"/>
  <c r="AY46" i="8"/>
  <c r="AY20" i="8"/>
  <c r="AW51" i="8"/>
  <c r="AX27" i="8"/>
  <c r="AM10" i="3"/>
  <c r="D8" i="3" s="1"/>
  <c r="W8" i="3" s="1"/>
  <c r="AP8" i="3"/>
  <c r="G6" i="3" s="1"/>
  <c r="G6" i="7" s="1"/>
  <c r="T48" i="8"/>
  <c r="AI30" i="8"/>
  <c r="BB22" i="8"/>
  <c r="BB51" i="8"/>
  <c r="W25" i="3" l="1"/>
  <c r="X24" i="3"/>
  <c r="X23" i="3"/>
  <c r="F27" i="7"/>
  <c r="Y21" i="3"/>
  <c r="X6" i="3"/>
  <c r="Y24" i="3"/>
  <c r="Z24" i="3" s="1"/>
  <c r="D23" i="7"/>
  <c r="D26" i="7"/>
  <c r="U6" i="7"/>
  <c r="D22" i="7"/>
  <c r="X28" i="3"/>
  <c r="R25" i="3"/>
  <c r="R25" i="7" s="1"/>
  <c r="X25" i="3"/>
  <c r="R26" i="3"/>
  <c r="R26" i="7" s="1"/>
  <c r="E22" i="7"/>
  <c r="P27" i="7"/>
  <c r="X4" i="4"/>
  <c r="Z29" i="3"/>
  <c r="Y25" i="3"/>
  <c r="Z27" i="3"/>
  <c r="Y28" i="3"/>
  <c r="P24" i="7"/>
  <c r="W28" i="3"/>
  <c r="Z26" i="3"/>
  <c r="E14" i="7"/>
  <c r="F14" i="7"/>
  <c r="R6" i="3"/>
  <c r="R6" i="7" s="1"/>
  <c r="D5" i="7"/>
  <c r="D14" i="7"/>
  <c r="F17" i="7"/>
  <c r="E15" i="7"/>
  <c r="Y20" i="3"/>
  <c r="R19" i="3"/>
  <c r="R19" i="7" s="1"/>
  <c r="P21" i="7"/>
  <c r="F22" i="7"/>
  <c r="Z22" i="3"/>
  <c r="R22" i="3"/>
  <c r="R22" i="7" s="1"/>
  <c r="W17" i="3"/>
  <c r="Y22" i="8"/>
  <c r="Z22" i="8" s="1"/>
  <c r="R5" i="3"/>
  <c r="R5" i="7" s="1"/>
  <c r="W13" i="3"/>
  <c r="R12" i="3"/>
  <c r="R12" i="7" s="1"/>
  <c r="R15" i="3"/>
  <c r="R15" i="7" s="1"/>
  <c r="F6" i="7"/>
  <c r="F5" i="7"/>
  <c r="U4" i="7"/>
  <c r="Y8" i="3"/>
  <c r="F7" i="7"/>
  <c r="P7" i="7"/>
  <c r="P8" i="7"/>
  <c r="E10" i="7"/>
  <c r="R14" i="3"/>
  <c r="R14" i="7" s="1"/>
  <c r="R23" i="3"/>
  <c r="R23" i="7" s="1"/>
  <c r="W21" i="3"/>
  <c r="Z21" i="3" s="1"/>
  <c r="D21" i="7"/>
  <c r="Z23" i="3"/>
  <c r="E9" i="7"/>
  <c r="A7" i="7"/>
  <c r="D7" i="7"/>
  <c r="X17" i="3"/>
  <c r="D16" i="7"/>
  <c r="P16" i="7"/>
  <c r="Y16" i="3"/>
  <c r="Y12" i="3"/>
  <c r="E12" i="7"/>
  <c r="X20" i="3"/>
  <c r="D15" i="7"/>
  <c r="P17" i="7"/>
  <c r="X16" i="3"/>
  <c r="P13" i="7"/>
  <c r="W20" i="3"/>
  <c r="Y19" i="3"/>
  <c r="F15" i="7"/>
  <c r="R18" i="3"/>
  <c r="R18" i="7" s="1"/>
  <c r="P9" i="7"/>
  <c r="X13" i="3"/>
  <c r="F11" i="7"/>
  <c r="X11" i="3"/>
  <c r="W12" i="3"/>
  <c r="Y10" i="3"/>
  <c r="Y9" i="3"/>
  <c r="X8" i="3"/>
  <c r="R11" i="3"/>
  <c r="R11" i="7" s="1"/>
  <c r="Y13" i="3"/>
  <c r="W11" i="3"/>
  <c r="IA33" i="8"/>
  <c r="IB33" i="8" s="1"/>
  <c r="J31" i="8"/>
  <c r="K31" i="8" s="1"/>
  <c r="NF34" i="8"/>
  <c r="NG34" i="8" s="1"/>
  <c r="MB13" i="8"/>
  <c r="MC13" i="8" s="1"/>
  <c r="IP27" i="8"/>
  <c r="IQ27" i="8" s="1"/>
  <c r="X18" i="3"/>
  <c r="E18" i="7"/>
  <c r="X5" i="3"/>
  <c r="Z5" i="3" s="1"/>
  <c r="W19" i="3"/>
  <c r="D19" i="7"/>
  <c r="D18" i="7"/>
  <c r="W18" i="3"/>
  <c r="NF14" i="8"/>
  <c r="NG14" i="8" s="1"/>
  <c r="MB49" i="8"/>
  <c r="MC49" i="8" s="1"/>
  <c r="IP8" i="8"/>
  <c r="IQ8" i="8" s="1"/>
  <c r="R20" i="3"/>
  <c r="R20" i="7" s="1"/>
  <c r="P20" i="7"/>
  <c r="W10" i="3"/>
  <c r="IP35" i="8"/>
  <c r="IQ35" i="8" s="1"/>
  <c r="F18" i="7"/>
  <c r="Y18" i="3"/>
  <c r="JT16" i="8"/>
  <c r="JU16" i="8" s="1"/>
  <c r="MB24" i="8"/>
  <c r="MC24" i="8" s="1"/>
  <c r="E19" i="7"/>
  <c r="X19" i="3"/>
  <c r="Z14" i="3"/>
  <c r="JT21" i="8"/>
  <c r="JU21" i="8" s="1"/>
  <c r="JT54" i="8"/>
  <c r="JU54" i="8" s="1"/>
  <c r="MB51" i="8"/>
  <c r="MC51" i="8" s="1"/>
  <c r="HL21" i="8"/>
  <c r="HM21" i="8" s="1"/>
  <c r="EO54" i="8"/>
  <c r="EP54" i="8" s="1"/>
  <c r="J25" i="8"/>
  <c r="K25" i="8" s="1"/>
  <c r="J39" i="8"/>
  <c r="K39" i="8" s="1"/>
  <c r="J21" i="8"/>
  <c r="K21" i="8" s="1"/>
  <c r="J18" i="8"/>
  <c r="K18" i="8" s="1"/>
  <c r="J33" i="8"/>
  <c r="K33" i="8" s="1"/>
  <c r="J52" i="8"/>
  <c r="K52" i="8" s="1"/>
  <c r="J29" i="8"/>
  <c r="K29" i="8" s="1"/>
  <c r="J26" i="8"/>
  <c r="K26" i="8" s="1"/>
  <c r="J20" i="8"/>
  <c r="K20" i="8" s="1"/>
  <c r="J37" i="8"/>
  <c r="K37" i="8" s="1"/>
  <c r="J4" i="8"/>
  <c r="K4" i="8" s="1"/>
  <c r="J38" i="8"/>
  <c r="K38" i="8" s="1"/>
  <c r="J3" i="8"/>
  <c r="K3" i="8" s="1"/>
  <c r="L3" i="8" s="1"/>
  <c r="J7" i="8"/>
  <c r="K7" i="8" s="1"/>
  <c r="J54" i="8"/>
  <c r="K54" i="8" s="1"/>
  <c r="J8" i="8"/>
  <c r="K8" i="8" s="1"/>
  <c r="J28" i="8"/>
  <c r="K28" i="8" s="1"/>
  <c r="J49" i="8"/>
  <c r="K49" i="8" s="1"/>
  <c r="J14" i="8"/>
  <c r="K14" i="8" s="1"/>
  <c r="J35" i="8"/>
  <c r="K35" i="8" s="1"/>
  <c r="IP44" i="8"/>
  <c r="IQ44" i="8" s="1"/>
  <c r="IP34" i="8"/>
  <c r="IQ34" i="8" s="1"/>
  <c r="IP40" i="8"/>
  <c r="IQ40" i="8" s="1"/>
  <c r="IP10" i="8"/>
  <c r="IQ10" i="8" s="1"/>
  <c r="IP20" i="8"/>
  <c r="IQ20" i="8" s="1"/>
  <c r="IP52" i="8"/>
  <c r="IQ52" i="8" s="1"/>
  <c r="IP38" i="8"/>
  <c r="IQ38" i="8" s="1"/>
  <c r="IP12" i="8"/>
  <c r="IQ12" i="8" s="1"/>
  <c r="IP46" i="8"/>
  <c r="IQ46" i="8" s="1"/>
  <c r="MB43" i="8"/>
  <c r="MC43" i="8" s="1"/>
  <c r="JT15" i="8"/>
  <c r="JU15" i="8" s="1"/>
  <c r="MB33" i="8"/>
  <c r="MC33" i="8" s="1"/>
  <c r="MB22" i="8"/>
  <c r="MC22" i="8" s="1"/>
  <c r="JT17" i="8"/>
  <c r="JU17" i="8" s="1"/>
  <c r="JT29" i="8"/>
  <c r="JU29" i="8" s="1"/>
  <c r="MB17" i="8"/>
  <c r="MC17" i="8" s="1"/>
  <c r="MB23" i="8"/>
  <c r="MC23" i="8" s="1"/>
  <c r="MB37" i="8"/>
  <c r="MC37" i="8" s="1"/>
  <c r="IP54" i="8"/>
  <c r="IQ54" i="8" s="1"/>
  <c r="IP41" i="8"/>
  <c r="IQ41" i="8" s="1"/>
  <c r="IP14" i="8"/>
  <c r="IQ14" i="8" s="1"/>
  <c r="IP55" i="8"/>
  <c r="IQ55" i="8" s="1"/>
  <c r="IP26" i="8"/>
  <c r="IQ26" i="8" s="1"/>
  <c r="JT22" i="8"/>
  <c r="JU22" i="8" s="1"/>
  <c r="IP22" i="8"/>
  <c r="IQ22" i="8" s="1"/>
  <c r="NF25" i="8"/>
  <c r="NG25" i="8" s="1"/>
  <c r="NF52" i="8"/>
  <c r="NG52" i="8" s="1"/>
  <c r="NF37" i="8"/>
  <c r="NG37" i="8" s="1"/>
  <c r="NF36" i="8"/>
  <c r="NG36" i="8" s="1"/>
  <c r="NF19" i="8"/>
  <c r="NG19" i="8" s="1"/>
  <c r="NF21" i="8"/>
  <c r="NG21" i="8" s="1"/>
  <c r="NF45" i="8"/>
  <c r="NG45" i="8" s="1"/>
  <c r="NF11" i="8"/>
  <c r="NG11" i="8" s="1"/>
  <c r="NF28" i="8"/>
  <c r="NG28" i="8" s="1"/>
  <c r="NF10" i="8"/>
  <c r="NG10" i="8" s="1"/>
  <c r="NF53" i="8"/>
  <c r="NG53" i="8" s="1"/>
  <c r="NF33" i="8"/>
  <c r="NG33" i="8" s="1"/>
  <c r="NF23" i="8"/>
  <c r="NG23" i="8" s="1"/>
  <c r="NF18" i="8"/>
  <c r="NG18" i="8" s="1"/>
  <c r="NF31" i="8"/>
  <c r="NG31" i="8" s="1"/>
  <c r="NF48" i="8"/>
  <c r="NG48" i="8" s="1"/>
  <c r="NF20" i="8"/>
  <c r="NG20" i="8" s="1"/>
  <c r="NF32" i="8"/>
  <c r="NG32" i="8" s="1"/>
  <c r="NF24" i="8"/>
  <c r="NG24" i="8" s="1"/>
  <c r="NF40" i="8"/>
  <c r="NG40" i="8" s="1"/>
  <c r="NF9" i="8"/>
  <c r="NG9" i="8" s="1"/>
  <c r="NF12" i="8"/>
  <c r="NG12" i="8" s="1"/>
  <c r="NF54" i="8"/>
  <c r="NG54" i="8" s="1"/>
  <c r="NF17" i="8"/>
  <c r="NG17" i="8" s="1"/>
  <c r="NF41" i="8"/>
  <c r="NG41" i="8" s="1"/>
  <c r="NF26" i="8"/>
  <c r="NG26" i="8" s="1"/>
  <c r="NF43" i="8"/>
  <c r="NG43" i="8" s="1"/>
  <c r="NF38" i="8"/>
  <c r="NG38" i="8" s="1"/>
  <c r="NF47" i="8"/>
  <c r="NG47" i="8" s="1"/>
  <c r="NF42" i="8"/>
  <c r="NG42" i="8" s="1"/>
  <c r="NF49" i="8"/>
  <c r="NG49" i="8" s="1"/>
  <c r="NF7" i="8"/>
  <c r="NG7" i="8" s="1"/>
  <c r="NF5" i="8"/>
  <c r="NG5" i="8" s="1"/>
  <c r="NF4" i="8"/>
  <c r="NG4" i="8" s="1"/>
  <c r="NF39" i="8"/>
  <c r="NG39" i="8" s="1"/>
  <c r="NF30" i="8"/>
  <c r="NG30" i="8" s="1"/>
  <c r="NF35" i="8"/>
  <c r="NG35" i="8" s="1"/>
  <c r="NF51" i="8"/>
  <c r="NG51" i="8" s="1"/>
  <c r="NF8" i="8"/>
  <c r="NG8" i="8" s="1"/>
  <c r="NF15" i="8"/>
  <c r="NG15" i="8" s="1"/>
  <c r="NF6" i="8"/>
  <c r="NG6" i="8" s="1"/>
  <c r="NF50" i="8"/>
  <c r="NG50" i="8" s="1"/>
  <c r="NF3" i="8"/>
  <c r="NG3" i="8" s="1"/>
  <c r="NH3" i="8" s="1"/>
  <c r="NF46" i="8"/>
  <c r="NG46" i="8" s="1"/>
  <c r="NF22" i="8"/>
  <c r="NG22" i="8" s="1"/>
  <c r="NF16" i="8"/>
  <c r="NG16" i="8" s="1"/>
  <c r="J10" i="8"/>
  <c r="K10" i="8" s="1"/>
  <c r="J50" i="8"/>
  <c r="K50" i="8" s="1"/>
  <c r="J32" i="8"/>
  <c r="K32" i="8" s="1"/>
  <c r="MQ48" i="8"/>
  <c r="MR48" i="8" s="1"/>
  <c r="MQ20" i="8"/>
  <c r="MR20" i="8" s="1"/>
  <c r="MQ18" i="8"/>
  <c r="MR18" i="8" s="1"/>
  <c r="MQ25" i="8"/>
  <c r="MR25" i="8" s="1"/>
  <c r="MQ19" i="8"/>
  <c r="MR19" i="8" s="1"/>
  <c r="MQ8" i="8"/>
  <c r="MR8" i="8" s="1"/>
  <c r="MQ41" i="8"/>
  <c r="MR41" i="8" s="1"/>
  <c r="MQ53" i="8"/>
  <c r="MR53" i="8" s="1"/>
  <c r="MQ52" i="8"/>
  <c r="MR52" i="8" s="1"/>
  <c r="MQ10" i="8"/>
  <c r="MR10" i="8" s="1"/>
  <c r="MQ24" i="8"/>
  <c r="MR24" i="8" s="1"/>
  <c r="MQ22" i="8"/>
  <c r="MR22" i="8" s="1"/>
  <c r="MQ15" i="8"/>
  <c r="MR15" i="8" s="1"/>
  <c r="MQ30" i="8"/>
  <c r="MR30" i="8" s="1"/>
  <c r="MQ6" i="8"/>
  <c r="MR6" i="8" s="1"/>
  <c r="MQ47" i="8"/>
  <c r="MR47" i="8" s="1"/>
  <c r="MQ40" i="8"/>
  <c r="MR40" i="8" s="1"/>
  <c r="MQ38" i="8"/>
  <c r="MR38" i="8" s="1"/>
  <c r="MQ31" i="8"/>
  <c r="MR31" i="8" s="1"/>
  <c r="MQ14" i="8"/>
  <c r="MR14" i="8" s="1"/>
  <c r="MQ54" i="8"/>
  <c r="MR54" i="8" s="1"/>
  <c r="MQ51" i="8"/>
  <c r="MR51" i="8" s="1"/>
  <c r="MQ23" i="8"/>
  <c r="MR23" i="8" s="1"/>
  <c r="MQ44" i="8"/>
  <c r="MR44" i="8" s="1"/>
  <c r="MQ3" i="8"/>
  <c r="MR3" i="8" s="1"/>
  <c r="MS3" i="8" s="1"/>
  <c r="MQ46" i="8"/>
  <c r="MR46" i="8" s="1"/>
  <c r="MQ50" i="8"/>
  <c r="MR50" i="8" s="1"/>
  <c r="MQ26" i="8"/>
  <c r="MR26" i="8" s="1"/>
  <c r="MQ42" i="8"/>
  <c r="MR42" i="8" s="1"/>
  <c r="MQ33" i="8"/>
  <c r="MR33" i="8" s="1"/>
  <c r="MQ49" i="8"/>
  <c r="MR49" i="8" s="1"/>
  <c r="MQ17" i="8"/>
  <c r="MR17" i="8" s="1"/>
  <c r="MQ5" i="8"/>
  <c r="MR5" i="8" s="1"/>
  <c r="MQ55" i="8"/>
  <c r="MR55" i="8" s="1"/>
  <c r="MQ45" i="8"/>
  <c r="MR45" i="8" s="1"/>
  <c r="MQ28" i="8"/>
  <c r="MR28" i="8" s="1"/>
  <c r="MQ37" i="8"/>
  <c r="MR37" i="8" s="1"/>
  <c r="MQ9" i="8"/>
  <c r="MR9" i="8" s="1"/>
  <c r="MQ34" i="8"/>
  <c r="MR34" i="8" s="1"/>
  <c r="MQ12" i="8"/>
  <c r="MR12" i="8" s="1"/>
  <c r="MQ16" i="8"/>
  <c r="MR16" i="8" s="1"/>
  <c r="MQ11" i="8"/>
  <c r="MR11" i="8" s="1"/>
  <c r="MQ13" i="8"/>
  <c r="MR13" i="8" s="1"/>
  <c r="MQ43" i="8"/>
  <c r="MR43" i="8" s="1"/>
  <c r="MQ21" i="8"/>
  <c r="MR21" i="8" s="1"/>
  <c r="MQ35" i="8"/>
  <c r="MR35" i="8" s="1"/>
  <c r="MQ32" i="8"/>
  <c r="MR32" i="8" s="1"/>
  <c r="MQ27" i="8"/>
  <c r="MR27" i="8" s="1"/>
  <c r="MQ4" i="8"/>
  <c r="MR4" i="8" s="1"/>
  <c r="MS4" i="8" s="1"/>
  <c r="MQ36" i="8"/>
  <c r="MR36" i="8" s="1"/>
  <c r="MQ29" i="8"/>
  <c r="MR29" i="8" s="1"/>
  <c r="MQ7" i="8"/>
  <c r="MR7" i="8" s="1"/>
  <c r="MQ39" i="8"/>
  <c r="MR39" i="8" s="1"/>
  <c r="MB34" i="8"/>
  <c r="MC34" i="8" s="1"/>
  <c r="JT30" i="8"/>
  <c r="JU30" i="8" s="1"/>
  <c r="MB31" i="8"/>
  <c r="MC31" i="8" s="1"/>
  <c r="MB45" i="8"/>
  <c r="MC45" i="8" s="1"/>
  <c r="NF29" i="8"/>
  <c r="NG29" i="8" s="1"/>
  <c r="JT50" i="8"/>
  <c r="JU50" i="8" s="1"/>
  <c r="MB10" i="8"/>
  <c r="MC10" i="8" s="1"/>
  <c r="MB30" i="8"/>
  <c r="MC30" i="8" s="1"/>
  <c r="IP37" i="8"/>
  <c r="IQ37" i="8" s="1"/>
  <c r="IP53" i="8"/>
  <c r="IQ53" i="8" s="1"/>
  <c r="IP17" i="8"/>
  <c r="IQ17" i="8" s="1"/>
  <c r="J46" i="8"/>
  <c r="K46" i="8" s="1"/>
  <c r="MB35" i="8"/>
  <c r="MC35" i="8" s="1"/>
  <c r="MB25" i="8"/>
  <c r="MC25" i="8" s="1"/>
  <c r="GW41" i="8"/>
  <c r="GX41" i="8" s="1"/>
  <c r="KI48" i="8"/>
  <c r="KJ48" i="8" s="1"/>
  <c r="KI13" i="8"/>
  <c r="KJ13" i="8" s="1"/>
  <c r="KI14" i="8"/>
  <c r="KJ14" i="8" s="1"/>
  <c r="KI20" i="8"/>
  <c r="KJ20" i="8" s="1"/>
  <c r="KI52" i="8"/>
  <c r="KJ52" i="8" s="1"/>
  <c r="KI49" i="8"/>
  <c r="KJ49" i="8" s="1"/>
  <c r="KI43" i="8"/>
  <c r="KJ43" i="8" s="1"/>
  <c r="KI4" i="8"/>
  <c r="KJ4" i="8" s="1"/>
  <c r="KI41" i="8"/>
  <c r="KJ41" i="8" s="1"/>
  <c r="KI44" i="8"/>
  <c r="KJ44" i="8" s="1"/>
  <c r="KI31" i="8"/>
  <c r="KJ31" i="8" s="1"/>
  <c r="KI50" i="8"/>
  <c r="KJ50" i="8" s="1"/>
  <c r="KI15" i="8"/>
  <c r="KJ15" i="8" s="1"/>
  <c r="KI36" i="8"/>
  <c r="KJ36" i="8" s="1"/>
  <c r="KI55" i="8"/>
  <c r="KJ55" i="8" s="1"/>
  <c r="KI33" i="8"/>
  <c r="KJ33" i="8" s="1"/>
  <c r="KI10" i="8"/>
  <c r="KJ10" i="8" s="1"/>
  <c r="KI35" i="8"/>
  <c r="KJ35" i="8" s="1"/>
  <c r="KI24" i="8"/>
  <c r="KJ24" i="8" s="1"/>
  <c r="KI22" i="8"/>
  <c r="KJ22" i="8" s="1"/>
  <c r="KI47" i="8"/>
  <c r="KJ47" i="8" s="1"/>
  <c r="KI9" i="8"/>
  <c r="KJ9" i="8" s="1"/>
  <c r="KI27" i="8"/>
  <c r="KJ27" i="8" s="1"/>
  <c r="KI29" i="8"/>
  <c r="KJ29" i="8" s="1"/>
  <c r="KI54" i="8"/>
  <c r="KJ54" i="8" s="1"/>
  <c r="KI19" i="8"/>
  <c r="KJ19" i="8" s="1"/>
  <c r="KI34" i="8"/>
  <c r="KJ34" i="8" s="1"/>
  <c r="KI53" i="8"/>
  <c r="KJ53" i="8" s="1"/>
  <c r="KI46" i="8"/>
  <c r="KJ46" i="8" s="1"/>
  <c r="KI38" i="8"/>
  <c r="KJ38" i="8" s="1"/>
  <c r="KI21" i="8"/>
  <c r="KJ21" i="8" s="1"/>
  <c r="KI45" i="8"/>
  <c r="KJ45" i="8" s="1"/>
  <c r="KI11" i="8"/>
  <c r="KJ11" i="8" s="1"/>
  <c r="KI37" i="8"/>
  <c r="KJ37" i="8" s="1"/>
  <c r="KI40" i="8"/>
  <c r="KJ40" i="8" s="1"/>
  <c r="KI23" i="8"/>
  <c r="KJ23" i="8" s="1"/>
  <c r="KI12" i="8"/>
  <c r="KJ12" i="8" s="1"/>
  <c r="KI16" i="8"/>
  <c r="KJ16" i="8" s="1"/>
  <c r="KI7" i="8"/>
  <c r="KJ7" i="8" s="1"/>
  <c r="KI3" i="8"/>
  <c r="KJ3" i="8" s="1"/>
  <c r="KK3" i="8" s="1"/>
  <c r="KI26" i="8"/>
  <c r="KJ26" i="8" s="1"/>
  <c r="KI6" i="8"/>
  <c r="KJ6" i="8" s="1"/>
  <c r="KI39" i="8"/>
  <c r="KJ39" i="8" s="1"/>
  <c r="KI51" i="8"/>
  <c r="KJ51" i="8" s="1"/>
  <c r="KI30" i="8"/>
  <c r="KJ30" i="8" s="1"/>
  <c r="KI28" i="8"/>
  <c r="KJ28" i="8" s="1"/>
  <c r="KI8" i="8"/>
  <c r="KJ8" i="8" s="1"/>
  <c r="KI18" i="8"/>
  <c r="KJ18" i="8" s="1"/>
  <c r="KI42" i="8"/>
  <c r="KJ42" i="8" s="1"/>
  <c r="KI17" i="8"/>
  <c r="KJ17" i="8" s="1"/>
  <c r="KI25" i="8"/>
  <c r="KJ25" i="8" s="1"/>
  <c r="KI5" i="8"/>
  <c r="KJ5" i="8" s="1"/>
  <c r="KI32" i="8"/>
  <c r="KJ32" i="8" s="1"/>
  <c r="J30" i="8"/>
  <c r="K30" i="8" s="1"/>
  <c r="J17" i="8"/>
  <c r="K17" i="8" s="1"/>
  <c r="J23" i="8"/>
  <c r="K23" i="8" s="1"/>
  <c r="J27" i="8"/>
  <c r="K27" i="8" s="1"/>
  <c r="LM36" i="8"/>
  <c r="LN36" i="8" s="1"/>
  <c r="LM13" i="8"/>
  <c r="LN13" i="8" s="1"/>
  <c r="LM6" i="8"/>
  <c r="LN6" i="8" s="1"/>
  <c r="LM19" i="8"/>
  <c r="LN19" i="8" s="1"/>
  <c r="LM8" i="8"/>
  <c r="LN8" i="8" s="1"/>
  <c r="LM38" i="8"/>
  <c r="LN38" i="8" s="1"/>
  <c r="LM31" i="8"/>
  <c r="LN31" i="8" s="1"/>
  <c r="LM24" i="8"/>
  <c r="LN24" i="8" s="1"/>
  <c r="LM29" i="8"/>
  <c r="LN29" i="8" s="1"/>
  <c r="LM37" i="8"/>
  <c r="LN37" i="8" s="1"/>
  <c r="LM40" i="8"/>
  <c r="LN40" i="8" s="1"/>
  <c r="LM45" i="8"/>
  <c r="LN45" i="8" s="1"/>
  <c r="LM10" i="8"/>
  <c r="LN10" i="8" s="1"/>
  <c r="LM52" i="8"/>
  <c r="LN52" i="8" s="1"/>
  <c r="LM28" i="8"/>
  <c r="LN28" i="8" s="1"/>
  <c r="LM33" i="8"/>
  <c r="LN33" i="8" s="1"/>
  <c r="LM51" i="8"/>
  <c r="LN51" i="8" s="1"/>
  <c r="LM12" i="8"/>
  <c r="LN12" i="8" s="1"/>
  <c r="LM17" i="8"/>
  <c r="LN17" i="8" s="1"/>
  <c r="LM35" i="8"/>
  <c r="LN35" i="8" s="1"/>
  <c r="LM7" i="8"/>
  <c r="LN7" i="8" s="1"/>
  <c r="LM32" i="8"/>
  <c r="LN32" i="8" s="1"/>
  <c r="LM5" i="8"/>
  <c r="LN5" i="8" s="1"/>
  <c r="LM44" i="8"/>
  <c r="LN44" i="8" s="1"/>
  <c r="LM42" i="8"/>
  <c r="LN42" i="8" s="1"/>
  <c r="LM43" i="8"/>
  <c r="LN43" i="8" s="1"/>
  <c r="LM26" i="8"/>
  <c r="LN26" i="8" s="1"/>
  <c r="LM9" i="8"/>
  <c r="LN9" i="8" s="1"/>
  <c r="LM27" i="8"/>
  <c r="LN27" i="8" s="1"/>
  <c r="LM21" i="8"/>
  <c r="LN21" i="8" s="1"/>
  <c r="LM25" i="8"/>
  <c r="LN25" i="8" s="1"/>
  <c r="LM41" i="8"/>
  <c r="LN41" i="8" s="1"/>
  <c r="LM39" i="8"/>
  <c r="LN39" i="8" s="1"/>
  <c r="LM22" i="8"/>
  <c r="LN22" i="8" s="1"/>
  <c r="LM23" i="8"/>
  <c r="LN23" i="8" s="1"/>
  <c r="LM49" i="8"/>
  <c r="LN49" i="8" s="1"/>
  <c r="LM53" i="8"/>
  <c r="LN53" i="8" s="1"/>
  <c r="LM54" i="8"/>
  <c r="LN54" i="8" s="1"/>
  <c r="LM3" i="8"/>
  <c r="LN3" i="8" s="1"/>
  <c r="LO3" i="8" s="1"/>
  <c r="LM4" i="8"/>
  <c r="LN4" i="8" s="1"/>
  <c r="LM16" i="8"/>
  <c r="LN16" i="8" s="1"/>
  <c r="LM50" i="8"/>
  <c r="LN50" i="8" s="1"/>
  <c r="LM48" i="8"/>
  <c r="LN48" i="8" s="1"/>
  <c r="LM30" i="8"/>
  <c r="LN30" i="8" s="1"/>
  <c r="LM11" i="8"/>
  <c r="LN11" i="8" s="1"/>
  <c r="LM55" i="8"/>
  <c r="LN55" i="8" s="1"/>
  <c r="LM20" i="8"/>
  <c r="LN20" i="8" s="1"/>
  <c r="LM15" i="8"/>
  <c r="LN15" i="8" s="1"/>
  <c r="LM14" i="8"/>
  <c r="LN14" i="8" s="1"/>
  <c r="LM46" i="8"/>
  <c r="LN46" i="8" s="1"/>
  <c r="LM18" i="8"/>
  <c r="LN18" i="8" s="1"/>
  <c r="LM47" i="8"/>
  <c r="LN47" i="8" s="1"/>
  <c r="LM34" i="8"/>
  <c r="LN34" i="8" s="1"/>
  <c r="J53" i="8"/>
  <c r="K53" i="8" s="1"/>
  <c r="KX31" i="8"/>
  <c r="KY31" i="8" s="1"/>
  <c r="KX28" i="8"/>
  <c r="KY28" i="8" s="1"/>
  <c r="KX13" i="8"/>
  <c r="KY13" i="8" s="1"/>
  <c r="KX26" i="8"/>
  <c r="KY26" i="8" s="1"/>
  <c r="KX19" i="8"/>
  <c r="KY19" i="8" s="1"/>
  <c r="KX16" i="8"/>
  <c r="KY16" i="8" s="1"/>
  <c r="KX53" i="8"/>
  <c r="KY53" i="8" s="1"/>
  <c r="KX10" i="8"/>
  <c r="KY10" i="8" s="1"/>
  <c r="KX35" i="8"/>
  <c r="KY35" i="8" s="1"/>
  <c r="KX32" i="8"/>
  <c r="KY32" i="8" s="1"/>
  <c r="KX5" i="8"/>
  <c r="KY5" i="8" s="1"/>
  <c r="KX51" i="8"/>
  <c r="KY51" i="8" s="1"/>
  <c r="KX44" i="8"/>
  <c r="KY44" i="8" s="1"/>
  <c r="KX14" i="8"/>
  <c r="KY14" i="8" s="1"/>
  <c r="KX7" i="8"/>
  <c r="KY7" i="8" s="1"/>
  <c r="KX4" i="8"/>
  <c r="KY4" i="8" s="1"/>
  <c r="KX37" i="8"/>
  <c r="KY37" i="8" s="1"/>
  <c r="KX39" i="8"/>
  <c r="KY39" i="8" s="1"/>
  <c r="KX22" i="8"/>
  <c r="KY22" i="8" s="1"/>
  <c r="KX21" i="8"/>
  <c r="KY21" i="8" s="1"/>
  <c r="KX48" i="8"/>
  <c r="KY48" i="8" s="1"/>
  <c r="KX29" i="8"/>
  <c r="KY29" i="8" s="1"/>
  <c r="KX24" i="8"/>
  <c r="KY24" i="8" s="1"/>
  <c r="KX54" i="8"/>
  <c r="KY54" i="8" s="1"/>
  <c r="KX8" i="8"/>
  <c r="KY8" i="8" s="1"/>
  <c r="KX12" i="8"/>
  <c r="KY12" i="8" s="1"/>
  <c r="KX27" i="8"/>
  <c r="KY27" i="8" s="1"/>
  <c r="KX9" i="8"/>
  <c r="KY9" i="8" s="1"/>
  <c r="KX18" i="8"/>
  <c r="KY18" i="8" s="1"/>
  <c r="KX40" i="8"/>
  <c r="KY40" i="8" s="1"/>
  <c r="KX23" i="8"/>
  <c r="KY23" i="8" s="1"/>
  <c r="KX20" i="8"/>
  <c r="KY20" i="8" s="1"/>
  <c r="KX50" i="8"/>
  <c r="KY50" i="8" s="1"/>
  <c r="KX36" i="8"/>
  <c r="KY36" i="8" s="1"/>
  <c r="KX6" i="8"/>
  <c r="KY6" i="8" s="1"/>
  <c r="KX11" i="8"/>
  <c r="KY11" i="8" s="1"/>
  <c r="KX30" i="8"/>
  <c r="KY30" i="8" s="1"/>
  <c r="KX42" i="8"/>
  <c r="KY42" i="8" s="1"/>
  <c r="KX43" i="8"/>
  <c r="KY43" i="8" s="1"/>
  <c r="KX33" i="8"/>
  <c r="KY33" i="8" s="1"/>
  <c r="KX3" i="8"/>
  <c r="KY3" i="8" s="1"/>
  <c r="KZ3" i="8" s="1"/>
  <c r="KX25" i="8"/>
  <c r="KY25" i="8" s="1"/>
  <c r="KX46" i="8"/>
  <c r="KY46" i="8" s="1"/>
  <c r="KX15" i="8"/>
  <c r="KY15" i="8" s="1"/>
  <c r="KX55" i="8"/>
  <c r="KY55" i="8" s="1"/>
  <c r="KX41" i="8"/>
  <c r="KY41" i="8" s="1"/>
  <c r="KX34" i="8"/>
  <c r="KY34" i="8" s="1"/>
  <c r="KX47" i="8"/>
  <c r="KY47" i="8" s="1"/>
  <c r="KX45" i="8"/>
  <c r="KY45" i="8" s="1"/>
  <c r="KX38" i="8"/>
  <c r="KY38" i="8" s="1"/>
  <c r="KX52" i="8"/>
  <c r="KY52" i="8" s="1"/>
  <c r="KX17" i="8"/>
  <c r="KY17" i="8" s="1"/>
  <c r="KX49" i="8"/>
  <c r="KY49" i="8" s="1"/>
  <c r="MB38" i="8"/>
  <c r="MC38" i="8" s="1"/>
  <c r="JT34" i="8"/>
  <c r="JU34" i="8" s="1"/>
  <c r="JT43" i="8"/>
  <c r="JU43" i="8" s="1"/>
  <c r="MB9" i="8"/>
  <c r="MC9" i="8" s="1"/>
  <c r="JT25" i="8"/>
  <c r="JU25" i="8" s="1"/>
  <c r="JT14" i="8"/>
  <c r="JU14" i="8" s="1"/>
  <c r="IP50" i="8"/>
  <c r="IQ50" i="8" s="1"/>
  <c r="MB41" i="8"/>
  <c r="MC41" i="8" s="1"/>
  <c r="IP15" i="8"/>
  <c r="IQ15" i="8" s="1"/>
  <c r="IP6" i="8"/>
  <c r="IQ6" i="8" s="1"/>
  <c r="IP19" i="8"/>
  <c r="IQ19" i="8" s="1"/>
  <c r="J47" i="8"/>
  <c r="K47" i="8" s="1"/>
  <c r="IP43" i="8"/>
  <c r="IQ43" i="8" s="1"/>
  <c r="EO21" i="8"/>
  <c r="EP21" i="8" s="1"/>
  <c r="FS12" i="8"/>
  <c r="FT12" i="8" s="1"/>
  <c r="JT4" i="8"/>
  <c r="JU4" i="8" s="1"/>
  <c r="JT27" i="8"/>
  <c r="JU27" i="8" s="1"/>
  <c r="JT35" i="8"/>
  <c r="JU35" i="8" s="1"/>
  <c r="JT36" i="8"/>
  <c r="JU36" i="8" s="1"/>
  <c r="JT46" i="8"/>
  <c r="JU46" i="8" s="1"/>
  <c r="JT28" i="8"/>
  <c r="JU28" i="8" s="1"/>
  <c r="JT6" i="8"/>
  <c r="JU6" i="8" s="1"/>
  <c r="JT13" i="8"/>
  <c r="JU13" i="8" s="1"/>
  <c r="JT53" i="8"/>
  <c r="JU53" i="8" s="1"/>
  <c r="JT5" i="8"/>
  <c r="JU5" i="8" s="1"/>
  <c r="JT48" i="8"/>
  <c r="JU48" i="8" s="1"/>
  <c r="JT3" i="8"/>
  <c r="JU3" i="8" s="1"/>
  <c r="JV3" i="8" s="1"/>
  <c r="JT8" i="8"/>
  <c r="JU8" i="8" s="1"/>
  <c r="JT24" i="8"/>
  <c r="JU24" i="8" s="1"/>
  <c r="JT32" i="8"/>
  <c r="JU32" i="8" s="1"/>
  <c r="JT7" i="8"/>
  <c r="JU7" i="8" s="1"/>
  <c r="JT44" i="8"/>
  <c r="JU44" i="8" s="1"/>
  <c r="JT23" i="8"/>
  <c r="JU23" i="8" s="1"/>
  <c r="JT33" i="8"/>
  <c r="JU33" i="8" s="1"/>
  <c r="JT31" i="8"/>
  <c r="JU31" i="8" s="1"/>
  <c r="JT10" i="8"/>
  <c r="JU10" i="8" s="1"/>
  <c r="MB46" i="8"/>
  <c r="MC46" i="8" s="1"/>
  <c r="MB40" i="8"/>
  <c r="MC40" i="8" s="1"/>
  <c r="MB15" i="8"/>
  <c r="MC15" i="8" s="1"/>
  <c r="MB55" i="8"/>
  <c r="MC55" i="8" s="1"/>
  <c r="MB16" i="8"/>
  <c r="MC16" i="8" s="1"/>
  <c r="MB21" i="8"/>
  <c r="MC21" i="8" s="1"/>
  <c r="MB47" i="8"/>
  <c r="MC47" i="8" s="1"/>
  <c r="MB48" i="8"/>
  <c r="MC48" i="8" s="1"/>
  <c r="MB50" i="8"/>
  <c r="MC50" i="8" s="1"/>
  <c r="MB44" i="8"/>
  <c r="MC44" i="8" s="1"/>
  <c r="MB3" i="8"/>
  <c r="MC3" i="8" s="1"/>
  <c r="MD3" i="8" s="1"/>
  <c r="MB36" i="8"/>
  <c r="MC36" i="8" s="1"/>
  <c r="MB27" i="8"/>
  <c r="MC27" i="8" s="1"/>
  <c r="MB8" i="8"/>
  <c r="MC8" i="8" s="1"/>
  <c r="MB14" i="8"/>
  <c r="MC14" i="8" s="1"/>
  <c r="MB6" i="8"/>
  <c r="MC6" i="8" s="1"/>
  <c r="MB29" i="8"/>
  <c r="MC29" i="8" s="1"/>
  <c r="MB11" i="8"/>
  <c r="MC11" i="8" s="1"/>
  <c r="MB32" i="8"/>
  <c r="MC32" i="8" s="1"/>
  <c r="MB19" i="8"/>
  <c r="MC19" i="8" s="1"/>
  <c r="J19" i="8"/>
  <c r="K19" i="8" s="1"/>
  <c r="J11" i="8"/>
  <c r="K11" i="8" s="1"/>
  <c r="J51" i="8"/>
  <c r="K51" i="8" s="1"/>
  <c r="J12" i="8"/>
  <c r="K12" i="8" s="1"/>
  <c r="JE41" i="8"/>
  <c r="JF41" i="8" s="1"/>
  <c r="JE26" i="8"/>
  <c r="JF26" i="8" s="1"/>
  <c r="JE40" i="8"/>
  <c r="JF40" i="8" s="1"/>
  <c r="JE12" i="8"/>
  <c r="JF12" i="8" s="1"/>
  <c r="JE42" i="8"/>
  <c r="JF42" i="8" s="1"/>
  <c r="JE14" i="8"/>
  <c r="JF14" i="8" s="1"/>
  <c r="JE28" i="8"/>
  <c r="JF28" i="8" s="1"/>
  <c r="JE21" i="8"/>
  <c r="JF21" i="8" s="1"/>
  <c r="JE51" i="8"/>
  <c r="JF51" i="8" s="1"/>
  <c r="JE44" i="8"/>
  <c r="JF44" i="8" s="1"/>
  <c r="JE29" i="8"/>
  <c r="JF29" i="8" s="1"/>
  <c r="JE46" i="8"/>
  <c r="JF46" i="8" s="1"/>
  <c r="JE18" i="8"/>
  <c r="JF18" i="8" s="1"/>
  <c r="JE37" i="8"/>
  <c r="JF37" i="8" s="1"/>
  <c r="JE30" i="8"/>
  <c r="JF30" i="8" s="1"/>
  <c r="JE23" i="8"/>
  <c r="JF23" i="8" s="1"/>
  <c r="JE16" i="8"/>
  <c r="JF16" i="8" s="1"/>
  <c r="JE53" i="8"/>
  <c r="JF53" i="8" s="1"/>
  <c r="JE50" i="8"/>
  <c r="JF50" i="8" s="1"/>
  <c r="JE11" i="8"/>
  <c r="JF11" i="8" s="1"/>
  <c r="JE32" i="8"/>
  <c r="JF32" i="8" s="1"/>
  <c r="JE25" i="8"/>
  <c r="JF25" i="8" s="1"/>
  <c r="JE55" i="8"/>
  <c r="JF55" i="8" s="1"/>
  <c r="JE27" i="8"/>
  <c r="JF27" i="8" s="1"/>
  <c r="JE20" i="8"/>
  <c r="JF20" i="8" s="1"/>
  <c r="JE9" i="8"/>
  <c r="JF9" i="8" s="1"/>
  <c r="JE54" i="8"/>
  <c r="JF54" i="8" s="1"/>
  <c r="JE15" i="8"/>
  <c r="JF15" i="8" s="1"/>
  <c r="JE5" i="8"/>
  <c r="JF5" i="8" s="1"/>
  <c r="JE52" i="8"/>
  <c r="JF52" i="8" s="1"/>
  <c r="JE45" i="8"/>
  <c r="JF45" i="8" s="1"/>
  <c r="JE47" i="8"/>
  <c r="JF47" i="8" s="1"/>
  <c r="JE38" i="8"/>
  <c r="JF38" i="8" s="1"/>
  <c r="JE35" i="8"/>
  <c r="JF35" i="8" s="1"/>
  <c r="JE8" i="8"/>
  <c r="JF8" i="8" s="1"/>
  <c r="JE13" i="8"/>
  <c r="JF13" i="8" s="1"/>
  <c r="JE43" i="8"/>
  <c r="JF43" i="8" s="1"/>
  <c r="JE4" i="8"/>
  <c r="JF4" i="8" s="1"/>
  <c r="JE48" i="8"/>
  <c r="JF48" i="8" s="1"/>
  <c r="JE24" i="8"/>
  <c r="JF24" i="8" s="1"/>
  <c r="JE36" i="8"/>
  <c r="JF36" i="8" s="1"/>
  <c r="JE19" i="8"/>
  <c r="JF19" i="8" s="1"/>
  <c r="JE10" i="8"/>
  <c r="JF10" i="8" s="1"/>
  <c r="JE17" i="8"/>
  <c r="JF17" i="8" s="1"/>
  <c r="JE34" i="8"/>
  <c r="JF34" i="8" s="1"/>
  <c r="JE33" i="8"/>
  <c r="JF33" i="8" s="1"/>
  <c r="JE7" i="8"/>
  <c r="JF7" i="8" s="1"/>
  <c r="JE6" i="8"/>
  <c r="JF6" i="8" s="1"/>
  <c r="JE31" i="8"/>
  <c r="JF31" i="8" s="1"/>
  <c r="JE39" i="8"/>
  <c r="JF39" i="8" s="1"/>
  <c r="JE22" i="8"/>
  <c r="JF22" i="8" s="1"/>
  <c r="JE49" i="8"/>
  <c r="JF49" i="8" s="1"/>
  <c r="JE3" i="8"/>
  <c r="JF3" i="8" s="1"/>
  <c r="JG3" i="8" s="1"/>
  <c r="J36" i="8"/>
  <c r="K36" i="8" s="1"/>
  <c r="JT55" i="8"/>
  <c r="JU55" i="8" s="1"/>
  <c r="IP9" i="8"/>
  <c r="IQ9" i="8" s="1"/>
  <c r="JT9" i="8"/>
  <c r="JU9" i="8" s="1"/>
  <c r="JT26" i="8"/>
  <c r="JU26" i="8" s="1"/>
  <c r="NF13" i="8"/>
  <c r="NG13" i="8" s="1"/>
  <c r="JT42" i="8"/>
  <c r="JU42" i="8" s="1"/>
  <c r="JT41" i="8"/>
  <c r="JU41" i="8" s="1"/>
  <c r="JT52" i="8"/>
  <c r="JU52" i="8" s="1"/>
  <c r="IP21" i="8"/>
  <c r="IQ21" i="8" s="1"/>
  <c r="MB28" i="8"/>
  <c r="MC28" i="8" s="1"/>
  <c r="IP42" i="8"/>
  <c r="IQ42" i="8" s="1"/>
  <c r="IP30" i="8"/>
  <c r="IQ30" i="8" s="1"/>
  <c r="IP25" i="8"/>
  <c r="IQ25" i="8" s="1"/>
  <c r="IP5" i="8"/>
  <c r="IQ5" i="8" s="1"/>
  <c r="IP36" i="8"/>
  <c r="IQ36" i="8" s="1"/>
  <c r="J15" i="8"/>
  <c r="K15" i="8" s="1"/>
  <c r="MB7" i="8"/>
  <c r="MC7" i="8" s="1"/>
  <c r="IP33" i="8"/>
  <c r="IQ33" i="8" s="1"/>
  <c r="AN5" i="8"/>
  <c r="AO5" i="8" s="1"/>
  <c r="J5" i="8"/>
  <c r="K5" i="8" s="1"/>
  <c r="J55" i="8"/>
  <c r="K55" i="8" s="1"/>
  <c r="J42" i="8"/>
  <c r="K42" i="8" s="1"/>
  <c r="J48" i="8"/>
  <c r="K48" i="8" s="1"/>
  <c r="J44" i="8"/>
  <c r="K44" i="8" s="1"/>
  <c r="JT38" i="8"/>
  <c r="JU38" i="8" s="1"/>
  <c r="IP7" i="8"/>
  <c r="IQ7" i="8" s="1"/>
  <c r="MB20" i="8"/>
  <c r="MC20" i="8" s="1"/>
  <c r="JT45" i="8"/>
  <c r="JU45" i="8" s="1"/>
  <c r="NF44" i="8"/>
  <c r="NG44" i="8" s="1"/>
  <c r="JT37" i="8"/>
  <c r="JU37" i="8" s="1"/>
  <c r="JT12" i="8"/>
  <c r="JU12" i="8" s="1"/>
  <c r="MB18" i="8"/>
  <c r="MC18" i="8" s="1"/>
  <c r="IP49" i="8"/>
  <c r="IQ49" i="8" s="1"/>
  <c r="MB52" i="8"/>
  <c r="MC52" i="8" s="1"/>
  <c r="IP47" i="8"/>
  <c r="IQ47" i="8" s="1"/>
  <c r="IP3" i="8"/>
  <c r="IQ3" i="8" s="1"/>
  <c r="IR3" i="8" s="1"/>
  <c r="IP11" i="8"/>
  <c r="IQ11" i="8" s="1"/>
  <c r="IP51" i="8"/>
  <c r="IQ51" i="8" s="1"/>
  <c r="IP29" i="8"/>
  <c r="IQ29" i="8" s="1"/>
  <c r="J13" i="8"/>
  <c r="K13" i="8" s="1"/>
  <c r="MB53" i="8"/>
  <c r="MC53" i="8" s="1"/>
  <c r="GH53" i="8"/>
  <c r="GI53" i="8" s="1"/>
  <c r="IA50" i="8"/>
  <c r="IB50" i="8" s="1"/>
  <c r="J41" i="8"/>
  <c r="K41" i="8" s="1"/>
  <c r="J22" i="8"/>
  <c r="K22" i="8" s="1"/>
  <c r="J9" i="8"/>
  <c r="K9" i="8" s="1"/>
  <c r="J43" i="8"/>
  <c r="K43" i="8" s="1"/>
  <c r="JT49" i="8"/>
  <c r="JU49" i="8" s="1"/>
  <c r="IP45" i="8"/>
  <c r="IQ45" i="8" s="1"/>
  <c r="MB39" i="8"/>
  <c r="MC39" i="8" s="1"/>
  <c r="JT20" i="8"/>
  <c r="JU20" i="8" s="1"/>
  <c r="NF27" i="8"/>
  <c r="NG27" i="8" s="1"/>
  <c r="JT40" i="8"/>
  <c r="JU40" i="8" s="1"/>
  <c r="JT19" i="8"/>
  <c r="JU19" i="8" s="1"/>
  <c r="MB54" i="8"/>
  <c r="MC54" i="8" s="1"/>
  <c r="IP28" i="8"/>
  <c r="IQ28" i="8" s="1"/>
  <c r="MB5" i="8"/>
  <c r="MC5" i="8" s="1"/>
  <c r="IP23" i="8"/>
  <c r="IQ23" i="8" s="1"/>
  <c r="IP13" i="8"/>
  <c r="IQ13" i="8" s="1"/>
  <c r="IP39" i="8"/>
  <c r="IQ39" i="8" s="1"/>
  <c r="IP24" i="8"/>
  <c r="IQ24" i="8" s="1"/>
  <c r="IP48" i="8"/>
  <c r="IQ48" i="8" s="1"/>
  <c r="Y31" i="8"/>
  <c r="Z31" i="8" s="1"/>
  <c r="GH12" i="8"/>
  <c r="GI12" i="8" s="1"/>
  <c r="IA37" i="8"/>
  <c r="IB37" i="8" s="1"/>
  <c r="J40" i="8"/>
  <c r="K40" i="8" s="1"/>
  <c r="J16" i="8"/>
  <c r="K16" i="8" s="1"/>
  <c r="J45" i="8"/>
  <c r="K45" i="8" s="1"/>
  <c r="J34" i="8"/>
  <c r="K34" i="8" s="1"/>
  <c r="J6" i="8"/>
  <c r="K6" i="8" s="1"/>
  <c r="J24" i="8"/>
  <c r="K24" i="8" s="1"/>
  <c r="JT39" i="8"/>
  <c r="JU39" i="8" s="1"/>
  <c r="IP32" i="8"/>
  <c r="IQ32" i="8" s="1"/>
  <c r="MB26" i="8"/>
  <c r="MC26" i="8" s="1"/>
  <c r="JT18" i="8"/>
  <c r="JU18" i="8" s="1"/>
  <c r="NF55" i="8"/>
  <c r="NG55" i="8" s="1"/>
  <c r="JT51" i="8"/>
  <c r="JU51" i="8" s="1"/>
  <c r="JT47" i="8"/>
  <c r="JU47" i="8" s="1"/>
  <c r="MB4" i="8"/>
  <c r="MC4" i="8" s="1"/>
  <c r="MB42" i="8"/>
  <c r="MC42" i="8" s="1"/>
  <c r="MB12" i="8"/>
  <c r="MC12" i="8" s="1"/>
  <c r="IP16" i="8"/>
  <c r="IQ16" i="8" s="1"/>
  <c r="IP4" i="8"/>
  <c r="IQ4" i="8" s="1"/>
  <c r="IP18" i="8"/>
  <c r="IQ18" i="8" s="1"/>
  <c r="IP31" i="8"/>
  <c r="IQ31" i="8" s="1"/>
  <c r="JT11" i="8"/>
  <c r="JU11" i="8" s="1"/>
  <c r="AN17" i="8"/>
  <c r="AO17" i="8" s="1"/>
  <c r="FS10" i="8"/>
  <c r="FT10" i="8" s="1"/>
  <c r="FS28" i="8"/>
  <c r="FT28" i="8" s="1"/>
  <c r="GH20" i="8"/>
  <c r="GI20" i="8" s="1"/>
  <c r="GH49" i="8"/>
  <c r="GI49" i="8" s="1"/>
  <c r="GH8" i="8"/>
  <c r="GI8" i="8" s="1"/>
  <c r="GH9" i="8"/>
  <c r="GI9" i="8" s="1"/>
  <c r="EO36" i="8"/>
  <c r="EP36" i="8" s="1"/>
  <c r="HL10" i="8"/>
  <c r="HM10" i="8" s="1"/>
  <c r="HL32" i="8"/>
  <c r="HM32" i="8" s="1"/>
  <c r="HL13" i="8"/>
  <c r="HM13" i="8" s="1"/>
  <c r="HL41" i="8"/>
  <c r="HM41" i="8" s="1"/>
  <c r="HL6" i="8"/>
  <c r="HM6" i="8" s="1"/>
  <c r="EO20" i="8"/>
  <c r="EP20" i="8" s="1"/>
  <c r="GW15" i="8"/>
  <c r="GX15" i="8" s="1"/>
  <c r="GW28" i="8"/>
  <c r="GX28" i="8" s="1"/>
  <c r="GW8" i="8"/>
  <c r="GX8" i="8" s="1"/>
  <c r="GW12" i="8"/>
  <c r="GX12" i="8" s="1"/>
  <c r="EO55" i="8"/>
  <c r="EP55" i="8" s="1"/>
  <c r="EO24" i="8"/>
  <c r="EP24" i="8" s="1"/>
  <c r="EO47" i="8"/>
  <c r="EP47" i="8" s="1"/>
  <c r="EO35" i="8"/>
  <c r="EP35" i="8" s="1"/>
  <c r="EO15" i="8"/>
  <c r="EP15" i="8" s="1"/>
  <c r="GW35" i="8"/>
  <c r="GX35" i="8" s="1"/>
  <c r="GW3" i="8"/>
  <c r="GX3" i="8" s="1"/>
  <c r="GY3" i="8" s="1"/>
  <c r="GW49" i="8"/>
  <c r="GX49" i="8" s="1"/>
  <c r="GW30" i="8"/>
  <c r="GX30" i="8" s="1"/>
  <c r="GW54" i="8"/>
  <c r="GX54" i="8" s="1"/>
  <c r="GW47" i="8"/>
  <c r="GX47" i="8" s="1"/>
  <c r="GW42" i="8"/>
  <c r="GX42" i="8" s="1"/>
  <c r="GW51" i="8"/>
  <c r="GX51" i="8" s="1"/>
  <c r="GW21" i="8"/>
  <c r="GX21" i="8" s="1"/>
  <c r="GW9" i="8"/>
  <c r="GX9" i="8" s="1"/>
  <c r="GW20" i="8"/>
  <c r="GX20" i="8" s="1"/>
  <c r="GW29" i="8"/>
  <c r="GX29" i="8" s="1"/>
  <c r="GW6" i="8"/>
  <c r="GX6" i="8" s="1"/>
  <c r="GW5" i="8"/>
  <c r="GX5" i="8" s="1"/>
  <c r="IA22" i="8"/>
  <c r="IB22" i="8" s="1"/>
  <c r="FS15" i="8"/>
  <c r="FT15" i="8" s="1"/>
  <c r="GH45" i="8"/>
  <c r="GI45" i="8" s="1"/>
  <c r="GH5" i="8"/>
  <c r="GI5" i="8" s="1"/>
  <c r="GH15" i="8"/>
  <c r="GI15" i="8" s="1"/>
  <c r="GH38" i="8"/>
  <c r="GI38" i="8" s="1"/>
  <c r="HL38" i="8"/>
  <c r="HM38" i="8" s="1"/>
  <c r="HL11" i="8"/>
  <c r="HM11" i="8" s="1"/>
  <c r="HL50" i="8"/>
  <c r="HM50" i="8" s="1"/>
  <c r="HL8" i="8"/>
  <c r="HM8" i="8" s="1"/>
  <c r="HL45" i="8"/>
  <c r="HM45" i="8" s="1"/>
  <c r="GW50" i="8"/>
  <c r="GX50" i="8" s="1"/>
  <c r="GW37" i="8"/>
  <c r="GX37" i="8" s="1"/>
  <c r="GW10" i="8"/>
  <c r="GX10" i="8" s="1"/>
  <c r="GW16" i="8"/>
  <c r="GX16" i="8" s="1"/>
  <c r="GW39" i="8"/>
  <c r="GX39" i="8" s="1"/>
  <c r="EO33" i="8"/>
  <c r="EP33" i="8" s="1"/>
  <c r="EO37" i="8"/>
  <c r="EP37" i="8" s="1"/>
  <c r="EO12" i="8"/>
  <c r="EP12" i="8" s="1"/>
  <c r="EO52" i="8"/>
  <c r="EP52" i="8" s="1"/>
  <c r="FS3" i="8"/>
  <c r="FT3" i="8" s="1"/>
  <c r="FU3" i="8" s="1"/>
  <c r="FS30" i="8"/>
  <c r="FT30" i="8" s="1"/>
  <c r="FS52" i="8"/>
  <c r="FT52" i="8" s="1"/>
  <c r="FS33" i="8"/>
  <c r="FT33" i="8" s="1"/>
  <c r="FS41" i="8"/>
  <c r="FT41" i="8" s="1"/>
  <c r="FS43" i="8"/>
  <c r="FT43" i="8" s="1"/>
  <c r="FS4" i="8"/>
  <c r="FT4" i="8" s="1"/>
  <c r="FS35" i="8"/>
  <c r="FT35" i="8" s="1"/>
  <c r="FS38" i="8"/>
  <c r="FT38" i="8" s="1"/>
  <c r="FS23" i="8"/>
  <c r="FT23" i="8" s="1"/>
  <c r="FS17" i="8"/>
  <c r="FT17" i="8" s="1"/>
  <c r="FS48" i="8"/>
  <c r="FT48" i="8" s="1"/>
  <c r="FS25" i="8"/>
  <c r="FT25" i="8" s="1"/>
  <c r="FS16" i="8"/>
  <c r="FT16" i="8" s="1"/>
  <c r="FS44" i="8"/>
  <c r="FT44" i="8" s="1"/>
  <c r="FS13" i="8"/>
  <c r="FT13" i="8" s="1"/>
  <c r="FS22" i="8"/>
  <c r="FT22" i="8" s="1"/>
  <c r="FS7" i="8"/>
  <c r="FT7" i="8" s="1"/>
  <c r="FS46" i="8"/>
  <c r="FT46" i="8" s="1"/>
  <c r="FS8" i="8"/>
  <c r="FT8" i="8" s="1"/>
  <c r="FS54" i="8"/>
  <c r="FT54" i="8" s="1"/>
  <c r="FS39" i="8"/>
  <c r="FT39" i="8" s="1"/>
  <c r="FS51" i="8"/>
  <c r="FT51" i="8" s="1"/>
  <c r="FS45" i="8"/>
  <c r="FT45" i="8" s="1"/>
  <c r="FS36" i="8"/>
  <c r="FT36" i="8" s="1"/>
  <c r="FS31" i="8"/>
  <c r="FT31" i="8" s="1"/>
  <c r="FS47" i="8"/>
  <c r="FT47" i="8" s="1"/>
  <c r="FS21" i="8"/>
  <c r="FT21" i="8" s="1"/>
  <c r="FS18" i="8"/>
  <c r="FT18" i="8" s="1"/>
  <c r="FS27" i="8"/>
  <c r="FT27" i="8" s="1"/>
  <c r="FS37" i="8"/>
  <c r="FT37" i="8" s="1"/>
  <c r="FS53" i="8"/>
  <c r="FT53" i="8" s="1"/>
  <c r="FS20" i="8"/>
  <c r="FT20" i="8" s="1"/>
  <c r="FS6" i="8"/>
  <c r="FT6" i="8" s="1"/>
  <c r="FS29" i="8"/>
  <c r="FT29" i="8" s="1"/>
  <c r="FS19" i="8"/>
  <c r="FT19" i="8" s="1"/>
  <c r="FS5" i="8"/>
  <c r="FT5" i="8" s="1"/>
  <c r="FS32" i="8"/>
  <c r="FT32" i="8" s="1"/>
  <c r="FS55" i="8"/>
  <c r="FT55" i="8" s="1"/>
  <c r="FS9" i="8"/>
  <c r="FT9" i="8" s="1"/>
  <c r="FS40" i="8"/>
  <c r="FT40" i="8" s="1"/>
  <c r="FS34" i="8"/>
  <c r="FT34" i="8" s="1"/>
  <c r="GH25" i="8"/>
  <c r="GI25" i="8" s="1"/>
  <c r="GH24" i="8"/>
  <c r="GI24" i="8" s="1"/>
  <c r="GH6" i="8"/>
  <c r="GI6" i="8" s="1"/>
  <c r="HL36" i="8"/>
  <c r="HM36" i="8" s="1"/>
  <c r="HL33" i="8"/>
  <c r="HM33" i="8" s="1"/>
  <c r="HL39" i="8"/>
  <c r="HM39" i="8" s="1"/>
  <c r="HL37" i="8"/>
  <c r="HM37" i="8" s="1"/>
  <c r="HL19" i="8"/>
  <c r="HM19" i="8" s="1"/>
  <c r="HL31" i="8"/>
  <c r="HM31" i="8" s="1"/>
  <c r="GW11" i="8"/>
  <c r="GX11" i="8" s="1"/>
  <c r="GW18" i="8"/>
  <c r="GX18" i="8" s="1"/>
  <c r="GW40" i="8"/>
  <c r="GX40" i="8" s="1"/>
  <c r="GW48" i="8"/>
  <c r="GX48" i="8" s="1"/>
  <c r="GW46" i="8"/>
  <c r="GX46" i="8" s="1"/>
  <c r="EO25" i="8"/>
  <c r="EP25" i="8" s="1"/>
  <c r="EO48" i="8"/>
  <c r="EP48" i="8" s="1"/>
  <c r="EO10" i="8"/>
  <c r="EP10" i="8" s="1"/>
  <c r="EO22" i="8"/>
  <c r="EP22" i="8" s="1"/>
  <c r="EO32" i="8"/>
  <c r="EP32" i="8" s="1"/>
  <c r="EO43" i="8"/>
  <c r="EP43" i="8" s="1"/>
  <c r="AN41" i="8"/>
  <c r="AO41" i="8" s="1"/>
  <c r="DK15" i="8"/>
  <c r="DL15" i="8" s="1"/>
  <c r="BR5" i="8"/>
  <c r="BS5" i="8" s="1"/>
  <c r="IA9" i="8"/>
  <c r="IB9" i="8" s="1"/>
  <c r="FS14" i="8"/>
  <c r="FT14" i="8" s="1"/>
  <c r="FS26" i="8"/>
  <c r="FT26" i="8" s="1"/>
  <c r="GH31" i="8"/>
  <c r="GI31" i="8" s="1"/>
  <c r="GH55" i="8"/>
  <c r="GI55" i="8" s="1"/>
  <c r="GH51" i="8"/>
  <c r="GI51" i="8" s="1"/>
  <c r="GH41" i="8"/>
  <c r="GI41" i="8" s="1"/>
  <c r="HL3" i="8"/>
  <c r="HM3" i="8" s="1"/>
  <c r="HN3" i="8" s="1"/>
  <c r="HL16" i="8"/>
  <c r="HM16" i="8" s="1"/>
  <c r="HL35" i="8"/>
  <c r="HM35" i="8" s="1"/>
  <c r="HL28" i="8"/>
  <c r="HM28" i="8" s="1"/>
  <c r="HL29" i="8"/>
  <c r="HM29" i="8" s="1"/>
  <c r="HL30" i="8"/>
  <c r="HM30" i="8" s="1"/>
  <c r="EO9" i="8"/>
  <c r="EP9" i="8" s="1"/>
  <c r="GW22" i="8"/>
  <c r="GX22" i="8" s="1"/>
  <c r="GW23" i="8"/>
  <c r="GX23" i="8" s="1"/>
  <c r="GW26" i="8"/>
  <c r="GX26" i="8" s="1"/>
  <c r="GW31" i="8"/>
  <c r="GX31" i="8" s="1"/>
  <c r="GW34" i="8"/>
  <c r="GX34" i="8" s="1"/>
  <c r="EO53" i="8"/>
  <c r="EP53" i="8" s="1"/>
  <c r="EO11" i="8"/>
  <c r="EP11" i="8" s="1"/>
  <c r="EO31" i="8"/>
  <c r="EP31" i="8" s="1"/>
  <c r="EO5" i="8"/>
  <c r="EP5" i="8" s="1"/>
  <c r="EO30" i="8"/>
  <c r="EP30" i="8" s="1"/>
  <c r="EO18" i="8"/>
  <c r="EP18" i="8" s="1"/>
  <c r="P10" i="7"/>
  <c r="FS49" i="8"/>
  <c r="FT49" i="8" s="1"/>
  <c r="IA16" i="8"/>
  <c r="IB16" i="8" s="1"/>
  <c r="FS11" i="8"/>
  <c r="FT11" i="8" s="1"/>
  <c r="GH4" i="8"/>
  <c r="GI4" i="8" s="1"/>
  <c r="GH34" i="8"/>
  <c r="GI34" i="8" s="1"/>
  <c r="GH44" i="8"/>
  <c r="GI44" i="8" s="1"/>
  <c r="HL4" i="8"/>
  <c r="HM4" i="8" s="1"/>
  <c r="HL44" i="8"/>
  <c r="HM44" i="8" s="1"/>
  <c r="HL34" i="8"/>
  <c r="HM34" i="8" s="1"/>
  <c r="HL24" i="8"/>
  <c r="HM24" i="8" s="1"/>
  <c r="HL15" i="8"/>
  <c r="HM15" i="8" s="1"/>
  <c r="HL12" i="8"/>
  <c r="HM12" i="8" s="1"/>
  <c r="EO8" i="8"/>
  <c r="EP8" i="8" s="1"/>
  <c r="GW7" i="8"/>
  <c r="GX7" i="8" s="1"/>
  <c r="GW55" i="8"/>
  <c r="GX55" i="8" s="1"/>
  <c r="GW19" i="8"/>
  <c r="GX19" i="8" s="1"/>
  <c r="GW44" i="8"/>
  <c r="GX44" i="8" s="1"/>
  <c r="GW38" i="8"/>
  <c r="GX38" i="8" s="1"/>
  <c r="EO50" i="8"/>
  <c r="EP50" i="8" s="1"/>
  <c r="EO29" i="8"/>
  <c r="EP29" i="8" s="1"/>
  <c r="EO34" i="8"/>
  <c r="EP34" i="8" s="1"/>
  <c r="EO41" i="8"/>
  <c r="EP41" i="8" s="1"/>
  <c r="EO19" i="8"/>
  <c r="EP19" i="8" s="1"/>
  <c r="EO46" i="8"/>
  <c r="EP46" i="8" s="1"/>
  <c r="GH7" i="8"/>
  <c r="GI7" i="8" s="1"/>
  <c r="GH16" i="8"/>
  <c r="GI16" i="8" s="1"/>
  <c r="GH13" i="8"/>
  <c r="GI13" i="8" s="1"/>
  <c r="GH39" i="8"/>
  <c r="GI39" i="8" s="1"/>
  <c r="GH52" i="8"/>
  <c r="GI52" i="8" s="1"/>
  <c r="GH43" i="8"/>
  <c r="GI43" i="8" s="1"/>
  <c r="GH17" i="8"/>
  <c r="GI17" i="8" s="1"/>
  <c r="GH33" i="8"/>
  <c r="GI33" i="8" s="1"/>
  <c r="GH26" i="8"/>
  <c r="GI26" i="8" s="1"/>
  <c r="GH21" i="8"/>
  <c r="GI21" i="8" s="1"/>
  <c r="GH36" i="8"/>
  <c r="GI36" i="8" s="1"/>
  <c r="GH27" i="8"/>
  <c r="GI27" i="8" s="1"/>
  <c r="GH37" i="8"/>
  <c r="GI37" i="8" s="1"/>
  <c r="GH50" i="8"/>
  <c r="GI50" i="8" s="1"/>
  <c r="GH11" i="8"/>
  <c r="GI11" i="8" s="1"/>
  <c r="GH14" i="8"/>
  <c r="GI14" i="8" s="1"/>
  <c r="GH10" i="8"/>
  <c r="GI10" i="8" s="1"/>
  <c r="IA10" i="8"/>
  <c r="IB10" i="8" s="1"/>
  <c r="IA39" i="8"/>
  <c r="IB39" i="8" s="1"/>
  <c r="IA6" i="8"/>
  <c r="IB6" i="8" s="1"/>
  <c r="IA53" i="8"/>
  <c r="IB53" i="8" s="1"/>
  <c r="IA20" i="8"/>
  <c r="IB20" i="8" s="1"/>
  <c r="IA46" i="8"/>
  <c r="IB46" i="8" s="1"/>
  <c r="IA30" i="8"/>
  <c r="IB30" i="8" s="1"/>
  <c r="IA14" i="8"/>
  <c r="IB14" i="8" s="1"/>
  <c r="IA45" i="8"/>
  <c r="IB45" i="8" s="1"/>
  <c r="IA5" i="8"/>
  <c r="IB5" i="8" s="1"/>
  <c r="IA51" i="8"/>
  <c r="IB51" i="8" s="1"/>
  <c r="IA35" i="8"/>
  <c r="IB35" i="8" s="1"/>
  <c r="IA40" i="8"/>
  <c r="IB40" i="8" s="1"/>
  <c r="IA4" i="8"/>
  <c r="IB4" i="8" s="1"/>
  <c r="IA19" i="8"/>
  <c r="IB19" i="8" s="1"/>
  <c r="IA7" i="8"/>
  <c r="IB7" i="8" s="1"/>
  <c r="IA26" i="8"/>
  <c r="IB26" i="8" s="1"/>
  <c r="IA17" i="8"/>
  <c r="IB17" i="8" s="1"/>
  <c r="IA15" i="8"/>
  <c r="IB15" i="8" s="1"/>
  <c r="IA11" i="8"/>
  <c r="IB11" i="8" s="1"/>
  <c r="IA55" i="8"/>
  <c r="IB55" i="8" s="1"/>
  <c r="IA34" i="8"/>
  <c r="IB34" i="8" s="1"/>
  <c r="IA43" i="8"/>
  <c r="IB43" i="8" s="1"/>
  <c r="IA32" i="8"/>
  <c r="IB32" i="8" s="1"/>
  <c r="IA52" i="8"/>
  <c r="IB52" i="8" s="1"/>
  <c r="IA29" i="8"/>
  <c r="IB29" i="8" s="1"/>
  <c r="IA47" i="8"/>
  <c r="IB47" i="8" s="1"/>
  <c r="IA44" i="8"/>
  <c r="IB44" i="8" s="1"/>
  <c r="IA25" i="8"/>
  <c r="IB25" i="8" s="1"/>
  <c r="IA49" i="8"/>
  <c r="IB49" i="8" s="1"/>
  <c r="IA54" i="8"/>
  <c r="IB54" i="8" s="1"/>
  <c r="IA3" i="8"/>
  <c r="IB3" i="8" s="1"/>
  <c r="IC3" i="8" s="1"/>
  <c r="IA42" i="8"/>
  <c r="IB42" i="8" s="1"/>
  <c r="IA18" i="8"/>
  <c r="IB18" i="8" s="1"/>
  <c r="IA38" i="8"/>
  <c r="IB38" i="8" s="1"/>
  <c r="IA28" i="8"/>
  <c r="IB28" i="8" s="1"/>
  <c r="IA23" i="8"/>
  <c r="IB23" i="8" s="1"/>
  <c r="IA21" i="8"/>
  <c r="IB21" i="8" s="1"/>
  <c r="IA48" i="8"/>
  <c r="IB48" i="8" s="1"/>
  <c r="IA27" i="8"/>
  <c r="IB27" i="8" s="1"/>
  <c r="IA31" i="8"/>
  <c r="IB31" i="8" s="1"/>
  <c r="IA13" i="8"/>
  <c r="IB13" i="8" s="1"/>
  <c r="IA41" i="8"/>
  <c r="IB41" i="8" s="1"/>
  <c r="IA24" i="8"/>
  <c r="IB24" i="8" s="1"/>
  <c r="FS42" i="8"/>
  <c r="FT42" i="8" s="1"/>
  <c r="GH19" i="8"/>
  <c r="GI19" i="8" s="1"/>
  <c r="GH54" i="8"/>
  <c r="GI54" i="8" s="1"/>
  <c r="GH42" i="8"/>
  <c r="GI42" i="8" s="1"/>
  <c r="GH32" i="8"/>
  <c r="GI32" i="8" s="1"/>
  <c r="HL22" i="8"/>
  <c r="HM22" i="8" s="1"/>
  <c r="HL23" i="8"/>
  <c r="HM23" i="8" s="1"/>
  <c r="HL17" i="8"/>
  <c r="HM17" i="8" s="1"/>
  <c r="HL52" i="8"/>
  <c r="HM52" i="8" s="1"/>
  <c r="HL14" i="8"/>
  <c r="HM14" i="8" s="1"/>
  <c r="HL55" i="8"/>
  <c r="HM55" i="8" s="1"/>
  <c r="EO6" i="8"/>
  <c r="EP6" i="8" s="1"/>
  <c r="GW13" i="8"/>
  <c r="GX13" i="8" s="1"/>
  <c r="GW33" i="8"/>
  <c r="GX33" i="8" s="1"/>
  <c r="GW36" i="8"/>
  <c r="GX36" i="8" s="1"/>
  <c r="GW45" i="8"/>
  <c r="GX45" i="8" s="1"/>
  <c r="EO27" i="8"/>
  <c r="EP27" i="8" s="1"/>
  <c r="FS50" i="8"/>
  <c r="FT50" i="8" s="1"/>
  <c r="EO44" i="8"/>
  <c r="EP44" i="8" s="1"/>
  <c r="EO51" i="8"/>
  <c r="EP51" i="8" s="1"/>
  <c r="EO23" i="8"/>
  <c r="EP23" i="8" s="1"/>
  <c r="EO45" i="8"/>
  <c r="EP45" i="8" s="1"/>
  <c r="CV4" i="8"/>
  <c r="CW4" i="8" s="1"/>
  <c r="IA12" i="8"/>
  <c r="IB12" i="8" s="1"/>
  <c r="IA8" i="8"/>
  <c r="IB8" i="8" s="1"/>
  <c r="IA36" i="8"/>
  <c r="IB36" i="8" s="1"/>
  <c r="GH3" i="8"/>
  <c r="GI3" i="8" s="1"/>
  <c r="GJ3" i="8" s="1"/>
  <c r="GH35" i="8"/>
  <c r="GI35" i="8" s="1"/>
  <c r="GH46" i="8"/>
  <c r="GI46" i="8" s="1"/>
  <c r="GH29" i="8"/>
  <c r="GI29" i="8" s="1"/>
  <c r="HL47" i="8"/>
  <c r="HM47" i="8" s="1"/>
  <c r="HL53" i="8"/>
  <c r="HM53" i="8" s="1"/>
  <c r="HL49" i="8"/>
  <c r="HM49" i="8" s="1"/>
  <c r="HL9" i="8"/>
  <c r="HM9" i="8" s="1"/>
  <c r="EO39" i="8"/>
  <c r="EP39" i="8" s="1"/>
  <c r="GW24" i="8"/>
  <c r="GX24" i="8" s="1"/>
  <c r="GW14" i="8"/>
  <c r="GX14" i="8" s="1"/>
  <c r="GW17" i="8"/>
  <c r="GX17" i="8" s="1"/>
  <c r="GW25" i="8"/>
  <c r="GX25" i="8" s="1"/>
  <c r="GW43" i="8"/>
  <c r="GX43" i="8" s="1"/>
  <c r="GH22" i="8"/>
  <c r="GI22" i="8" s="1"/>
  <c r="EO17" i="8"/>
  <c r="EP17" i="8" s="1"/>
  <c r="EO40" i="8"/>
  <c r="EP40" i="8" s="1"/>
  <c r="EO14" i="8"/>
  <c r="EP14" i="8" s="1"/>
  <c r="EO3" i="8"/>
  <c r="EP3" i="8" s="1"/>
  <c r="EQ3" i="8" s="1"/>
  <c r="HL27" i="8"/>
  <c r="HM27" i="8" s="1"/>
  <c r="HL42" i="8"/>
  <c r="HM42" i="8" s="1"/>
  <c r="HL48" i="8"/>
  <c r="HM48" i="8" s="1"/>
  <c r="HL46" i="8"/>
  <c r="HM46" i="8" s="1"/>
  <c r="HL20" i="8"/>
  <c r="HM20" i="8" s="1"/>
  <c r="HL18" i="8"/>
  <c r="HM18" i="8" s="1"/>
  <c r="HL26" i="8"/>
  <c r="HM26" i="8" s="1"/>
  <c r="HL25" i="8"/>
  <c r="HM25" i="8" s="1"/>
  <c r="HL54" i="8"/>
  <c r="HM54" i="8" s="1"/>
  <c r="EO13" i="8"/>
  <c r="EP13" i="8" s="1"/>
  <c r="EO49" i="8"/>
  <c r="EP49" i="8" s="1"/>
  <c r="EO42" i="8"/>
  <c r="EP42" i="8" s="1"/>
  <c r="FS24" i="8"/>
  <c r="FT24" i="8" s="1"/>
  <c r="GH47" i="8"/>
  <c r="GI47" i="8" s="1"/>
  <c r="GH30" i="8"/>
  <c r="GI30" i="8" s="1"/>
  <c r="GH48" i="8"/>
  <c r="GI48" i="8" s="1"/>
  <c r="GH23" i="8"/>
  <c r="GI23" i="8" s="1"/>
  <c r="GH28" i="8"/>
  <c r="GI28" i="8" s="1"/>
  <c r="HL43" i="8"/>
  <c r="HM43" i="8" s="1"/>
  <c r="HL51" i="8"/>
  <c r="HM51" i="8" s="1"/>
  <c r="HL40" i="8"/>
  <c r="HM40" i="8" s="1"/>
  <c r="HL5" i="8"/>
  <c r="HM5" i="8" s="1"/>
  <c r="HL7" i="8"/>
  <c r="HM7" i="8" s="1"/>
  <c r="EO26" i="8"/>
  <c r="EP26" i="8" s="1"/>
  <c r="GW32" i="8"/>
  <c r="GX32" i="8" s="1"/>
  <c r="GW4" i="8"/>
  <c r="GX4" i="8" s="1"/>
  <c r="GW27" i="8"/>
  <c r="GX27" i="8" s="1"/>
  <c r="GW53" i="8"/>
  <c r="GX53" i="8" s="1"/>
  <c r="GW52" i="8"/>
  <c r="GX52" i="8" s="1"/>
  <c r="GH40" i="8"/>
  <c r="GI40" i="8" s="1"/>
  <c r="EO16" i="8"/>
  <c r="EP16" i="8" s="1"/>
  <c r="EO38" i="8"/>
  <c r="EP38" i="8" s="1"/>
  <c r="EO28" i="8"/>
  <c r="EP28" i="8" s="1"/>
  <c r="EO4" i="8"/>
  <c r="EP4" i="8" s="1"/>
  <c r="EO7" i="8"/>
  <c r="EP7" i="8" s="1"/>
  <c r="GH18" i="8"/>
  <c r="GI18" i="8" s="1"/>
  <c r="X7" i="3"/>
  <c r="Z7" i="3" s="1"/>
  <c r="W9" i="3"/>
  <c r="FD11" i="8"/>
  <c r="FE11" i="8" s="1"/>
  <c r="FD51" i="8"/>
  <c r="FE51" i="8" s="1"/>
  <c r="FD16" i="8"/>
  <c r="FE16" i="8" s="1"/>
  <c r="FD46" i="8"/>
  <c r="FE46" i="8" s="1"/>
  <c r="FD10" i="8"/>
  <c r="FE10" i="8" s="1"/>
  <c r="FD37" i="8"/>
  <c r="FE37" i="8" s="1"/>
  <c r="FD4" i="8"/>
  <c r="FE4" i="8" s="1"/>
  <c r="FD48" i="8"/>
  <c r="FE48" i="8" s="1"/>
  <c r="FD49" i="8"/>
  <c r="FE49" i="8" s="1"/>
  <c r="FD39" i="8"/>
  <c r="FE39" i="8" s="1"/>
  <c r="FD23" i="8"/>
  <c r="FE23" i="8" s="1"/>
  <c r="FD20" i="8"/>
  <c r="FE20" i="8" s="1"/>
  <c r="FD43" i="8"/>
  <c r="FE43" i="8" s="1"/>
  <c r="FD29" i="8"/>
  <c r="FE29" i="8" s="1"/>
  <c r="FD50" i="8"/>
  <c r="FE50" i="8" s="1"/>
  <c r="FD7" i="8"/>
  <c r="FE7" i="8" s="1"/>
  <c r="FD26" i="8"/>
  <c r="FE26" i="8" s="1"/>
  <c r="FD31" i="8"/>
  <c r="FE31" i="8" s="1"/>
  <c r="FD3" i="8"/>
  <c r="FE3" i="8" s="1"/>
  <c r="FF3" i="8" s="1"/>
  <c r="FD12" i="8"/>
  <c r="FE12" i="8" s="1"/>
  <c r="FD32" i="8"/>
  <c r="FE32" i="8" s="1"/>
  <c r="FD55" i="8"/>
  <c r="FE55" i="8" s="1"/>
  <c r="FD22" i="8"/>
  <c r="FE22" i="8" s="1"/>
  <c r="FD36" i="8"/>
  <c r="FE36" i="8" s="1"/>
  <c r="FD42" i="8"/>
  <c r="FE42" i="8" s="1"/>
  <c r="FD18" i="8"/>
  <c r="FE18" i="8" s="1"/>
  <c r="FD25" i="8"/>
  <c r="FE25" i="8" s="1"/>
  <c r="FD24" i="8"/>
  <c r="FE24" i="8" s="1"/>
  <c r="FD6" i="8"/>
  <c r="FE6" i="8" s="1"/>
  <c r="FD52" i="8"/>
  <c r="FE52" i="8" s="1"/>
  <c r="FD13" i="8"/>
  <c r="FE13" i="8" s="1"/>
  <c r="FD44" i="8"/>
  <c r="FE44" i="8" s="1"/>
  <c r="FD41" i="8"/>
  <c r="FE41" i="8" s="1"/>
  <c r="FD8" i="8"/>
  <c r="FE8" i="8" s="1"/>
  <c r="FD47" i="8"/>
  <c r="FE47" i="8" s="1"/>
  <c r="FD19" i="8"/>
  <c r="FE19" i="8" s="1"/>
  <c r="FD53" i="8"/>
  <c r="FE53" i="8" s="1"/>
  <c r="FD15" i="8"/>
  <c r="FE15" i="8" s="1"/>
  <c r="FD34" i="8"/>
  <c r="FE34" i="8" s="1"/>
  <c r="FD9" i="8"/>
  <c r="FE9" i="8" s="1"/>
  <c r="FD35" i="8"/>
  <c r="FE35" i="8" s="1"/>
  <c r="FD45" i="8"/>
  <c r="FE45" i="8" s="1"/>
  <c r="FD14" i="8"/>
  <c r="FE14" i="8" s="1"/>
  <c r="FD30" i="8"/>
  <c r="FE30" i="8" s="1"/>
  <c r="FD40" i="8"/>
  <c r="FE40" i="8" s="1"/>
  <c r="FD5" i="8"/>
  <c r="FE5" i="8" s="1"/>
  <c r="FD38" i="8"/>
  <c r="FE38" i="8" s="1"/>
  <c r="FD33" i="8"/>
  <c r="FE33" i="8" s="1"/>
  <c r="FD28" i="8"/>
  <c r="FE28" i="8" s="1"/>
  <c r="FD27" i="8"/>
  <c r="FE27" i="8" s="1"/>
  <c r="FD17" i="8"/>
  <c r="FE17" i="8" s="1"/>
  <c r="FD21" i="8"/>
  <c r="FE21" i="8" s="1"/>
  <c r="FD54" i="8"/>
  <c r="FE54" i="8" s="1"/>
  <c r="DK49" i="8"/>
  <c r="DL49" i="8" s="1"/>
  <c r="DK4" i="8"/>
  <c r="DL4" i="8" s="1"/>
  <c r="DK33" i="8"/>
  <c r="DL33" i="8" s="1"/>
  <c r="DK5" i="8"/>
  <c r="DL5" i="8" s="1"/>
  <c r="CV35" i="8"/>
  <c r="CW35" i="8" s="1"/>
  <c r="CV29" i="8"/>
  <c r="CW29" i="8" s="1"/>
  <c r="CV14" i="8"/>
  <c r="CW14" i="8" s="1"/>
  <c r="CV39" i="8"/>
  <c r="CW39" i="8" s="1"/>
  <c r="CV46" i="8"/>
  <c r="CW46" i="8" s="1"/>
  <c r="CV26" i="8"/>
  <c r="CW26" i="8" s="1"/>
  <c r="CV11" i="8"/>
  <c r="CW11" i="8" s="1"/>
  <c r="CV32" i="8"/>
  <c r="CW32" i="8" s="1"/>
  <c r="CV22" i="8"/>
  <c r="CW22" i="8" s="1"/>
  <c r="CV45" i="8"/>
  <c r="CW45" i="8" s="1"/>
  <c r="CG22" i="8"/>
  <c r="CH22" i="8" s="1"/>
  <c r="CG43" i="8"/>
  <c r="CH43" i="8" s="1"/>
  <c r="CG47" i="8"/>
  <c r="CH47" i="8" s="1"/>
  <c r="CG51" i="8"/>
  <c r="CH51" i="8" s="1"/>
  <c r="CG54" i="8"/>
  <c r="CH54" i="8" s="1"/>
  <c r="CG41" i="8"/>
  <c r="CH41" i="8" s="1"/>
  <c r="CG16" i="8"/>
  <c r="CH16" i="8" s="1"/>
  <c r="CG38" i="8"/>
  <c r="CH38" i="8" s="1"/>
  <c r="BR29" i="8"/>
  <c r="BS29" i="8" s="1"/>
  <c r="BR43" i="8"/>
  <c r="BS43" i="8" s="1"/>
  <c r="BR6" i="8"/>
  <c r="BS6" i="8" s="1"/>
  <c r="BR53" i="8"/>
  <c r="BS53" i="8" s="1"/>
  <c r="BR28" i="8"/>
  <c r="BS28" i="8" s="1"/>
  <c r="BR25" i="8"/>
  <c r="BS25" i="8" s="1"/>
  <c r="BR35" i="8"/>
  <c r="BS35" i="8" s="1"/>
  <c r="BR24" i="8"/>
  <c r="BS24" i="8" s="1"/>
  <c r="BC30" i="8"/>
  <c r="BD30" i="8" s="1"/>
  <c r="DZ18" i="8"/>
  <c r="EA18" i="8" s="1"/>
  <c r="DZ45" i="8"/>
  <c r="EA45" i="8" s="1"/>
  <c r="DZ26" i="8"/>
  <c r="EA26" i="8" s="1"/>
  <c r="DZ32" i="8"/>
  <c r="EA32" i="8" s="1"/>
  <c r="DZ19" i="8"/>
  <c r="EA19" i="8" s="1"/>
  <c r="DZ25" i="8"/>
  <c r="EA25" i="8" s="1"/>
  <c r="DZ48" i="8"/>
  <c r="EA48" i="8" s="1"/>
  <c r="DZ28" i="8"/>
  <c r="EA28" i="8" s="1"/>
  <c r="DZ6" i="8"/>
  <c r="EA6" i="8" s="1"/>
  <c r="DZ46" i="8"/>
  <c r="EA46" i="8" s="1"/>
  <c r="DZ20" i="8"/>
  <c r="EA20" i="8" s="1"/>
  <c r="DZ36" i="8"/>
  <c r="EA36" i="8" s="1"/>
  <c r="DZ39" i="8"/>
  <c r="EA39" i="8" s="1"/>
  <c r="DZ4" i="8"/>
  <c r="EA4" i="8" s="1"/>
  <c r="DZ49" i="8"/>
  <c r="EA49" i="8" s="1"/>
  <c r="DZ35" i="8"/>
  <c r="EA35" i="8" s="1"/>
  <c r="DZ38" i="8"/>
  <c r="EA38" i="8" s="1"/>
  <c r="DZ29" i="8"/>
  <c r="EA29" i="8" s="1"/>
  <c r="DZ51" i="8"/>
  <c r="EA51" i="8" s="1"/>
  <c r="DZ53" i="8"/>
  <c r="EA53" i="8" s="1"/>
  <c r="DZ27" i="8"/>
  <c r="EA27" i="8" s="1"/>
  <c r="DZ17" i="8"/>
  <c r="EA17" i="8" s="1"/>
  <c r="DZ5" i="8"/>
  <c r="EA5" i="8" s="1"/>
  <c r="DZ13" i="8"/>
  <c r="EA13" i="8" s="1"/>
  <c r="DZ9" i="8"/>
  <c r="EA9" i="8" s="1"/>
  <c r="DZ55" i="8"/>
  <c r="EA55" i="8" s="1"/>
  <c r="DZ50" i="8"/>
  <c r="EA50" i="8" s="1"/>
  <c r="DZ34" i="8"/>
  <c r="EA34" i="8" s="1"/>
  <c r="DZ31" i="8"/>
  <c r="EA31" i="8" s="1"/>
  <c r="DZ47" i="8"/>
  <c r="EA47" i="8" s="1"/>
  <c r="DZ37" i="8"/>
  <c r="EA37" i="8" s="1"/>
  <c r="DZ21" i="8"/>
  <c r="EA21" i="8" s="1"/>
  <c r="DZ42" i="8"/>
  <c r="EA42" i="8" s="1"/>
  <c r="DZ44" i="8"/>
  <c r="EA44" i="8" s="1"/>
  <c r="DZ22" i="8"/>
  <c r="EA22" i="8" s="1"/>
  <c r="DZ14" i="8"/>
  <c r="EA14" i="8" s="1"/>
  <c r="DZ23" i="8"/>
  <c r="EA23" i="8" s="1"/>
  <c r="DZ52" i="8"/>
  <c r="EA52" i="8" s="1"/>
  <c r="DZ30" i="8"/>
  <c r="EA30" i="8" s="1"/>
  <c r="DZ3" i="8"/>
  <c r="EA3" i="8" s="1"/>
  <c r="EB3" i="8" s="1"/>
  <c r="DZ40" i="8"/>
  <c r="EA40" i="8" s="1"/>
  <c r="DZ12" i="8"/>
  <c r="EA12" i="8" s="1"/>
  <c r="DZ43" i="8"/>
  <c r="EA43" i="8" s="1"/>
  <c r="DZ41" i="8"/>
  <c r="EA41" i="8" s="1"/>
  <c r="DZ7" i="8"/>
  <c r="EA7" i="8" s="1"/>
  <c r="DZ11" i="8"/>
  <c r="EA11" i="8" s="1"/>
  <c r="DZ16" i="8"/>
  <c r="EA16" i="8" s="1"/>
  <c r="DZ15" i="8"/>
  <c r="EA15" i="8" s="1"/>
  <c r="DZ33" i="8"/>
  <c r="EA33" i="8" s="1"/>
  <c r="DZ10" i="8"/>
  <c r="EA10" i="8" s="1"/>
  <c r="DZ54" i="8"/>
  <c r="EA54" i="8" s="1"/>
  <c r="DZ8" i="8"/>
  <c r="EA8" i="8" s="1"/>
  <c r="DZ24" i="8"/>
  <c r="EA24" i="8" s="1"/>
  <c r="DK44" i="8"/>
  <c r="DL44" i="8" s="1"/>
  <c r="DK38" i="8"/>
  <c r="DL38" i="8" s="1"/>
  <c r="DK51" i="8"/>
  <c r="DL51" i="8" s="1"/>
  <c r="DK24" i="8"/>
  <c r="DL24" i="8" s="1"/>
  <c r="DK17" i="8"/>
  <c r="DL17" i="8" s="1"/>
  <c r="DK16" i="8"/>
  <c r="DL16" i="8" s="1"/>
  <c r="DK35" i="8"/>
  <c r="DL35" i="8" s="1"/>
  <c r="DK9" i="8"/>
  <c r="DL9" i="8" s="1"/>
  <c r="DK34" i="8"/>
  <c r="DL34" i="8" s="1"/>
  <c r="DK31" i="8"/>
  <c r="DL31" i="8" s="1"/>
  <c r="DK47" i="8"/>
  <c r="DL47" i="8" s="1"/>
  <c r="DK46" i="8"/>
  <c r="DL46" i="8" s="1"/>
  <c r="DK25" i="8"/>
  <c r="DL25" i="8" s="1"/>
  <c r="DK26" i="8"/>
  <c r="DL26" i="8" s="1"/>
  <c r="DK50" i="8"/>
  <c r="DL50" i="8" s="1"/>
  <c r="DK55" i="8"/>
  <c r="DL55" i="8" s="1"/>
  <c r="DK13" i="8"/>
  <c r="DL13" i="8" s="1"/>
  <c r="DK12" i="8"/>
  <c r="DL12" i="8" s="1"/>
  <c r="DK43" i="8"/>
  <c r="DL43" i="8" s="1"/>
  <c r="DK7" i="8"/>
  <c r="DL7" i="8" s="1"/>
  <c r="DK20" i="8"/>
  <c r="DL20" i="8" s="1"/>
  <c r="DK23" i="8"/>
  <c r="DL23" i="8" s="1"/>
  <c r="DK14" i="8"/>
  <c r="DL14" i="8" s="1"/>
  <c r="DK42" i="8"/>
  <c r="DL42" i="8" s="1"/>
  <c r="DK19" i="8"/>
  <c r="DL19" i="8" s="1"/>
  <c r="DK6" i="8"/>
  <c r="DL6" i="8" s="1"/>
  <c r="DK8" i="8"/>
  <c r="DL8" i="8" s="1"/>
  <c r="DK29" i="8"/>
  <c r="DL29" i="8" s="1"/>
  <c r="DK40" i="8"/>
  <c r="DL40" i="8" s="1"/>
  <c r="DK39" i="8"/>
  <c r="DL39" i="8" s="1"/>
  <c r="DK3" i="8"/>
  <c r="DL3" i="8" s="1"/>
  <c r="DM3" i="8" s="1"/>
  <c r="DK37" i="8"/>
  <c r="DL37" i="8" s="1"/>
  <c r="DK28" i="8"/>
  <c r="DL28" i="8" s="1"/>
  <c r="DK36" i="8"/>
  <c r="DL36" i="8" s="1"/>
  <c r="DK54" i="8"/>
  <c r="DL54" i="8" s="1"/>
  <c r="DK48" i="8"/>
  <c r="DL48" i="8" s="1"/>
  <c r="DK18" i="8"/>
  <c r="DL18" i="8" s="1"/>
  <c r="DK21" i="8"/>
  <c r="DL21" i="8" s="1"/>
  <c r="DK41" i="8"/>
  <c r="DL41" i="8" s="1"/>
  <c r="DK45" i="8"/>
  <c r="DL45" i="8" s="1"/>
  <c r="DK10" i="8"/>
  <c r="DL10" i="8" s="1"/>
  <c r="DK22" i="8"/>
  <c r="DL22" i="8" s="1"/>
  <c r="DK27" i="8"/>
  <c r="DL27" i="8" s="1"/>
  <c r="DK32" i="8"/>
  <c r="DL32" i="8" s="1"/>
  <c r="DK53" i="8"/>
  <c r="DL53" i="8" s="1"/>
  <c r="DK11" i="8"/>
  <c r="DL11" i="8" s="1"/>
  <c r="DK52" i="8"/>
  <c r="DL52" i="8" s="1"/>
  <c r="DK30" i="8"/>
  <c r="DL30" i="8" s="1"/>
  <c r="CV17" i="8"/>
  <c r="CW17" i="8" s="1"/>
  <c r="CV27" i="8"/>
  <c r="CW27" i="8" s="1"/>
  <c r="CV33" i="8"/>
  <c r="CW33" i="8" s="1"/>
  <c r="CV55" i="8"/>
  <c r="CW55" i="8" s="1"/>
  <c r="CV49" i="8"/>
  <c r="CW49" i="8" s="1"/>
  <c r="CV18" i="8"/>
  <c r="CW18" i="8" s="1"/>
  <c r="CV31" i="8"/>
  <c r="CW31" i="8" s="1"/>
  <c r="CV7" i="8"/>
  <c r="CW7" i="8" s="1"/>
  <c r="CV51" i="8"/>
  <c r="CW51" i="8" s="1"/>
  <c r="CV48" i="8"/>
  <c r="CW48" i="8" s="1"/>
  <c r="CV24" i="8"/>
  <c r="CW24" i="8" s="1"/>
  <c r="CV6" i="8"/>
  <c r="CW6" i="8" s="1"/>
  <c r="CV20" i="8"/>
  <c r="CW20" i="8" s="1"/>
  <c r="CV15" i="8"/>
  <c r="CW15" i="8" s="1"/>
  <c r="CV25" i="8"/>
  <c r="CW25" i="8" s="1"/>
  <c r="CV28" i="8"/>
  <c r="CW28" i="8" s="1"/>
  <c r="CV9" i="8"/>
  <c r="CW9" i="8" s="1"/>
  <c r="CV23" i="8"/>
  <c r="CW23" i="8" s="1"/>
  <c r="CV21" i="8"/>
  <c r="CW21" i="8" s="1"/>
  <c r="CV10" i="8"/>
  <c r="CW10" i="8" s="1"/>
  <c r="CV12" i="8"/>
  <c r="CW12" i="8" s="1"/>
  <c r="CV42" i="8"/>
  <c r="CW42" i="8" s="1"/>
  <c r="CV40" i="8"/>
  <c r="CW40" i="8" s="1"/>
  <c r="CV54" i="8"/>
  <c r="CW54" i="8" s="1"/>
  <c r="CV43" i="8"/>
  <c r="CW43" i="8" s="1"/>
  <c r="CV19" i="8"/>
  <c r="CW19" i="8" s="1"/>
  <c r="CV38" i="8"/>
  <c r="CW38" i="8" s="1"/>
  <c r="CV41" i="8"/>
  <c r="CW41" i="8" s="1"/>
  <c r="CV36" i="8"/>
  <c r="CW36" i="8" s="1"/>
  <c r="CV3" i="8"/>
  <c r="CW3" i="8" s="1"/>
  <c r="CX3" i="8" s="1"/>
  <c r="CV47" i="8"/>
  <c r="CW47" i="8" s="1"/>
  <c r="CV53" i="8"/>
  <c r="CW53" i="8" s="1"/>
  <c r="CV44" i="8"/>
  <c r="CW44" i="8" s="1"/>
  <c r="CV34" i="8"/>
  <c r="CW34" i="8" s="1"/>
  <c r="CV50" i="8"/>
  <c r="CW50" i="8" s="1"/>
  <c r="CV37" i="8"/>
  <c r="CW37" i="8" s="1"/>
  <c r="CV13" i="8"/>
  <c r="CW13" i="8" s="1"/>
  <c r="CV16" i="8"/>
  <c r="CW16" i="8" s="1"/>
  <c r="CV5" i="8"/>
  <c r="CW5" i="8" s="1"/>
  <c r="CV8" i="8"/>
  <c r="CW8" i="8" s="1"/>
  <c r="CV30" i="8"/>
  <c r="CW30" i="8" s="1"/>
  <c r="CV52" i="8"/>
  <c r="CW52" i="8" s="1"/>
  <c r="CG28" i="8"/>
  <c r="CH28" i="8" s="1"/>
  <c r="CG13" i="8"/>
  <c r="CH13" i="8" s="1"/>
  <c r="CG8" i="8"/>
  <c r="CH8" i="8" s="1"/>
  <c r="CG15" i="8"/>
  <c r="CH15" i="8" s="1"/>
  <c r="CG27" i="8"/>
  <c r="CH27" i="8" s="1"/>
  <c r="CG18" i="8"/>
  <c r="CH18" i="8" s="1"/>
  <c r="CG20" i="8"/>
  <c r="CH20" i="8" s="1"/>
  <c r="CG14" i="8"/>
  <c r="CH14" i="8" s="1"/>
  <c r="CG24" i="8"/>
  <c r="CH24" i="8" s="1"/>
  <c r="CG21" i="8"/>
  <c r="CH21" i="8" s="1"/>
  <c r="CG30" i="8"/>
  <c r="CH30" i="8" s="1"/>
  <c r="CG10" i="8"/>
  <c r="CH10" i="8" s="1"/>
  <c r="CG17" i="8"/>
  <c r="CH17" i="8" s="1"/>
  <c r="CG4" i="8"/>
  <c r="CH4" i="8" s="1"/>
  <c r="CG23" i="8"/>
  <c r="CH23" i="8" s="1"/>
  <c r="CG12" i="8"/>
  <c r="CH12" i="8" s="1"/>
  <c r="CG46" i="8"/>
  <c r="CH46" i="8" s="1"/>
  <c r="CG3" i="8"/>
  <c r="CH3" i="8" s="1"/>
  <c r="CI3" i="8" s="1"/>
  <c r="CG32" i="8"/>
  <c r="CH32" i="8" s="1"/>
  <c r="CG39" i="8"/>
  <c r="CH39" i="8" s="1"/>
  <c r="CG36" i="8"/>
  <c r="CH36" i="8" s="1"/>
  <c r="CG31" i="8"/>
  <c r="CH31" i="8" s="1"/>
  <c r="CG42" i="8"/>
  <c r="CH42" i="8" s="1"/>
  <c r="CG19" i="8"/>
  <c r="CH19" i="8" s="1"/>
  <c r="CG53" i="8"/>
  <c r="CH53" i="8" s="1"/>
  <c r="CG49" i="8"/>
  <c r="CH49" i="8" s="1"/>
  <c r="CG7" i="8"/>
  <c r="CH7" i="8" s="1"/>
  <c r="CG34" i="8"/>
  <c r="CH34" i="8" s="1"/>
  <c r="CG5" i="8"/>
  <c r="CH5" i="8" s="1"/>
  <c r="CG11" i="8"/>
  <c r="CH11" i="8" s="1"/>
  <c r="CG50" i="8"/>
  <c r="CH50" i="8" s="1"/>
  <c r="CG35" i="8"/>
  <c r="CH35" i="8" s="1"/>
  <c r="CG45" i="8"/>
  <c r="CH45" i="8" s="1"/>
  <c r="CG29" i="8"/>
  <c r="CH29" i="8" s="1"/>
  <c r="CG6" i="8"/>
  <c r="CH6" i="8" s="1"/>
  <c r="CG52" i="8"/>
  <c r="CH52" i="8" s="1"/>
  <c r="CG55" i="8"/>
  <c r="CH55" i="8" s="1"/>
  <c r="CG37" i="8"/>
  <c r="CH37" i="8" s="1"/>
  <c r="CG26" i="8"/>
  <c r="CH26" i="8" s="1"/>
  <c r="CG33" i="8"/>
  <c r="CH33" i="8" s="1"/>
  <c r="CG48" i="8"/>
  <c r="CH48" i="8" s="1"/>
  <c r="CG9" i="8"/>
  <c r="CH9" i="8" s="1"/>
  <c r="CG40" i="8"/>
  <c r="CH40" i="8" s="1"/>
  <c r="CG25" i="8"/>
  <c r="CH25" i="8" s="1"/>
  <c r="CG44" i="8"/>
  <c r="CH44" i="8" s="1"/>
  <c r="BR15" i="8"/>
  <c r="BS15" i="8" s="1"/>
  <c r="BR38" i="8"/>
  <c r="BS38" i="8" s="1"/>
  <c r="BR27" i="8"/>
  <c r="BS27" i="8" s="1"/>
  <c r="BR44" i="8"/>
  <c r="BS44" i="8" s="1"/>
  <c r="BR42" i="8"/>
  <c r="BS42" i="8" s="1"/>
  <c r="BR17" i="8"/>
  <c r="BS17" i="8" s="1"/>
  <c r="BR45" i="8"/>
  <c r="BS45" i="8" s="1"/>
  <c r="BR48" i="8"/>
  <c r="BS48" i="8" s="1"/>
  <c r="BR8" i="8"/>
  <c r="BS8" i="8" s="1"/>
  <c r="BR33" i="8"/>
  <c r="BS33" i="8" s="1"/>
  <c r="BR13" i="8"/>
  <c r="BS13" i="8" s="1"/>
  <c r="BR30" i="8"/>
  <c r="BS30" i="8" s="1"/>
  <c r="BR12" i="8"/>
  <c r="BS12" i="8" s="1"/>
  <c r="BR11" i="8"/>
  <c r="BS11" i="8" s="1"/>
  <c r="BR31" i="8"/>
  <c r="BS31" i="8" s="1"/>
  <c r="BR14" i="8"/>
  <c r="BS14" i="8" s="1"/>
  <c r="BR51" i="8"/>
  <c r="BS51" i="8" s="1"/>
  <c r="BR47" i="8"/>
  <c r="BS47" i="8" s="1"/>
  <c r="BR52" i="8"/>
  <c r="BS52" i="8" s="1"/>
  <c r="BR36" i="8"/>
  <c r="BS36" i="8" s="1"/>
  <c r="BR40" i="8"/>
  <c r="BS40" i="8" s="1"/>
  <c r="BR3" i="8"/>
  <c r="BS3" i="8" s="1"/>
  <c r="BT3" i="8" s="1"/>
  <c r="BR37" i="8"/>
  <c r="BS37" i="8" s="1"/>
  <c r="BR9" i="8"/>
  <c r="BS9" i="8" s="1"/>
  <c r="BR22" i="8"/>
  <c r="BS22" i="8" s="1"/>
  <c r="BR18" i="8"/>
  <c r="BS18" i="8" s="1"/>
  <c r="BR23" i="8"/>
  <c r="BS23" i="8" s="1"/>
  <c r="BR26" i="8"/>
  <c r="BS26" i="8" s="1"/>
  <c r="BR34" i="8"/>
  <c r="BS34" i="8" s="1"/>
  <c r="BR7" i="8"/>
  <c r="BS7" i="8" s="1"/>
  <c r="BR41" i="8"/>
  <c r="BS41" i="8" s="1"/>
  <c r="BR4" i="8"/>
  <c r="BS4" i="8" s="1"/>
  <c r="BR55" i="8"/>
  <c r="BS55" i="8" s="1"/>
  <c r="BR46" i="8"/>
  <c r="BS46" i="8" s="1"/>
  <c r="BR10" i="8"/>
  <c r="BS10" i="8" s="1"/>
  <c r="BR49" i="8"/>
  <c r="BS49" i="8" s="1"/>
  <c r="BR20" i="8"/>
  <c r="BS20" i="8" s="1"/>
  <c r="BR54" i="8"/>
  <c r="BS54" i="8" s="1"/>
  <c r="BR16" i="8"/>
  <c r="BS16" i="8" s="1"/>
  <c r="BR32" i="8"/>
  <c r="BS32" i="8" s="1"/>
  <c r="BR21" i="8"/>
  <c r="BS21" i="8" s="1"/>
  <c r="BR39" i="8"/>
  <c r="BS39" i="8" s="1"/>
  <c r="BR19" i="8"/>
  <c r="BS19" i="8" s="1"/>
  <c r="BR50" i="8"/>
  <c r="BS50" i="8" s="1"/>
  <c r="BC3" i="8"/>
  <c r="BD3" i="8" s="1"/>
  <c r="BE3" i="8" s="1"/>
  <c r="BG3" i="8" s="1"/>
  <c r="BC26" i="8"/>
  <c r="BD26" i="8" s="1"/>
  <c r="BC36" i="8"/>
  <c r="BD36" i="8" s="1"/>
  <c r="BC52" i="8"/>
  <c r="BD52" i="8" s="1"/>
  <c r="BC55" i="8"/>
  <c r="BD55" i="8" s="1"/>
  <c r="BC43" i="8"/>
  <c r="BD43" i="8" s="1"/>
  <c r="BC35" i="8"/>
  <c r="BD35" i="8" s="1"/>
  <c r="BC12" i="8"/>
  <c r="BD12" i="8" s="1"/>
  <c r="BC4" i="8"/>
  <c r="BD4" i="8" s="1"/>
  <c r="BC31" i="8"/>
  <c r="BD31" i="8" s="1"/>
  <c r="BC32" i="8"/>
  <c r="BD32" i="8" s="1"/>
  <c r="W6" i="3"/>
  <c r="Z6" i="3" s="1"/>
  <c r="Z15" i="3"/>
  <c r="AN15" i="8"/>
  <c r="AO15" i="8" s="1"/>
  <c r="Y4" i="8"/>
  <c r="Z4" i="8" s="1"/>
  <c r="BC18" i="8"/>
  <c r="BD18" i="8" s="1"/>
  <c r="BC34" i="8"/>
  <c r="BD34" i="8" s="1"/>
  <c r="BC37" i="8"/>
  <c r="BD37" i="8" s="1"/>
  <c r="BC41" i="8"/>
  <c r="BD41" i="8" s="1"/>
  <c r="BC23" i="8"/>
  <c r="BD23" i="8" s="1"/>
  <c r="BC28" i="8"/>
  <c r="BD28" i="8" s="1"/>
  <c r="AN20" i="8"/>
  <c r="AO20" i="8" s="1"/>
  <c r="AN13" i="8"/>
  <c r="AO13" i="8" s="1"/>
  <c r="AN43" i="8"/>
  <c r="AO43" i="8" s="1"/>
  <c r="AN6" i="8"/>
  <c r="AO6" i="8" s="1"/>
  <c r="AN40" i="8"/>
  <c r="AO40" i="8" s="1"/>
  <c r="AN36" i="8"/>
  <c r="AO36" i="8" s="1"/>
  <c r="Y8" i="8"/>
  <c r="Z8" i="8" s="1"/>
  <c r="Y23" i="8"/>
  <c r="Z23" i="8" s="1"/>
  <c r="Y38" i="8"/>
  <c r="Z38" i="8" s="1"/>
  <c r="Y16" i="8"/>
  <c r="Z16" i="8" s="1"/>
  <c r="Y3" i="8"/>
  <c r="Z3" i="8" s="1"/>
  <c r="AA3" i="8" s="1"/>
  <c r="Y26" i="8"/>
  <c r="Z26" i="8" s="1"/>
  <c r="Y19" i="8"/>
  <c r="Z19" i="8" s="1"/>
  <c r="AN37" i="8"/>
  <c r="AO37" i="8" s="1"/>
  <c r="Y53" i="8"/>
  <c r="Z53" i="8" s="1"/>
  <c r="BC16" i="8"/>
  <c r="BD16" i="8" s="1"/>
  <c r="BC17" i="8"/>
  <c r="BD17" i="8" s="1"/>
  <c r="BC39" i="8"/>
  <c r="BD39" i="8" s="1"/>
  <c r="BC7" i="8"/>
  <c r="BD7" i="8" s="1"/>
  <c r="BC27" i="8"/>
  <c r="BD27" i="8" s="1"/>
  <c r="BC47" i="8"/>
  <c r="BD47" i="8" s="1"/>
  <c r="BC49" i="8"/>
  <c r="BD49" i="8" s="1"/>
  <c r="AN28" i="8"/>
  <c r="AO28" i="8" s="1"/>
  <c r="AN27" i="8"/>
  <c r="AO27" i="8" s="1"/>
  <c r="AN9" i="8"/>
  <c r="AO9" i="8" s="1"/>
  <c r="AN52" i="8"/>
  <c r="AO52" i="8" s="1"/>
  <c r="AN42" i="8"/>
  <c r="AO42" i="8" s="1"/>
  <c r="AN11" i="8"/>
  <c r="AO11" i="8" s="1"/>
  <c r="Y20" i="8"/>
  <c r="Z20" i="8" s="1"/>
  <c r="Y54" i="8"/>
  <c r="Z54" i="8" s="1"/>
  <c r="Y41" i="8"/>
  <c r="Z41" i="8" s="1"/>
  <c r="Y40" i="8"/>
  <c r="Z40" i="8" s="1"/>
  <c r="Y27" i="8"/>
  <c r="Z27" i="8" s="1"/>
  <c r="Y48" i="8"/>
  <c r="Z48" i="8" s="1"/>
  <c r="Y37" i="8"/>
  <c r="Z37" i="8" s="1"/>
  <c r="AN25" i="8"/>
  <c r="AO25" i="8" s="1"/>
  <c r="Y52" i="8"/>
  <c r="Z52" i="8" s="1"/>
  <c r="BC51" i="8"/>
  <c r="BD51" i="8" s="1"/>
  <c r="BC54" i="8"/>
  <c r="BD54" i="8" s="1"/>
  <c r="BC5" i="8"/>
  <c r="BD5" i="8" s="1"/>
  <c r="AN32" i="8"/>
  <c r="AO32" i="8" s="1"/>
  <c r="AN29" i="8"/>
  <c r="AO29" i="8" s="1"/>
  <c r="AN33" i="8"/>
  <c r="AO33" i="8" s="1"/>
  <c r="AN4" i="8"/>
  <c r="AO4" i="8" s="1"/>
  <c r="AN10" i="8"/>
  <c r="AO10" i="8" s="1"/>
  <c r="AN48" i="8"/>
  <c r="AO48" i="8" s="1"/>
  <c r="Y36" i="8"/>
  <c r="Z36" i="8" s="1"/>
  <c r="Y30" i="8"/>
  <c r="Z30" i="8" s="1"/>
  <c r="Y5" i="8"/>
  <c r="Z5" i="8" s="1"/>
  <c r="Y11" i="8"/>
  <c r="Z11" i="8" s="1"/>
  <c r="Y46" i="8"/>
  <c r="Z46" i="8" s="1"/>
  <c r="Y7" i="8"/>
  <c r="Z7" i="8" s="1"/>
  <c r="Y50" i="8"/>
  <c r="Z50" i="8" s="1"/>
  <c r="AN19" i="8"/>
  <c r="AO19" i="8" s="1"/>
  <c r="Y14" i="8"/>
  <c r="Z14" i="8" s="1"/>
  <c r="BC11" i="8"/>
  <c r="BD11" i="8" s="1"/>
  <c r="BC19" i="8"/>
  <c r="BD19" i="8" s="1"/>
  <c r="D8" i="7"/>
  <c r="BC10" i="8"/>
  <c r="BD10" i="8" s="1"/>
  <c r="BC13" i="8"/>
  <c r="BD13" i="8" s="1"/>
  <c r="BC50" i="8"/>
  <c r="BD50" i="8" s="1"/>
  <c r="BC15" i="8"/>
  <c r="BD15" i="8" s="1"/>
  <c r="BC6" i="8"/>
  <c r="BD6" i="8" s="1"/>
  <c r="BC25" i="8"/>
  <c r="BD25" i="8" s="1"/>
  <c r="BC22" i="8"/>
  <c r="BD22" i="8" s="1"/>
  <c r="AN51" i="8"/>
  <c r="AO51" i="8" s="1"/>
  <c r="AN54" i="8"/>
  <c r="AO54" i="8" s="1"/>
  <c r="AN26" i="8"/>
  <c r="AO26" i="8" s="1"/>
  <c r="AN12" i="8"/>
  <c r="AO12" i="8" s="1"/>
  <c r="AN8" i="8"/>
  <c r="AO8" i="8" s="1"/>
  <c r="AN18" i="8"/>
  <c r="AO18" i="8" s="1"/>
  <c r="Y34" i="8"/>
  <c r="Z34" i="8" s="1"/>
  <c r="Y15" i="8"/>
  <c r="Z15" i="8" s="1"/>
  <c r="Y6" i="8"/>
  <c r="Z6" i="8" s="1"/>
  <c r="Y29" i="8"/>
  <c r="Z29" i="8" s="1"/>
  <c r="Y18" i="8"/>
  <c r="Z18" i="8" s="1"/>
  <c r="Y51" i="8"/>
  <c r="Z51" i="8" s="1"/>
  <c r="BC40" i="8"/>
  <c r="BD40" i="8" s="1"/>
  <c r="Y45" i="8"/>
  <c r="Z45" i="8" s="1"/>
  <c r="BC46" i="8"/>
  <c r="BD46" i="8" s="1"/>
  <c r="BC24" i="8"/>
  <c r="BD24" i="8" s="1"/>
  <c r="BC21" i="8"/>
  <c r="BD21" i="8" s="1"/>
  <c r="AN3" i="8"/>
  <c r="AO3" i="8" s="1"/>
  <c r="AP3" i="8" s="1"/>
  <c r="BC48" i="8"/>
  <c r="BD48" i="8" s="1"/>
  <c r="BC20" i="8"/>
  <c r="BD20" i="8" s="1"/>
  <c r="BC44" i="8"/>
  <c r="BD44" i="8" s="1"/>
  <c r="AN44" i="8"/>
  <c r="AO44" i="8" s="1"/>
  <c r="AN24" i="8"/>
  <c r="AO24" i="8" s="1"/>
  <c r="AN31" i="8"/>
  <c r="AO31" i="8" s="1"/>
  <c r="AN50" i="8"/>
  <c r="AO50" i="8" s="1"/>
  <c r="AN23" i="8"/>
  <c r="AO23" i="8" s="1"/>
  <c r="AN45" i="8"/>
  <c r="AO45" i="8" s="1"/>
  <c r="AN53" i="8"/>
  <c r="AO53" i="8" s="1"/>
  <c r="Y25" i="8"/>
  <c r="Z25" i="8" s="1"/>
  <c r="Y9" i="8"/>
  <c r="Z9" i="8" s="1"/>
  <c r="Y42" i="8"/>
  <c r="Z42" i="8" s="1"/>
  <c r="Y47" i="8"/>
  <c r="Z47" i="8" s="1"/>
  <c r="Y12" i="8"/>
  <c r="Z12" i="8" s="1"/>
  <c r="Y10" i="8"/>
  <c r="Z10" i="8" s="1"/>
  <c r="AN47" i="8"/>
  <c r="AO47" i="8" s="1"/>
  <c r="Y21" i="8"/>
  <c r="Z21" i="8" s="1"/>
  <c r="BC53" i="8"/>
  <c r="BD53" i="8" s="1"/>
  <c r="BC33" i="8"/>
  <c r="BD33" i="8" s="1"/>
  <c r="BC9" i="8"/>
  <c r="BD9" i="8" s="1"/>
  <c r="BC8" i="8"/>
  <c r="BD8" i="8" s="1"/>
  <c r="BC42" i="8"/>
  <c r="BD42" i="8" s="1"/>
  <c r="BC45" i="8"/>
  <c r="BD45" i="8" s="1"/>
  <c r="BC29" i="8"/>
  <c r="BD29" i="8" s="1"/>
  <c r="AN22" i="8"/>
  <c r="AO22" i="8" s="1"/>
  <c r="AN46" i="8"/>
  <c r="AO46" i="8" s="1"/>
  <c r="AN55" i="8"/>
  <c r="AO55" i="8" s="1"/>
  <c r="AN49" i="8"/>
  <c r="AO49" i="8" s="1"/>
  <c r="AN14" i="8"/>
  <c r="AO14" i="8" s="1"/>
  <c r="AN7" i="8"/>
  <c r="AO7" i="8" s="1"/>
  <c r="AN34" i="8"/>
  <c r="AO34" i="8" s="1"/>
  <c r="Y35" i="8"/>
  <c r="Z35" i="8" s="1"/>
  <c r="Y33" i="8"/>
  <c r="Z33" i="8" s="1"/>
  <c r="Y44" i="8"/>
  <c r="Z44" i="8" s="1"/>
  <c r="Y17" i="8"/>
  <c r="Z17" i="8" s="1"/>
  <c r="Y24" i="8"/>
  <c r="Z24" i="8" s="1"/>
  <c r="Y49" i="8"/>
  <c r="Z49" i="8" s="1"/>
  <c r="BC38" i="8"/>
  <c r="BD38" i="8" s="1"/>
  <c r="BC14" i="8"/>
  <c r="BD14" i="8" s="1"/>
  <c r="AN39" i="8"/>
  <c r="AO39" i="8" s="1"/>
  <c r="AN16" i="8"/>
  <c r="AO16" i="8" s="1"/>
  <c r="AN38" i="8"/>
  <c r="AO38" i="8" s="1"/>
  <c r="AN21" i="8"/>
  <c r="AO21" i="8" s="1"/>
  <c r="AN30" i="8"/>
  <c r="AO30" i="8" s="1"/>
  <c r="AN35" i="8"/>
  <c r="AO35" i="8" s="1"/>
  <c r="Y39" i="8"/>
  <c r="Z39" i="8" s="1"/>
  <c r="Y28" i="8"/>
  <c r="Z28" i="8" s="1"/>
  <c r="Y55" i="8"/>
  <c r="Z55" i="8" s="1"/>
  <c r="Y13" i="8"/>
  <c r="Z13" i="8" s="1"/>
  <c r="Y32" i="8"/>
  <c r="Z32" i="8" s="1"/>
  <c r="Y43" i="8"/>
  <c r="Z43" i="8" s="1"/>
  <c r="GY4" i="8" l="1"/>
  <c r="GY5" i="8" s="1"/>
  <c r="HA5" i="8" s="1"/>
  <c r="C2" i="6"/>
  <c r="Z28" i="3"/>
  <c r="Z25" i="3"/>
  <c r="Z9" i="3"/>
  <c r="Z8" i="3"/>
  <c r="Z20" i="3"/>
  <c r="Z17" i="3"/>
  <c r="Z16" i="3"/>
  <c r="A8" i="7"/>
  <c r="Z11" i="3"/>
  <c r="Z12" i="3"/>
  <c r="Z10" i="3"/>
  <c r="R2" i="3"/>
  <c r="R3" i="5" s="1"/>
  <c r="I1" i="6" s="1"/>
  <c r="Z13" i="3"/>
  <c r="Z19" i="3"/>
  <c r="JG4" i="8"/>
  <c r="JI4" i="8" s="1"/>
  <c r="Z18" i="3"/>
  <c r="HN4" i="8"/>
  <c r="HN5" i="8" s="1"/>
  <c r="JV4" i="8"/>
  <c r="JV5" i="8" s="1"/>
  <c r="IR4" i="8"/>
  <c r="MU3" i="8"/>
  <c r="MU4" i="8"/>
  <c r="NH4" i="8"/>
  <c r="MF3" i="8"/>
  <c r="N3" i="8"/>
  <c r="IT3" i="8"/>
  <c r="JI3" i="8"/>
  <c r="BE4" i="8"/>
  <c r="EQ4" i="8"/>
  <c r="MD4" i="8"/>
  <c r="LO4" i="8"/>
  <c r="L4" i="8"/>
  <c r="L5" i="8" s="1"/>
  <c r="L6" i="8" s="1"/>
  <c r="NJ3" i="8"/>
  <c r="MS5" i="8"/>
  <c r="LB3" i="8"/>
  <c r="LQ3" i="8"/>
  <c r="KM3" i="8"/>
  <c r="KK4" i="8"/>
  <c r="KK5" i="8" s="1"/>
  <c r="JX3" i="8"/>
  <c r="KZ4" i="8"/>
  <c r="KZ5" i="8" s="1"/>
  <c r="LB5" i="8" s="1"/>
  <c r="IE3" i="8"/>
  <c r="GL3" i="8"/>
  <c r="IC4" i="8"/>
  <c r="IC5" i="8" s="1"/>
  <c r="HP3" i="8"/>
  <c r="FW3" i="8"/>
  <c r="HA3" i="8"/>
  <c r="GJ4" i="8"/>
  <c r="FU4" i="8"/>
  <c r="FF4" i="8"/>
  <c r="FH3" i="8"/>
  <c r="BT4" i="8"/>
  <c r="BV3" i="8" s="1"/>
  <c r="EB4" i="8"/>
  <c r="ED4" i="8" s="1"/>
  <c r="ED3" i="8"/>
  <c r="DO3" i="8"/>
  <c r="DM4" i="8"/>
  <c r="CZ3" i="8"/>
  <c r="CX4" i="8"/>
  <c r="CX5" i="8" s="1"/>
  <c r="CI4" i="8"/>
  <c r="CK3" i="8" s="1"/>
  <c r="AR3" i="8"/>
  <c r="AP4" i="8"/>
  <c r="AC3" i="8"/>
  <c r="AA4" i="8"/>
  <c r="HA4" i="8" l="1"/>
  <c r="ES4" i="8"/>
  <c r="ES3" i="8"/>
  <c r="JG5" i="8"/>
  <c r="JG6" i="8" s="1"/>
  <c r="JI6" i="8" s="1"/>
  <c r="A9" i="7"/>
  <c r="R3" i="7"/>
  <c r="EQ5" i="8"/>
  <c r="T2" i="1"/>
  <c r="AD14" i="3" s="1"/>
  <c r="T3" i="1"/>
  <c r="JX4" i="8"/>
  <c r="HP4" i="8"/>
  <c r="JV6" i="8"/>
  <c r="JX6" i="8" s="1"/>
  <c r="JX5" i="8"/>
  <c r="HN6" i="8"/>
  <c r="HP5" i="8"/>
  <c r="GY6" i="8"/>
  <c r="GY7" i="8" s="1"/>
  <c r="L7" i="8"/>
  <c r="L8" i="8" s="1"/>
  <c r="L9" i="8" s="1"/>
  <c r="LO5" i="8"/>
  <c r="LO6" i="8" s="1"/>
  <c r="LQ4" i="8"/>
  <c r="NJ4" i="8"/>
  <c r="NH5" i="8"/>
  <c r="MS6" i="8"/>
  <c r="MU6" i="8" s="1"/>
  <c r="MU5" i="8"/>
  <c r="AP5" i="8"/>
  <c r="AP6" i="8" s="1"/>
  <c r="BE5" i="8"/>
  <c r="LB4" i="8"/>
  <c r="KK6" i="8"/>
  <c r="KM6" i="8" s="1"/>
  <c r="MD5" i="8"/>
  <c r="MD6" i="8" s="1"/>
  <c r="IT4" i="8"/>
  <c r="KM4" i="8"/>
  <c r="N6" i="8"/>
  <c r="MF4" i="8"/>
  <c r="N5" i="8"/>
  <c r="KZ6" i="8"/>
  <c r="KZ7" i="8" s="1"/>
  <c r="KM5" i="8"/>
  <c r="IR5" i="8"/>
  <c r="N4" i="8"/>
  <c r="IE4" i="8"/>
  <c r="IE5" i="8"/>
  <c r="FH4" i="8"/>
  <c r="GJ5" i="8"/>
  <c r="GL5" i="8" s="1"/>
  <c r="FU5" i="8"/>
  <c r="IC6" i="8"/>
  <c r="GL4" i="8"/>
  <c r="FF5" i="8"/>
  <c r="FF6" i="8" s="1"/>
  <c r="CX6" i="8"/>
  <c r="CI5" i="8"/>
  <c r="CI6" i="8" s="1"/>
  <c r="BT5" i="8"/>
  <c r="BT6" i="8" s="1"/>
  <c r="BT7" i="8" s="1"/>
  <c r="EB5" i="8"/>
  <c r="DM5" i="8"/>
  <c r="AA5" i="8"/>
  <c r="JI5" i="8" l="1"/>
  <c r="EQ6" i="8"/>
  <c r="EQ7" i="8" s="1"/>
  <c r="A10" i="7"/>
  <c r="HN7" i="8"/>
  <c r="HN8" i="8" s="1"/>
  <c r="T6" i="1"/>
  <c r="AD16" i="3" s="1"/>
  <c r="T7" i="1"/>
  <c r="AD17" i="3" s="1"/>
  <c r="JV7" i="8"/>
  <c r="GY8" i="8"/>
  <c r="GY9" i="8" s="1"/>
  <c r="GY10" i="8" s="1"/>
  <c r="GY11" i="8" s="1"/>
  <c r="HA6" i="8"/>
  <c r="LQ5" i="8"/>
  <c r="LB6" i="8"/>
  <c r="LB7" i="8"/>
  <c r="KZ8" i="8"/>
  <c r="LB8" i="8" s="1"/>
  <c r="AP7" i="8"/>
  <c r="AP8" i="8" s="1"/>
  <c r="AP9" i="8" s="1"/>
  <c r="KK7" i="8"/>
  <c r="KK8" i="8" s="1"/>
  <c r="JG7" i="8"/>
  <c r="LO7" i="8"/>
  <c r="N8" i="8"/>
  <c r="NH6" i="8"/>
  <c r="IR6" i="8"/>
  <c r="IT6" i="8" s="1"/>
  <c r="MD7" i="8"/>
  <c r="MF5" i="8"/>
  <c r="IT5" i="8"/>
  <c r="L10" i="8"/>
  <c r="N7" i="8"/>
  <c r="MF6" i="8"/>
  <c r="BE6" i="8"/>
  <c r="N9" i="8"/>
  <c r="NJ5" i="8"/>
  <c r="MS7" i="8"/>
  <c r="LQ6" i="8"/>
  <c r="GJ6" i="8"/>
  <c r="GJ7" i="8" s="1"/>
  <c r="CI7" i="8"/>
  <c r="FU6" i="8"/>
  <c r="IC7" i="8"/>
  <c r="IC8" i="8" s="1"/>
  <c r="FH5" i="8"/>
  <c r="FF7" i="8"/>
  <c r="FF8" i="8" s="1"/>
  <c r="CX7" i="8"/>
  <c r="BV4" i="8"/>
  <c r="ED5" i="8"/>
  <c r="EB6" i="8"/>
  <c r="DM6" i="8"/>
  <c r="BT8" i="8"/>
  <c r="AA6" i="8"/>
  <c r="KZ9" i="8" l="1"/>
  <c r="AA7" i="8"/>
  <c r="AC5" i="8" s="1"/>
  <c r="AC4" i="8"/>
  <c r="ES5" i="8"/>
  <c r="FU7" i="8"/>
  <c r="CK5" i="8"/>
  <c r="CI8" i="8"/>
  <c r="CI9" i="8" s="1"/>
  <c r="CI10" i="8" s="1"/>
  <c r="CK4" i="8"/>
  <c r="CZ4" i="8"/>
  <c r="AR4" i="8"/>
  <c r="AR5" i="8"/>
  <c r="AR6" i="8"/>
  <c r="AP10" i="8"/>
  <c r="AR7" i="8" s="1"/>
  <c r="HP7" i="8"/>
  <c r="HP6" i="8"/>
  <c r="EQ8" i="8"/>
  <c r="EQ9" i="8" s="1"/>
  <c r="EQ10" i="8" s="1"/>
  <c r="EQ11" i="8" s="1"/>
  <c r="ES6" i="8"/>
  <c r="KM7" i="8"/>
  <c r="IE6" i="8"/>
  <c r="JG8" i="8"/>
  <c r="FH6" i="8"/>
  <c r="A11" i="7"/>
  <c r="A12" i="7" s="1"/>
  <c r="JX7" i="8"/>
  <c r="IE7" i="8"/>
  <c r="JV8" i="8"/>
  <c r="JV9" i="8" s="1"/>
  <c r="JV10" i="8" s="1"/>
  <c r="BE7" i="8"/>
  <c r="BG4" i="8" s="1"/>
  <c r="L11" i="8"/>
  <c r="NJ6" i="8"/>
  <c r="NH7" i="8"/>
  <c r="NH8" i="8" s="1"/>
  <c r="LQ7" i="8"/>
  <c r="LO8" i="8"/>
  <c r="MS8" i="8"/>
  <c r="MU7" i="8"/>
  <c r="KZ10" i="8"/>
  <c r="LB10" i="8" s="1"/>
  <c r="LB9" i="8"/>
  <c r="N10" i="8"/>
  <c r="MD8" i="8"/>
  <c r="MF8" i="8" s="1"/>
  <c r="MF7" i="8"/>
  <c r="KM8" i="8"/>
  <c r="KK9" i="8"/>
  <c r="IR7" i="8"/>
  <c r="IR8" i="8" s="1"/>
  <c r="IR9" i="8" s="1"/>
  <c r="JI7" i="8"/>
  <c r="GY12" i="8"/>
  <c r="GL7" i="8"/>
  <c r="GL6" i="8"/>
  <c r="GJ8" i="8"/>
  <c r="HN9" i="8"/>
  <c r="HP8" i="8" s="1"/>
  <c r="IC9" i="8"/>
  <c r="IC10" i="8" s="1"/>
  <c r="FF9" i="8"/>
  <c r="FH7" i="8"/>
  <c r="CX8" i="8"/>
  <c r="BV5" i="8"/>
  <c r="EB7" i="8"/>
  <c r="EB8" i="8" s="1"/>
  <c r="DM7" i="8"/>
  <c r="DO4" i="8" s="1"/>
  <c r="BT9" i="8"/>
  <c r="BV6" i="8" s="1"/>
  <c r="AA8" i="8" l="1"/>
  <c r="AA9" i="8" s="1"/>
  <c r="AA10" i="8" s="1"/>
  <c r="AC6" i="8"/>
  <c r="ES7" i="8"/>
  <c r="FW4" i="8"/>
  <c r="FU8" i="8"/>
  <c r="CZ5" i="8"/>
  <c r="AP11" i="8"/>
  <c r="ES8" i="8"/>
  <c r="IE8" i="8"/>
  <c r="A13" i="7"/>
  <c r="A14" i="7" s="1"/>
  <c r="JG9" i="8"/>
  <c r="JI9" i="8" s="1"/>
  <c r="JI8" i="8"/>
  <c r="JX8" i="8"/>
  <c r="ED6" i="8"/>
  <c r="DO5" i="8"/>
  <c r="GY13" i="8"/>
  <c r="BE8" i="8"/>
  <c r="MD9" i="8"/>
  <c r="MF9" i="8" s="1"/>
  <c r="NH9" i="8"/>
  <c r="GJ9" i="8"/>
  <c r="GJ10" i="8" s="1"/>
  <c r="KK10" i="8"/>
  <c r="KM10" i="8" s="1"/>
  <c r="MS9" i="8"/>
  <c r="MS10" i="8" s="1"/>
  <c r="IR10" i="8"/>
  <c r="IR11" i="8" s="1"/>
  <c r="KM9" i="8"/>
  <c r="NJ8" i="8"/>
  <c r="NJ7" i="8"/>
  <c r="MU8" i="8"/>
  <c r="LQ8" i="8"/>
  <c r="IT9" i="8"/>
  <c r="JX9" i="8"/>
  <c r="KZ11" i="8"/>
  <c r="IT8" i="8"/>
  <c r="IT7" i="8"/>
  <c r="JX10" i="8"/>
  <c r="LO9" i="8"/>
  <c r="LQ9" i="8" s="1"/>
  <c r="N11" i="8"/>
  <c r="JV11" i="8"/>
  <c r="L12" i="8"/>
  <c r="HN10" i="8"/>
  <c r="HN11" i="8" s="1"/>
  <c r="HN12" i="8" s="1"/>
  <c r="HN13" i="8" s="1"/>
  <c r="HN14" i="8" s="1"/>
  <c r="EQ12" i="8"/>
  <c r="IE9" i="8"/>
  <c r="IC11" i="8"/>
  <c r="IE10" i="8" s="1"/>
  <c r="GL8" i="8"/>
  <c r="FF10" i="8"/>
  <c r="FF11" i="8" s="1"/>
  <c r="EB9" i="8"/>
  <c r="CX9" i="8"/>
  <c r="CZ6" i="8" s="1"/>
  <c r="CI11" i="8"/>
  <c r="BT10" i="8"/>
  <c r="ED7" i="8"/>
  <c r="DM8" i="8"/>
  <c r="FU9" i="8" l="1"/>
  <c r="AP12" i="8"/>
  <c r="AP13" i="8" s="1"/>
  <c r="AR8" i="8" s="1"/>
  <c r="HP9" i="8"/>
  <c r="GY14" i="8"/>
  <c r="GY15" i="8" s="1"/>
  <c r="GY16" i="8" s="1"/>
  <c r="GY17" i="8" s="1"/>
  <c r="MD10" i="8"/>
  <c r="MD11" i="8" s="1"/>
  <c r="IT10" i="8"/>
  <c r="LO10" i="8"/>
  <c r="LQ10" i="8" s="1"/>
  <c r="JG10" i="8"/>
  <c r="JI10" i="8" s="1"/>
  <c r="A15" i="7"/>
  <c r="EQ13" i="8"/>
  <c r="EQ14" i="8" s="1"/>
  <c r="KK11" i="8"/>
  <c r="KK12" i="8" s="1"/>
  <c r="KK13" i="8" s="1"/>
  <c r="DO6" i="8"/>
  <c r="BE9" i="8"/>
  <c r="BE10" i="8" s="1"/>
  <c r="HP10" i="8"/>
  <c r="NJ9" i="8"/>
  <c r="NH10" i="8"/>
  <c r="NJ10" i="8" s="1"/>
  <c r="L13" i="8"/>
  <c r="N12" i="8"/>
  <c r="JV12" i="8"/>
  <c r="KZ12" i="8"/>
  <c r="LB11" i="8"/>
  <c r="MS11" i="8"/>
  <c r="MU11" i="8" s="1"/>
  <c r="JX11" i="8"/>
  <c r="IR12" i="8"/>
  <c r="IT11" i="8"/>
  <c r="MU9" i="8"/>
  <c r="MU10" i="8"/>
  <c r="HN15" i="8"/>
  <c r="HN16" i="8" s="1"/>
  <c r="HN17" i="8" s="1"/>
  <c r="HN18" i="8" s="1"/>
  <c r="HN19" i="8" s="1"/>
  <c r="HN20" i="8" s="1"/>
  <c r="HN21" i="8" s="1"/>
  <c r="HN22" i="8" s="1"/>
  <c r="HN23" i="8" s="1"/>
  <c r="HN24" i="8" s="1"/>
  <c r="HN25" i="8" s="1"/>
  <c r="HN26" i="8" s="1"/>
  <c r="HN27" i="8" s="1"/>
  <c r="GJ11" i="8"/>
  <c r="IC12" i="8"/>
  <c r="IE11" i="8" s="1"/>
  <c r="HP12" i="8"/>
  <c r="HP13" i="8"/>
  <c r="HP11" i="8"/>
  <c r="FF12" i="8"/>
  <c r="ED8" i="8"/>
  <c r="EB10" i="8"/>
  <c r="CX10" i="8"/>
  <c r="CZ7" i="8" s="1"/>
  <c r="CI12" i="8"/>
  <c r="BV7" i="8"/>
  <c r="BT11" i="8"/>
  <c r="BT12" i="8" s="1"/>
  <c r="DM9" i="8"/>
  <c r="DM10" i="8" s="1"/>
  <c r="DM11" i="8" s="1"/>
  <c r="DM12" i="8" s="1"/>
  <c r="DM13" i="8" s="1"/>
  <c r="DM14" i="8" s="1"/>
  <c r="DM15" i="8" s="1"/>
  <c r="DM16" i="8" s="1"/>
  <c r="DM17" i="8" s="1"/>
  <c r="DM18" i="8" s="1"/>
  <c r="DM19" i="8" s="1"/>
  <c r="DM20" i="8" s="1"/>
  <c r="DM21" i="8" s="1"/>
  <c r="DM22" i="8" s="1"/>
  <c r="DM23" i="8" s="1"/>
  <c r="DM24" i="8" s="1"/>
  <c r="DM25" i="8" s="1"/>
  <c r="AA11" i="8"/>
  <c r="BG5" i="8" l="1"/>
  <c r="BG6" i="8"/>
  <c r="FU10" i="8"/>
  <c r="FU11" i="8" s="1"/>
  <c r="AP14" i="8"/>
  <c r="AP15" i="8" s="1"/>
  <c r="AP16" i="8" s="1"/>
  <c r="AP17" i="8" s="1"/>
  <c r="AP18" i="8" s="1"/>
  <c r="AP19" i="8" s="1"/>
  <c r="AP20" i="8" s="1"/>
  <c r="AP21" i="8" s="1"/>
  <c r="AP22" i="8" s="1"/>
  <c r="AP23" i="8" s="1"/>
  <c r="AP24" i="8" s="1"/>
  <c r="AP25" i="8" s="1"/>
  <c r="AP26" i="8" s="1"/>
  <c r="AP27" i="8" s="1"/>
  <c r="AP28" i="8" s="1"/>
  <c r="AP29" i="8" s="1"/>
  <c r="AP30" i="8" s="1"/>
  <c r="AP31" i="8" s="1"/>
  <c r="AP32" i="8" s="1"/>
  <c r="AP33" i="8" s="1"/>
  <c r="AP34" i="8" s="1"/>
  <c r="AP35" i="8" s="1"/>
  <c r="AP36" i="8" s="1"/>
  <c r="AP37" i="8" s="1"/>
  <c r="AP38" i="8" s="1"/>
  <c r="AP39" i="8" s="1"/>
  <c r="AP40" i="8" s="1"/>
  <c r="AP41" i="8" s="1"/>
  <c r="AP42" i="8" s="1"/>
  <c r="AP43" i="8" s="1"/>
  <c r="AP44" i="8" s="1"/>
  <c r="AP45" i="8" s="1"/>
  <c r="AP46" i="8" s="1"/>
  <c r="AP47" i="8" s="1"/>
  <c r="AP48" i="8" s="1"/>
  <c r="AP49" i="8" s="1"/>
  <c r="AP50" i="8" s="1"/>
  <c r="AP51" i="8" s="1"/>
  <c r="AP52" i="8" s="1"/>
  <c r="AP53" i="8" s="1"/>
  <c r="AP54" i="8" s="1"/>
  <c r="AP55" i="8" s="1"/>
  <c r="AR52" i="8" s="1"/>
  <c r="HA7" i="8"/>
  <c r="HA8" i="8"/>
  <c r="GY18" i="8"/>
  <c r="GY19" i="8" s="1"/>
  <c r="GY20" i="8" s="1"/>
  <c r="HA9" i="8"/>
  <c r="HA10" i="8"/>
  <c r="NH11" i="8"/>
  <c r="NH12" i="8" s="1"/>
  <c r="NH13" i="8" s="1"/>
  <c r="NH14" i="8" s="1"/>
  <c r="NH15" i="8" s="1"/>
  <c r="NH16" i="8" s="1"/>
  <c r="NH17" i="8" s="1"/>
  <c r="NH18" i="8" s="1"/>
  <c r="NH19" i="8" s="1"/>
  <c r="NH20" i="8" s="1"/>
  <c r="NH21" i="8" s="1"/>
  <c r="NH22" i="8" s="1"/>
  <c r="NH23" i="8" s="1"/>
  <c r="NH24" i="8" s="1"/>
  <c r="NH25" i="8" s="1"/>
  <c r="NH26" i="8" s="1"/>
  <c r="NH27" i="8" s="1"/>
  <c r="NH28" i="8" s="1"/>
  <c r="NH29" i="8" s="1"/>
  <c r="NH30" i="8" s="1"/>
  <c r="NH31" i="8" s="1"/>
  <c r="NH32" i="8" s="1"/>
  <c r="NH33" i="8" s="1"/>
  <c r="NH34" i="8" s="1"/>
  <c r="NH35" i="8" s="1"/>
  <c r="NH36" i="8" s="1"/>
  <c r="NH37" i="8" s="1"/>
  <c r="NH38" i="8" s="1"/>
  <c r="NH39" i="8" s="1"/>
  <c r="NH40" i="8" s="1"/>
  <c r="NH41" i="8" s="1"/>
  <c r="NH42" i="8" s="1"/>
  <c r="NH43" i="8" s="1"/>
  <c r="NH44" i="8" s="1"/>
  <c r="NH45" i="8" s="1"/>
  <c r="NH46" i="8" s="1"/>
  <c r="NH47" i="8" s="1"/>
  <c r="NH48" i="8" s="1"/>
  <c r="NH49" i="8" s="1"/>
  <c r="NH50" i="8" s="1"/>
  <c r="NH51" i="8" s="1"/>
  <c r="NH52" i="8" s="1"/>
  <c r="NH53" i="8" s="1"/>
  <c r="NH54" i="8" s="1"/>
  <c r="NH55" i="8" s="1"/>
  <c r="MD12" i="8"/>
  <c r="MF12" i="8" s="1"/>
  <c r="KK14" i="8"/>
  <c r="KK15" i="8" s="1"/>
  <c r="KK16" i="8" s="1"/>
  <c r="KK17" i="8" s="1"/>
  <c r="KK18" i="8" s="1"/>
  <c r="KK19" i="8" s="1"/>
  <c r="KK20" i="8" s="1"/>
  <c r="KK21" i="8" s="1"/>
  <c r="KK22" i="8" s="1"/>
  <c r="KK23" i="8" s="1"/>
  <c r="KK24" i="8" s="1"/>
  <c r="KK25" i="8" s="1"/>
  <c r="KK26" i="8" s="1"/>
  <c r="KK27" i="8" s="1"/>
  <c r="KK28" i="8" s="1"/>
  <c r="KK29" i="8" s="1"/>
  <c r="KK30" i="8" s="1"/>
  <c r="KK31" i="8" s="1"/>
  <c r="KK32" i="8" s="1"/>
  <c r="KK33" i="8" s="1"/>
  <c r="KK34" i="8" s="1"/>
  <c r="KK35" i="8" s="1"/>
  <c r="KK36" i="8" s="1"/>
  <c r="KK37" i="8" s="1"/>
  <c r="KK38" i="8" s="1"/>
  <c r="KK39" i="8" s="1"/>
  <c r="KK40" i="8" s="1"/>
  <c r="KK41" i="8" s="1"/>
  <c r="KK42" i="8" s="1"/>
  <c r="KK43" i="8" s="1"/>
  <c r="KK44" i="8" s="1"/>
  <c r="KK45" i="8" s="1"/>
  <c r="KK46" i="8" s="1"/>
  <c r="KK47" i="8" s="1"/>
  <c r="KK48" i="8" s="1"/>
  <c r="KK49" i="8" s="1"/>
  <c r="KK50" i="8" s="1"/>
  <c r="KK51" i="8" s="1"/>
  <c r="KK52" i="8" s="1"/>
  <c r="KK53" i="8" s="1"/>
  <c r="KK54" i="8" s="1"/>
  <c r="KK55" i="8" s="1"/>
  <c r="KM44" i="8" s="1"/>
  <c r="HP14" i="8"/>
  <c r="KM13" i="8"/>
  <c r="HP16" i="8"/>
  <c r="KM12" i="8"/>
  <c r="MF10" i="8"/>
  <c r="LO11" i="8"/>
  <c r="LQ11" i="8" s="1"/>
  <c r="KM11" i="8"/>
  <c r="A16" i="7"/>
  <c r="A17" i="7" s="1"/>
  <c r="JG11" i="8"/>
  <c r="JG12" i="8" s="1"/>
  <c r="EQ15" i="8"/>
  <c r="ES9" i="8"/>
  <c r="HP19" i="8"/>
  <c r="DO7" i="8"/>
  <c r="DO8" i="8"/>
  <c r="HP20" i="8"/>
  <c r="IR13" i="8"/>
  <c r="HP23" i="8"/>
  <c r="HP21" i="8"/>
  <c r="L14" i="8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MS12" i="8"/>
  <c r="JX12" i="8"/>
  <c r="JV13" i="8"/>
  <c r="KZ13" i="8"/>
  <c r="LB13" i="8" s="1"/>
  <c r="HN28" i="8"/>
  <c r="HN29" i="8" s="1"/>
  <c r="HN30" i="8" s="1"/>
  <c r="HN31" i="8" s="1"/>
  <c r="HN32" i="8" s="1"/>
  <c r="HN33" i="8" s="1"/>
  <c r="HN34" i="8" s="1"/>
  <c r="HN35" i="8" s="1"/>
  <c r="HN36" i="8" s="1"/>
  <c r="HN37" i="8" s="1"/>
  <c r="HN38" i="8" s="1"/>
  <c r="HN39" i="8" s="1"/>
  <c r="HN40" i="8" s="1"/>
  <c r="HN41" i="8" s="1"/>
  <c r="HN42" i="8" s="1"/>
  <c r="HN43" i="8" s="1"/>
  <c r="HN44" i="8" s="1"/>
  <c r="HN45" i="8" s="1"/>
  <c r="HN46" i="8" s="1"/>
  <c r="HN47" i="8" s="1"/>
  <c r="HN48" i="8" s="1"/>
  <c r="HN49" i="8" s="1"/>
  <c r="HN50" i="8" s="1"/>
  <c r="HN51" i="8" s="1"/>
  <c r="HN52" i="8" s="1"/>
  <c r="HN53" i="8" s="1"/>
  <c r="HN54" i="8" s="1"/>
  <c r="HN55" i="8" s="1"/>
  <c r="DM26" i="8"/>
  <c r="IC13" i="8"/>
  <c r="IC14" i="8" s="1"/>
  <c r="IC15" i="8" s="1"/>
  <c r="IC16" i="8" s="1"/>
  <c r="IC17" i="8" s="1"/>
  <c r="IC18" i="8" s="1"/>
  <c r="IC19" i="8" s="1"/>
  <c r="IC20" i="8" s="1"/>
  <c r="IC21" i="8" s="1"/>
  <c r="IC22" i="8" s="1"/>
  <c r="IC23" i="8" s="1"/>
  <c r="IC24" i="8" s="1"/>
  <c r="IC25" i="8" s="1"/>
  <c r="IC26" i="8" s="1"/>
  <c r="IC27" i="8" s="1"/>
  <c r="IC28" i="8" s="1"/>
  <c r="IC29" i="8" s="1"/>
  <c r="IC30" i="8" s="1"/>
  <c r="IC31" i="8" s="1"/>
  <c r="IC32" i="8" s="1"/>
  <c r="IC33" i="8" s="1"/>
  <c r="IC34" i="8" s="1"/>
  <c r="IC35" i="8" s="1"/>
  <c r="IC36" i="8" s="1"/>
  <c r="IC37" i="8" s="1"/>
  <c r="IC38" i="8" s="1"/>
  <c r="IC39" i="8" s="1"/>
  <c r="IC40" i="8" s="1"/>
  <c r="IC41" i="8" s="1"/>
  <c r="IC42" i="8" s="1"/>
  <c r="IC43" i="8" s="1"/>
  <c r="IC44" i="8" s="1"/>
  <c r="IC45" i="8" s="1"/>
  <c r="IC46" i="8" s="1"/>
  <c r="IC47" i="8" s="1"/>
  <c r="IC48" i="8" s="1"/>
  <c r="IC49" i="8" s="1"/>
  <c r="IC50" i="8" s="1"/>
  <c r="IC51" i="8" s="1"/>
  <c r="IC52" i="8" s="1"/>
  <c r="IC53" i="8" s="1"/>
  <c r="IC54" i="8" s="1"/>
  <c r="IC55" i="8" s="1"/>
  <c r="GJ12" i="8"/>
  <c r="BE11" i="8"/>
  <c r="BG7" i="8" s="1"/>
  <c r="HP22" i="8"/>
  <c r="FF13" i="8"/>
  <c r="FH8" i="8" s="1"/>
  <c r="EB11" i="8"/>
  <c r="EB12" i="8" s="1"/>
  <c r="EB13" i="8" s="1"/>
  <c r="EB14" i="8" s="1"/>
  <c r="EB15" i="8" s="1"/>
  <c r="EB16" i="8" s="1"/>
  <c r="EB17" i="8" s="1"/>
  <c r="EB18" i="8" s="1"/>
  <c r="EB19" i="8" s="1"/>
  <c r="EB20" i="8" s="1"/>
  <c r="EB21" i="8" s="1"/>
  <c r="EB22" i="8" s="1"/>
  <c r="EB23" i="8" s="1"/>
  <c r="CX11" i="8"/>
  <c r="CI13" i="8"/>
  <c r="BV8" i="8"/>
  <c r="DO12" i="8"/>
  <c r="DO10" i="8"/>
  <c r="DO16" i="8"/>
  <c r="DO14" i="8"/>
  <c r="DO19" i="8"/>
  <c r="DO9" i="8"/>
  <c r="DO11" i="8"/>
  <c r="DO15" i="8"/>
  <c r="DO17" i="8"/>
  <c r="DO13" i="8"/>
  <c r="DO20" i="8"/>
  <c r="DO18" i="8"/>
  <c r="BT13" i="8"/>
  <c r="BV9" i="8" s="1"/>
  <c r="AA12" i="8"/>
  <c r="AR9" i="8" l="1"/>
  <c r="AR10" i="8"/>
  <c r="AR12" i="8"/>
  <c r="AR11" i="8"/>
  <c r="AR13" i="8"/>
  <c r="HA11" i="8"/>
  <c r="KM19" i="8"/>
  <c r="KM18" i="8"/>
  <c r="GY21" i="8"/>
  <c r="KM14" i="8"/>
  <c r="KM26" i="8"/>
  <c r="KM33" i="8"/>
  <c r="HP25" i="8"/>
  <c r="KM35" i="8"/>
  <c r="KM24" i="8"/>
  <c r="KM45" i="8"/>
  <c r="KM47" i="8"/>
  <c r="KM37" i="8"/>
  <c r="KM27" i="8"/>
  <c r="KM21" i="8"/>
  <c r="KM20" i="8"/>
  <c r="KM52" i="8"/>
  <c r="KM54" i="8"/>
  <c r="MD13" i="8"/>
  <c r="MD14" i="8" s="1"/>
  <c r="MD15" i="8" s="1"/>
  <c r="MD16" i="8" s="1"/>
  <c r="MD17" i="8" s="1"/>
  <c r="MD18" i="8" s="1"/>
  <c r="MD19" i="8" s="1"/>
  <c r="MD20" i="8" s="1"/>
  <c r="MD21" i="8" s="1"/>
  <c r="MD22" i="8" s="1"/>
  <c r="MD23" i="8" s="1"/>
  <c r="MD24" i="8" s="1"/>
  <c r="MD25" i="8" s="1"/>
  <c r="MD26" i="8" s="1"/>
  <c r="MD27" i="8" s="1"/>
  <c r="MD28" i="8" s="1"/>
  <c r="MD29" i="8" s="1"/>
  <c r="MD30" i="8" s="1"/>
  <c r="MD31" i="8" s="1"/>
  <c r="MD32" i="8" s="1"/>
  <c r="MD33" i="8" s="1"/>
  <c r="MD34" i="8" s="1"/>
  <c r="MD35" i="8" s="1"/>
  <c r="MD36" i="8" s="1"/>
  <c r="MD37" i="8" s="1"/>
  <c r="MD38" i="8" s="1"/>
  <c r="MD39" i="8" s="1"/>
  <c r="MD40" i="8" s="1"/>
  <c r="MD41" i="8" s="1"/>
  <c r="MD42" i="8" s="1"/>
  <c r="MD43" i="8" s="1"/>
  <c r="MD44" i="8" s="1"/>
  <c r="MD45" i="8" s="1"/>
  <c r="MD46" i="8" s="1"/>
  <c r="MD47" i="8" s="1"/>
  <c r="MD48" i="8" s="1"/>
  <c r="MD49" i="8" s="1"/>
  <c r="MD50" i="8" s="1"/>
  <c r="MD51" i="8" s="1"/>
  <c r="MD52" i="8" s="1"/>
  <c r="MD53" i="8" s="1"/>
  <c r="MD54" i="8" s="1"/>
  <c r="MD55" i="8" s="1"/>
  <c r="MF18" i="8" s="1"/>
  <c r="KM25" i="8"/>
  <c r="KM30" i="8"/>
  <c r="KM32" i="8"/>
  <c r="KM42" i="8"/>
  <c r="KM23" i="8"/>
  <c r="KM22" i="8"/>
  <c r="KM53" i="8"/>
  <c r="KM46" i="8"/>
  <c r="KM16" i="8"/>
  <c r="KM48" i="8"/>
  <c r="KM50" i="8"/>
  <c r="KM28" i="8"/>
  <c r="KM17" i="8"/>
  <c r="KM34" i="8"/>
  <c r="KM51" i="8"/>
  <c r="KM40" i="8"/>
  <c r="KM15" i="8"/>
  <c r="KM49" i="8"/>
  <c r="KM39" i="8"/>
  <c r="KM41" i="8"/>
  <c r="KM31" i="8"/>
  <c r="KM29" i="8"/>
  <c r="KM43" i="8"/>
  <c r="KM36" i="8"/>
  <c r="KM55" i="8"/>
  <c r="KM38" i="8"/>
  <c r="JG13" i="8"/>
  <c r="JG14" i="8" s="1"/>
  <c r="JG15" i="8" s="1"/>
  <c r="JG16" i="8" s="1"/>
  <c r="JG17" i="8" s="1"/>
  <c r="JG18" i="8" s="1"/>
  <c r="JG19" i="8" s="1"/>
  <c r="JG20" i="8" s="1"/>
  <c r="JG21" i="8" s="1"/>
  <c r="JG22" i="8" s="1"/>
  <c r="JG23" i="8" s="1"/>
  <c r="JG24" i="8" s="1"/>
  <c r="JG25" i="8" s="1"/>
  <c r="JG26" i="8" s="1"/>
  <c r="JG27" i="8" s="1"/>
  <c r="JG28" i="8" s="1"/>
  <c r="JG29" i="8" s="1"/>
  <c r="JG30" i="8" s="1"/>
  <c r="JG31" i="8" s="1"/>
  <c r="JG32" i="8" s="1"/>
  <c r="JG33" i="8" s="1"/>
  <c r="JG34" i="8" s="1"/>
  <c r="JG35" i="8" s="1"/>
  <c r="JG36" i="8" s="1"/>
  <c r="JG37" i="8" s="1"/>
  <c r="JG38" i="8" s="1"/>
  <c r="JG39" i="8" s="1"/>
  <c r="JG40" i="8" s="1"/>
  <c r="JG41" i="8" s="1"/>
  <c r="JG42" i="8" s="1"/>
  <c r="JG43" i="8" s="1"/>
  <c r="JG44" i="8" s="1"/>
  <c r="JG45" i="8" s="1"/>
  <c r="JG46" i="8" s="1"/>
  <c r="JG47" i="8" s="1"/>
  <c r="JG48" i="8" s="1"/>
  <c r="JG49" i="8" s="1"/>
  <c r="JG50" i="8" s="1"/>
  <c r="JG51" i="8" s="1"/>
  <c r="JG52" i="8" s="1"/>
  <c r="JG53" i="8" s="1"/>
  <c r="JG54" i="8" s="1"/>
  <c r="JG55" i="8" s="1"/>
  <c r="JI46" i="8" s="1"/>
  <c r="LO12" i="8"/>
  <c r="JI11" i="8"/>
  <c r="EQ16" i="8"/>
  <c r="ES11" i="8" s="1"/>
  <c r="ES10" i="8"/>
  <c r="A18" i="7"/>
  <c r="N36" i="8"/>
  <c r="FF14" i="8"/>
  <c r="ED9" i="8"/>
  <c r="IE41" i="8"/>
  <c r="IE17" i="8"/>
  <c r="IE38" i="8"/>
  <c r="IE15" i="8"/>
  <c r="NJ27" i="8"/>
  <c r="NJ35" i="8"/>
  <c r="NJ45" i="8"/>
  <c r="IE14" i="8"/>
  <c r="NJ40" i="8"/>
  <c r="NJ31" i="8"/>
  <c r="NJ32" i="8"/>
  <c r="NJ25" i="8"/>
  <c r="NJ39" i="8"/>
  <c r="IE42" i="8"/>
  <c r="NJ24" i="8"/>
  <c r="NJ38" i="8"/>
  <c r="NJ15" i="8"/>
  <c r="NJ30" i="8"/>
  <c r="NJ11" i="8"/>
  <c r="NJ55" i="8"/>
  <c r="NJ54" i="8"/>
  <c r="NJ28" i="8"/>
  <c r="NJ14" i="8"/>
  <c r="NJ53" i="8"/>
  <c r="NJ12" i="8"/>
  <c r="NJ18" i="8"/>
  <c r="NJ21" i="8"/>
  <c r="NJ42" i="8"/>
  <c r="NJ51" i="8"/>
  <c r="NJ47" i="8"/>
  <c r="NJ43" i="8"/>
  <c r="NJ26" i="8"/>
  <c r="NJ29" i="8"/>
  <c r="NJ13" i="8"/>
  <c r="NJ36" i="8"/>
  <c r="NJ49" i="8"/>
  <c r="NJ44" i="8"/>
  <c r="NJ20" i="8"/>
  <c r="IE45" i="8"/>
  <c r="NJ41" i="8"/>
  <c r="NJ48" i="8"/>
  <c r="NJ19" i="8"/>
  <c r="NJ52" i="8"/>
  <c r="NJ22" i="8"/>
  <c r="JV14" i="8"/>
  <c r="N34" i="8"/>
  <c r="IR14" i="8"/>
  <c r="N38" i="8"/>
  <c r="N45" i="8"/>
  <c r="N31" i="8"/>
  <c r="N29" i="8"/>
  <c r="N14" i="8"/>
  <c r="N51" i="8"/>
  <c r="N50" i="8"/>
  <c r="N46" i="8"/>
  <c r="N16" i="8"/>
  <c r="N39" i="8"/>
  <c r="N13" i="8"/>
  <c r="N17" i="8"/>
  <c r="N33" i="8"/>
  <c r="N26" i="8"/>
  <c r="N27" i="8"/>
  <c r="N52" i="8"/>
  <c r="N21" i="8"/>
  <c r="N30" i="8"/>
  <c r="N40" i="8"/>
  <c r="N22" i="8"/>
  <c r="N43" i="8"/>
  <c r="N28" i="8"/>
  <c r="N49" i="8"/>
  <c r="N24" i="8"/>
  <c r="N23" i="8"/>
  <c r="N35" i="8"/>
  <c r="N37" i="8"/>
  <c r="N19" i="8"/>
  <c r="N15" i="8"/>
  <c r="N25" i="8"/>
  <c r="N48" i="8"/>
  <c r="N53" i="8"/>
  <c r="N55" i="8"/>
  <c r="N54" i="8"/>
  <c r="N18" i="8"/>
  <c r="N32" i="8"/>
  <c r="NJ34" i="8"/>
  <c r="N44" i="8"/>
  <c r="BE12" i="8"/>
  <c r="KZ14" i="8"/>
  <c r="NJ23" i="8"/>
  <c r="N41" i="8"/>
  <c r="IE30" i="8"/>
  <c r="NJ17" i="8"/>
  <c r="NJ50" i="8"/>
  <c r="NJ16" i="8"/>
  <c r="N47" i="8"/>
  <c r="IE37" i="8"/>
  <c r="NJ46" i="8"/>
  <c r="N42" i="8"/>
  <c r="MS13" i="8"/>
  <c r="MS14" i="8" s="1"/>
  <c r="MS15" i="8" s="1"/>
  <c r="MS16" i="8" s="1"/>
  <c r="MS17" i="8" s="1"/>
  <c r="MS18" i="8" s="1"/>
  <c r="MS19" i="8" s="1"/>
  <c r="MS20" i="8" s="1"/>
  <c r="MS21" i="8" s="1"/>
  <c r="MS22" i="8" s="1"/>
  <c r="MS23" i="8" s="1"/>
  <c r="MS24" i="8" s="1"/>
  <c r="MS25" i="8" s="1"/>
  <c r="MS26" i="8" s="1"/>
  <c r="MS27" i="8" s="1"/>
  <c r="MS28" i="8" s="1"/>
  <c r="MS29" i="8" s="1"/>
  <c r="MS30" i="8" s="1"/>
  <c r="MS31" i="8" s="1"/>
  <c r="MS32" i="8" s="1"/>
  <c r="MS33" i="8" s="1"/>
  <c r="MS34" i="8" s="1"/>
  <c r="MS35" i="8" s="1"/>
  <c r="MS36" i="8" s="1"/>
  <c r="MS37" i="8" s="1"/>
  <c r="MS38" i="8" s="1"/>
  <c r="MS39" i="8" s="1"/>
  <c r="MS40" i="8" s="1"/>
  <c r="MS41" i="8" s="1"/>
  <c r="MS42" i="8" s="1"/>
  <c r="MS43" i="8" s="1"/>
  <c r="MS44" i="8" s="1"/>
  <c r="MS45" i="8" s="1"/>
  <c r="MS46" i="8" s="1"/>
  <c r="MS47" i="8" s="1"/>
  <c r="MS48" i="8" s="1"/>
  <c r="MS49" i="8" s="1"/>
  <c r="MS50" i="8" s="1"/>
  <c r="MS51" i="8" s="1"/>
  <c r="MS52" i="8" s="1"/>
  <c r="MS53" i="8" s="1"/>
  <c r="MS54" i="8" s="1"/>
  <c r="MS55" i="8" s="1"/>
  <c r="MU34" i="8" s="1"/>
  <c r="NJ33" i="8"/>
  <c r="NJ37" i="8"/>
  <c r="N20" i="8"/>
  <c r="HP18" i="8"/>
  <c r="HP32" i="8"/>
  <c r="HP46" i="8"/>
  <c r="HP45" i="8"/>
  <c r="HP24" i="8"/>
  <c r="HP43" i="8"/>
  <c r="HP55" i="8"/>
  <c r="HP34" i="8"/>
  <c r="HP49" i="8"/>
  <c r="HP27" i="8"/>
  <c r="HP44" i="8"/>
  <c r="HP15" i="8"/>
  <c r="HP26" i="8"/>
  <c r="HP51" i="8"/>
  <c r="HP42" i="8"/>
  <c r="HP48" i="8"/>
  <c r="HP37" i="8"/>
  <c r="HP28" i="8"/>
  <c r="HP41" i="8"/>
  <c r="HP53" i="8"/>
  <c r="HP38" i="8"/>
  <c r="HP30" i="8"/>
  <c r="HP17" i="8"/>
  <c r="HP47" i="8"/>
  <c r="HP31" i="8"/>
  <c r="HP40" i="8"/>
  <c r="HP29" i="8"/>
  <c r="HP39" i="8"/>
  <c r="HP36" i="8"/>
  <c r="IE25" i="8"/>
  <c r="IE13" i="8"/>
  <c r="IE51" i="8"/>
  <c r="IE28" i="8"/>
  <c r="IE29" i="8"/>
  <c r="IE32" i="8"/>
  <c r="IE35" i="8"/>
  <c r="IE31" i="8"/>
  <c r="IE34" i="8"/>
  <c r="IE24" i="8"/>
  <c r="IE47" i="8"/>
  <c r="IE36" i="8"/>
  <c r="IE54" i="8"/>
  <c r="IE40" i="8"/>
  <c r="IE52" i="8"/>
  <c r="IE23" i="8"/>
  <c r="IE21" i="8"/>
  <c r="IE20" i="8"/>
  <c r="IE44" i="8"/>
  <c r="IE33" i="8"/>
  <c r="IE46" i="8"/>
  <c r="IE39" i="8"/>
  <c r="IE12" i="8"/>
  <c r="IE18" i="8"/>
  <c r="IE26" i="8"/>
  <c r="DM27" i="8"/>
  <c r="DO21" i="8" s="1"/>
  <c r="IE50" i="8"/>
  <c r="HP33" i="8"/>
  <c r="IE53" i="8"/>
  <c r="IE55" i="8"/>
  <c r="IE16" i="8"/>
  <c r="FU12" i="8"/>
  <c r="FU13" i="8" s="1"/>
  <c r="FU14" i="8" s="1"/>
  <c r="FU15" i="8" s="1"/>
  <c r="FU16" i="8" s="1"/>
  <c r="FU17" i="8" s="1"/>
  <c r="FU18" i="8" s="1"/>
  <c r="FU19" i="8" s="1"/>
  <c r="FU20" i="8" s="1"/>
  <c r="FU21" i="8" s="1"/>
  <c r="FU22" i="8" s="1"/>
  <c r="FU23" i="8" s="1"/>
  <c r="FU24" i="8" s="1"/>
  <c r="FU25" i="8" s="1"/>
  <c r="FU26" i="8" s="1"/>
  <c r="FU27" i="8" s="1"/>
  <c r="FU28" i="8" s="1"/>
  <c r="FU29" i="8" s="1"/>
  <c r="FU30" i="8" s="1"/>
  <c r="FU31" i="8" s="1"/>
  <c r="FU32" i="8" s="1"/>
  <c r="FU33" i="8" s="1"/>
  <c r="FU34" i="8" s="1"/>
  <c r="FU35" i="8" s="1"/>
  <c r="FU36" i="8" s="1"/>
  <c r="FU37" i="8" s="1"/>
  <c r="FU38" i="8" s="1"/>
  <c r="FU39" i="8" s="1"/>
  <c r="FU40" i="8" s="1"/>
  <c r="FU41" i="8" s="1"/>
  <c r="FU42" i="8" s="1"/>
  <c r="FU43" i="8" s="1"/>
  <c r="FU44" i="8" s="1"/>
  <c r="FU45" i="8" s="1"/>
  <c r="FU46" i="8" s="1"/>
  <c r="FU47" i="8" s="1"/>
  <c r="FU48" i="8" s="1"/>
  <c r="FU49" i="8" s="1"/>
  <c r="FU50" i="8" s="1"/>
  <c r="FU51" i="8" s="1"/>
  <c r="FU52" i="8" s="1"/>
  <c r="FU53" i="8" s="1"/>
  <c r="FU54" i="8" s="1"/>
  <c r="FU55" i="8" s="1"/>
  <c r="GJ13" i="8"/>
  <c r="GJ14" i="8" s="1"/>
  <c r="GJ15" i="8" s="1"/>
  <c r="GJ16" i="8" s="1"/>
  <c r="GJ17" i="8" s="1"/>
  <c r="GJ18" i="8" s="1"/>
  <c r="GJ19" i="8" s="1"/>
  <c r="GJ20" i="8" s="1"/>
  <c r="GJ21" i="8" s="1"/>
  <c r="GJ22" i="8" s="1"/>
  <c r="GJ23" i="8" s="1"/>
  <c r="GJ24" i="8" s="1"/>
  <c r="GJ25" i="8" s="1"/>
  <c r="GJ26" i="8" s="1"/>
  <c r="GJ27" i="8" s="1"/>
  <c r="GJ28" i="8" s="1"/>
  <c r="GJ29" i="8" s="1"/>
  <c r="GJ30" i="8" s="1"/>
  <c r="GJ31" i="8" s="1"/>
  <c r="GJ32" i="8" s="1"/>
  <c r="GJ33" i="8" s="1"/>
  <c r="GJ34" i="8" s="1"/>
  <c r="GJ35" i="8" s="1"/>
  <c r="GJ36" i="8" s="1"/>
  <c r="GJ37" i="8" s="1"/>
  <c r="GJ38" i="8" s="1"/>
  <c r="GJ39" i="8" s="1"/>
  <c r="GJ40" i="8" s="1"/>
  <c r="GJ41" i="8" s="1"/>
  <c r="GJ42" i="8" s="1"/>
  <c r="GJ43" i="8" s="1"/>
  <c r="GJ44" i="8" s="1"/>
  <c r="GJ45" i="8" s="1"/>
  <c r="GJ46" i="8" s="1"/>
  <c r="GJ47" i="8" s="1"/>
  <c r="GJ48" i="8" s="1"/>
  <c r="GJ49" i="8" s="1"/>
  <c r="GJ50" i="8" s="1"/>
  <c r="GJ51" i="8" s="1"/>
  <c r="GJ52" i="8" s="1"/>
  <c r="GJ53" i="8" s="1"/>
  <c r="GJ54" i="8" s="1"/>
  <c r="GJ55" i="8" s="1"/>
  <c r="HP54" i="8"/>
  <c r="HP50" i="8"/>
  <c r="HP35" i="8"/>
  <c r="HP52" i="8"/>
  <c r="IE49" i="8"/>
  <c r="IE22" i="8"/>
  <c r="IE27" i="8"/>
  <c r="IE48" i="8"/>
  <c r="IE43" i="8"/>
  <c r="IE19" i="8"/>
  <c r="ED11" i="8"/>
  <c r="ED10" i="8"/>
  <c r="EB24" i="8"/>
  <c r="EB25" i="8" s="1"/>
  <c r="EB26" i="8" s="1"/>
  <c r="ED17" i="8"/>
  <c r="ED16" i="8"/>
  <c r="CX12" i="8"/>
  <c r="CX13" i="8" s="1"/>
  <c r="CX14" i="8" s="1"/>
  <c r="CI14" i="8"/>
  <c r="ED18" i="8"/>
  <c r="ED13" i="8"/>
  <c r="ED12" i="8"/>
  <c r="ED14" i="8"/>
  <c r="ED15" i="8"/>
  <c r="BT14" i="8"/>
  <c r="AA13" i="8"/>
  <c r="AA14" i="8" s="1"/>
  <c r="AA15" i="8" s="1"/>
  <c r="AA16" i="8" s="1"/>
  <c r="AA17" i="8" s="1"/>
  <c r="AA18" i="8" s="1"/>
  <c r="AA19" i="8" s="1"/>
  <c r="AA20" i="8" s="1"/>
  <c r="AA21" i="8" s="1"/>
  <c r="AA22" i="8" s="1"/>
  <c r="AA23" i="8" s="1"/>
  <c r="AA24" i="8" s="1"/>
  <c r="AA25" i="8" s="1"/>
  <c r="AA26" i="8" s="1"/>
  <c r="AA27" i="8" s="1"/>
  <c r="AA28" i="8" s="1"/>
  <c r="AA29" i="8" s="1"/>
  <c r="AA30" i="8" s="1"/>
  <c r="AA31" i="8" s="1"/>
  <c r="AA32" i="8" s="1"/>
  <c r="AA33" i="8" s="1"/>
  <c r="AA34" i="8" s="1"/>
  <c r="AA35" i="8" s="1"/>
  <c r="AA36" i="8" s="1"/>
  <c r="AA37" i="8" s="1"/>
  <c r="AA38" i="8" s="1"/>
  <c r="AA39" i="8" s="1"/>
  <c r="AA40" i="8" s="1"/>
  <c r="AA41" i="8" s="1"/>
  <c r="AA42" i="8" s="1"/>
  <c r="AA43" i="8" s="1"/>
  <c r="AA44" i="8" s="1"/>
  <c r="AA45" i="8" s="1"/>
  <c r="AA46" i="8" s="1"/>
  <c r="AA47" i="8" s="1"/>
  <c r="AA48" i="8" s="1"/>
  <c r="AA49" i="8" s="1"/>
  <c r="AA50" i="8" s="1"/>
  <c r="AA51" i="8" s="1"/>
  <c r="AA52" i="8" s="1"/>
  <c r="AA53" i="8" s="1"/>
  <c r="AA54" i="8" s="1"/>
  <c r="AA55" i="8" s="1"/>
  <c r="AC51" i="8" s="1"/>
  <c r="AR32" i="8"/>
  <c r="AR30" i="8"/>
  <c r="AR31" i="8"/>
  <c r="AR51" i="8"/>
  <c r="AR26" i="8"/>
  <c r="AR22" i="8"/>
  <c r="AR46" i="8"/>
  <c r="AR16" i="8"/>
  <c r="AR47" i="8"/>
  <c r="AR21" i="8"/>
  <c r="AR24" i="8"/>
  <c r="AR29" i="8"/>
  <c r="AR36" i="8"/>
  <c r="AR44" i="8"/>
  <c r="AR45" i="8"/>
  <c r="AR38" i="8"/>
  <c r="AR20" i="8"/>
  <c r="AR14" i="8"/>
  <c r="AR55" i="8"/>
  <c r="AR50" i="8"/>
  <c r="AR33" i="8"/>
  <c r="AR23" i="8"/>
  <c r="AR35" i="8"/>
  <c r="AR27" i="8"/>
  <c r="AR43" i="8"/>
  <c r="AR49" i="8"/>
  <c r="AR41" i="8"/>
  <c r="AR54" i="8"/>
  <c r="AR17" i="8"/>
  <c r="AR48" i="8"/>
  <c r="AR40" i="8"/>
  <c r="AR37" i="8"/>
  <c r="AR19" i="8"/>
  <c r="AR25" i="8"/>
  <c r="AR39" i="8"/>
  <c r="AR18" i="8"/>
  <c r="AR42" i="8"/>
  <c r="AR34" i="8"/>
  <c r="AR28" i="8"/>
  <c r="AR53" i="8"/>
  <c r="AR15" i="8"/>
  <c r="CK7" i="8" l="1"/>
  <c r="CK6" i="8"/>
  <c r="AC8" i="8"/>
  <c r="AC7" i="8"/>
  <c r="FW8" i="8"/>
  <c r="FW6" i="8"/>
  <c r="FW5" i="8"/>
  <c r="FW7" i="8"/>
  <c r="AC9" i="8"/>
  <c r="AC10" i="8"/>
  <c r="AC11" i="8"/>
  <c r="JI13" i="8"/>
  <c r="HA13" i="8"/>
  <c r="HA12" i="8"/>
  <c r="GY22" i="8"/>
  <c r="GY23" i="8" s="1"/>
  <c r="A20" i="7"/>
  <c r="LQ12" i="8"/>
  <c r="LO13" i="8"/>
  <c r="A22" i="7"/>
  <c r="EQ17" i="8"/>
  <c r="ES12" i="8"/>
  <c r="FF15" i="8"/>
  <c r="FF16" i="8" s="1"/>
  <c r="FF17" i="8" s="1"/>
  <c r="FF18" i="8" s="1"/>
  <c r="FF19" i="8" s="1"/>
  <c r="FF20" i="8" s="1"/>
  <c r="ED20" i="8"/>
  <c r="ED21" i="8"/>
  <c r="FW9" i="8"/>
  <c r="CI15" i="8"/>
  <c r="ED19" i="8"/>
  <c r="GL9" i="8"/>
  <c r="GL11" i="8"/>
  <c r="JI54" i="8"/>
  <c r="JI17" i="8"/>
  <c r="MF43" i="8"/>
  <c r="GL40" i="8"/>
  <c r="JI35" i="8"/>
  <c r="MF26" i="8"/>
  <c r="JI42" i="8"/>
  <c r="JI28" i="8"/>
  <c r="JI37" i="8"/>
  <c r="MF40" i="8"/>
  <c r="MU47" i="8"/>
  <c r="MU42" i="8"/>
  <c r="KZ15" i="8"/>
  <c r="KZ16" i="8" s="1"/>
  <c r="KZ17" i="8" s="1"/>
  <c r="KZ18" i="8" s="1"/>
  <c r="KZ19" i="8" s="1"/>
  <c r="KZ20" i="8" s="1"/>
  <c r="KZ21" i="8" s="1"/>
  <c r="KZ22" i="8" s="1"/>
  <c r="KZ23" i="8" s="1"/>
  <c r="KZ24" i="8" s="1"/>
  <c r="KZ25" i="8" s="1"/>
  <c r="KZ26" i="8" s="1"/>
  <c r="KZ27" i="8" s="1"/>
  <c r="KZ28" i="8" s="1"/>
  <c r="KZ29" i="8" s="1"/>
  <c r="KZ30" i="8" s="1"/>
  <c r="KZ31" i="8" s="1"/>
  <c r="KZ32" i="8" s="1"/>
  <c r="KZ33" i="8" s="1"/>
  <c r="KZ34" i="8" s="1"/>
  <c r="KZ35" i="8" s="1"/>
  <c r="KZ36" i="8" s="1"/>
  <c r="KZ37" i="8" s="1"/>
  <c r="KZ38" i="8" s="1"/>
  <c r="KZ39" i="8" s="1"/>
  <c r="KZ40" i="8" s="1"/>
  <c r="KZ41" i="8" s="1"/>
  <c r="KZ42" i="8" s="1"/>
  <c r="KZ43" i="8" s="1"/>
  <c r="KZ44" i="8" s="1"/>
  <c r="KZ45" i="8" s="1"/>
  <c r="KZ46" i="8" s="1"/>
  <c r="KZ47" i="8" s="1"/>
  <c r="KZ48" i="8" s="1"/>
  <c r="KZ49" i="8" s="1"/>
  <c r="KZ50" i="8" s="1"/>
  <c r="KZ51" i="8" s="1"/>
  <c r="KZ52" i="8" s="1"/>
  <c r="KZ53" i="8" s="1"/>
  <c r="KZ54" i="8" s="1"/>
  <c r="KZ55" i="8" s="1"/>
  <c r="LB36" i="8" s="1"/>
  <c r="GL13" i="8"/>
  <c r="MU43" i="8"/>
  <c r="GL39" i="8"/>
  <c r="MF17" i="8"/>
  <c r="JV15" i="8"/>
  <c r="JV16" i="8" s="1"/>
  <c r="JV17" i="8" s="1"/>
  <c r="JV18" i="8" s="1"/>
  <c r="JV19" i="8" s="1"/>
  <c r="JV20" i="8" s="1"/>
  <c r="JV21" i="8" s="1"/>
  <c r="JV22" i="8" s="1"/>
  <c r="JV23" i="8" s="1"/>
  <c r="JV24" i="8" s="1"/>
  <c r="JV25" i="8" s="1"/>
  <c r="JV26" i="8" s="1"/>
  <c r="JV27" i="8" s="1"/>
  <c r="JV28" i="8" s="1"/>
  <c r="JV29" i="8" s="1"/>
  <c r="JV30" i="8" s="1"/>
  <c r="JV31" i="8" s="1"/>
  <c r="JV32" i="8" s="1"/>
  <c r="JV33" i="8" s="1"/>
  <c r="JV34" i="8" s="1"/>
  <c r="JV35" i="8" s="1"/>
  <c r="JV36" i="8" s="1"/>
  <c r="JV37" i="8" s="1"/>
  <c r="JV38" i="8" s="1"/>
  <c r="JV39" i="8" s="1"/>
  <c r="JV40" i="8" s="1"/>
  <c r="JV41" i="8" s="1"/>
  <c r="JV42" i="8" s="1"/>
  <c r="JV43" i="8" s="1"/>
  <c r="JV44" i="8" s="1"/>
  <c r="JV45" i="8" s="1"/>
  <c r="JV46" i="8" s="1"/>
  <c r="JV47" i="8" s="1"/>
  <c r="JV48" i="8" s="1"/>
  <c r="JV49" i="8" s="1"/>
  <c r="JV50" i="8" s="1"/>
  <c r="JV51" i="8" s="1"/>
  <c r="JV52" i="8" s="1"/>
  <c r="JV53" i="8" s="1"/>
  <c r="JV54" i="8" s="1"/>
  <c r="JV55" i="8" s="1"/>
  <c r="JX24" i="8" s="1"/>
  <c r="MU25" i="8"/>
  <c r="MU36" i="8"/>
  <c r="MU13" i="8"/>
  <c r="MU44" i="8"/>
  <c r="MU39" i="8"/>
  <c r="MU22" i="8"/>
  <c r="MU19" i="8"/>
  <c r="MU27" i="8"/>
  <c r="MU28" i="8"/>
  <c r="MU38" i="8"/>
  <c r="MU48" i="8"/>
  <c r="MU37" i="8"/>
  <c r="MU17" i="8"/>
  <c r="MU35" i="8"/>
  <c r="MU46" i="8"/>
  <c r="MU14" i="8"/>
  <c r="MU12" i="8"/>
  <c r="MU24" i="8"/>
  <c r="MU29" i="8"/>
  <c r="MU31" i="8"/>
  <c r="MU15" i="8"/>
  <c r="MU21" i="8"/>
  <c r="MU30" i="8"/>
  <c r="MU55" i="8"/>
  <c r="MU20" i="8"/>
  <c r="MU49" i="8"/>
  <c r="MU41" i="8"/>
  <c r="MU54" i="8"/>
  <c r="MU16" i="8"/>
  <c r="MU45" i="8"/>
  <c r="MU50" i="8"/>
  <c r="MU23" i="8"/>
  <c r="MU40" i="8"/>
  <c r="MU33" i="8"/>
  <c r="MU32" i="8"/>
  <c r="MU51" i="8"/>
  <c r="MU18" i="8"/>
  <c r="IR15" i="8"/>
  <c r="IR16" i="8" s="1"/>
  <c r="IR17" i="8" s="1"/>
  <c r="IR18" i="8" s="1"/>
  <c r="IR19" i="8" s="1"/>
  <c r="IR20" i="8" s="1"/>
  <c r="IR21" i="8" s="1"/>
  <c r="IR22" i="8" s="1"/>
  <c r="IR23" i="8" s="1"/>
  <c r="IR24" i="8" s="1"/>
  <c r="IR25" i="8" s="1"/>
  <c r="IR26" i="8" s="1"/>
  <c r="IR27" i="8" s="1"/>
  <c r="IR28" i="8" s="1"/>
  <c r="IR29" i="8" s="1"/>
  <c r="IR30" i="8" s="1"/>
  <c r="IR31" i="8" s="1"/>
  <c r="IR32" i="8" s="1"/>
  <c r="IR33" i="8" s="1"/>
  <c r="IR34" i="8" s="1"/>
  <c r="IR35" i="8" s="1"/>
  <c r="IR36" i="8" s="1"/>
  <c r="IR37" i="8" s="1"/>
  <c r="IR38" i="8" s="1"/>
  <c r="IR39" i="8" s="1"/>
  <c r="IR40" i="8" s="1"/>
  <c r="IR41" i="8" s="1"/>
  <c r="IR42" i="8" s="1"/>
  <c r="IR43" i="8" s="1"/>
  <c r="IR44" i="8" s="1"/>
  <c r="IR45" i="8" s="1"/>
  <c r="IR46" i="8" s="1"/>
  <c r="IR47" i="8" s="1"/>
  <c r="IR48" i="8" s="1"/>
  <c r="IR49" i="8" s="1"/>
  <c r="IR50" i="8" s="1"/>
  <c r="IR51" i="8" s="1"/>
  <c r="IR52" i="8" s="1"/>
  <c r="IR53" i="8" s="1"/>
  <c r="IR54" i="8" s="1"/>
  <c r="IR55" i="8" s="1"/>
  <c r="JI26" i="8"/>
  <c r="JI38" i="8"/>
  <c r="JI30" i="8"/>
  <c r="JI52" i="8"/>
  <c r="JI33" i="8"/>
  <c r="JI27" i="8"/>
  <c r="JI49" i="8"/>
  <c r="JI36" i="8"/>
  <c r="JI40" i="8"/>
  <c r="JI47" i="8"/>
  <c r="JI53" i="8"/>
  <c r="JI32" i="8"/>
  <c r="JI34" i="8"/>
  <c r="JI14" i="8"/>
  <c r="JI50" i="8"/>
  <c r="JI23" i="8"/>
  <c r="JI24" i="8"/>
  <c r="JI21" i="8"/>
  <c r="JI31" i="8"/>
  <c r="JI29" i="8"/>
  <c r="JI12" i="8"/>
  <c r="JI22" i="8"/>
  <c r="JI20" i="8"/>
  <c r="JI18" i="8"/>
  <c r="JI44" i="8"/>
  <c r="JI43" i="8"/>
  <c r="JI39" i="8"/>
  <c r="JI25" i="8"/>
  <c r="JI19" i="8"/>
  <c r="JI16" i="8"/>
  <c r="JI48" i="8"/>
  <c r="JI55" i="8"/>
  <c r="JI41" i="8"/>
  <c r="JI15" i="8"/>
  <c r="JI45" i="8"/>
  <c r="MF47" i="8"/>
  <c r="FW34" i="8"/>
  <c r="MU53" i="8"/>
  <c r="JI51" i="8"/>
  <c r="MU52" i="8"/>
  <c r="MF35" i="8"/>
  <c r="MF39" i="8"/>
  <c r="MF22" i="8"/>
  <c r="MF11" i="8"/>
  <c r="MF53" i="8"/>
  <c r="MF20" i="8"/>
  <c r="MF45" i="8"/>
  <c r="MF37" i="8"/>
  <c r="MF23" i="8"/>
  <c r="MF38" i="8"/>
  <c r="MF54" i="8"/>
  <c r="MF13" i="8"/>
  <c r="MF21" i="8"/>
  <c r="MF15" i="8"/>
  <c r="MF24" i="8"/>
  <c r="MF25" i="8"/>
  <c r="MF30" i="8"/>
  <c r="MF28" i="8"/>
  <c r="MF19" i="8"/>
  <c r="MF34" i="8"/>
  <c r="MF16" i="8"/>
  <c r="MF41" i="8"/>
  <c r="MF48" i="8"/>
  <c r="MF46" i="8"/>
  <c r="MF42" i="8"/>
  <c r="MF50" i="8"/>
  <c r="MF33" i="8"/>
  <c r="MF36" i="8"/>
  <c r="MF44" i="8"/>
  <c r="MF27" i="8"/>
  <c r="MF31" i="8"/>
  <c r="MF29" i="8"/>
  <c r="MF51" i="8"/>
  <c r="MF55" i="8"/>
  <c r="MF52" i="8"/>
  <c r="MF14" i="8"/>
  <c r="MF49" i="8"/>
  <c r="BE13" i="8"/>
  <c r="MU26" i="8"/>
  <c r="MF32" i="8"/>
  <c r="GL41" i="8"/>
  <c r="GL22" i="8"/>
  <c r="GL38" i="8"/>
  <c r="GL24" i="8"/>
  <c r="GL34" i="8"/>
  <c r="GL23" i="8"/>
  <c r="GL10" i="8"/>
  <c r="GL45" i="8"/>
  <c r="GL27" i="8"/>
  <c r="GL50" i="8"/>
  <c r="GL52" i="8"/>
  <c r="GL55" i="8"/>
  <c r="GL37" i="8"/>
  <c r="GL28" i="8"/>
  <c r="GL30" i="8"/>
  <c r="GL35" i="8"/>
  <c r="GL32" i="8"/>
  <c r="GL33" i="8"/>
  <c r="GL42" i="8"/>
  <c r="GL25" i="8"/>
  <c r="GL47" i="8"/>
  <c r="GL54" i="8"/>
  <c r="GL44" i="8"/>
  <c r="GL17" i="8"/>
  <c r="GL53" i="8"/>
  <c r="GL18" i="8"/>
  <c r="GL19" i="8"/>
  <c r="GL15" i="8"/>
  <c r="GL16" i="8"/>
  <c r="GL49" i="8"/>
  <c r="GL51" i="8"/>
  <c r="GL12" i="8"/>
  <c r="GL31" i="8"/>
  <c r="GL29" i="8"/>
  <c r="GL14" i="8"/>
  <c r="GL21" i="8"/>
  <c r="GL36" i="8"/>
  <c r="GL48" i="8"/>
  <c r="GL26" i="8"/>
  <c r="FW24" i="8"/>
  <c r="FW25" i="8"/>
  <c r="FW19" i="8"/>
  <c r="FW51" i="8"/>
  <c r="FW12" i="8"/>
  <c r="FW50" i="8"/>
  <c r="FW11" i="8"/>
  <c r="FW48" i="8"/>
  <c r="FW10" i="8"/>
  <c r="FW32" i="8"/>
  <c r="FW36" i="8"/>
  <c r="FW47" i="8"/>
  <c r="FW46" i="8"/>
  <c r="FW21" i="8"/>
  <c r="FW20" i="8"/>
  <c r="FW42" i="8"/>
  <c r="FW31" i="8"/>
  <c r="FW43" i="8"/>
  <c r="FW41" i="8"/>
  <c r="FW28" i="8"/>
  <c r="FW35" i="8"/>
  <c r="FW53" i="8"/>
  <c r="FW14" i="8"/>
  <c r="FW23" i="8"/>
  <c r="FW22" i="8"/>
  <c r="FW45" i="8"/>
  <c r="FW29" i="8"/>
  <c r="FW15" i="8"/>
  <c r="FW49" i="8"/>
  <c r="FW26" i="8"/>
  <c r="FW52" i="8"/>
  <c r="FW55" i="8"/>
  <c r="FW38" i="8"/>
  <c r="FW44" i="8"/>
  <c r="FW40" i="8"/>
  <c r="FW17" i="8"/>
  <c r="FW37" i="8"/>
  <c r="FW27" i="8"/>
  <c r="FW18" i="8"/>
  <c r="FW13" i="8"/>
  <c r="FW33" i="8"/>
  <c r="FW54" i="8"/>
  <c r="FW16" i="8"/>
  <c r="FW39" i="8"/>
  <c r="FW30" i="8"/>
  <c r="GL20" i="8"/>
  <c r="GL46" i="8"/>
  <c r="GL43" i="8"/>
  <c r="DM28" i="8"/>
  <c r="EB27" i="8"/>
  <c r="CX15" i="8"/>
  <c r="BT15" i="8"/>
  <c r="BT16" i="8" s="1"/>
  <c r="BT17" i="8" s="1"/>
  <c r="BT18" i="8" s="1"/>
  <c r="BT19" i="8" s="1"/>
  <c r="BT20" i="8" s="1"/>
  <c r="BT21" i="8" s="1"/>
  <c r="BT22" i="8" s="1"/>
  <c r="BT23" i="8" s="1"/>
  <c r="BT24" i="8" s="1"/>
  <c r="BT25" i="8" s="1"/>
  <c r="AC40" i="8"/>
  <c r="AC47" i="8"/>
  <c r="AC49" i="8"/>
  <c r="AC37" i="8"/>
  <c r="AC23" i="8"/>
  <c r="AC35" i="8"/>
  <c r="AC14" i="8"/>
  <c r="AC45" i="8"/>
  <c r="AC17" i="8"/>
  <c r="AC30" i="8"/>
  <c r="AC48" i="8"/>
  <c r="AC24" i="8"/>
  <c r="AC12" i="8"/>
  <c r="AC39" i="8"/>
  <c r="AC13" i="8"/>
  <c r="AC27" i="8"/>
  <c r="AC15" i="8"/>
  <c r="AC29" i="8"/>
  <c r="AC20" i="8"/>
  <c r="AC55" i="8"/>
  <c r="AC18" i="8"/>
  <c r="AC31" i="8"/>
  <c r="AC38" i="8"/>
  <c r="AC16" i="8"/>
  <c r="AC53" i="8"/>
  <c r="AC33" i="8"/>
  <c r="AC26" i="8"/>
  <c r="AC25" i="8"/>
  <c r="AC34" i="8"/>
  <c r="AC50" i="8"/>
  <c r="AC43" i="8"/>
  <c r="AC52" i="8"/>
  <c r="AC22" i="8"/>
  <c r="AC36" i="8"/>
  <c r="AC19" i="8"/>
  <c r="AC28" i="8"/>
  <c r="AC21" i="8"/>
  <c r="AC41" i="8"/>
  <c r="AC32" i="8"/>
  <c r="AC46" i="8"/>
  <c r="AC42" i="8"/>
  <c r="AC54" i="8"/>
  <c r="AC44" i="8"/>
  <c r="CK8" i="8" l="1"/>
  <c r="FH13" i="8"/>
  <c r="FH11" i="8"/>
  <c r="FH12" i="8"/>
  <c r="FH10" i="8"/>
  <c r="FH9" i="8"/>
  <c r="A21" i="7"/>
  <c r="E7" i="5" s="1"/>
  <c r="C6" i="6" s="1"/>
  <c r="HA14" i="8"/>
  <c r="GY24" i="8"/>
  <c r="HA15" i="8" s="1"/>
  <c r="LQ13" i="8"/>
  <c r="LO14" i="8"/>
  <c r="LQ14" i="8" s="1"/>
  <c r="EQ18" i="8"/>
  <c r="FH14" i="8"/>
  <c r="FH15" i="8"/>
  <c r="FF21" i="8"/>
  <c r="FF22" i="8" s="1"/>
  <c r="BV10" i="8"/>
  <c r="CI16" i="8"/>
  <c r="ED23" i="8"/>
  <c r="ED22" i="8"/>
  <c r="BV11" i="8"/>
  <c r="JX37" i="8"/>
  <c r="IT20" i="8"/>
  <c r="JX48" i="8"/>
  <c r="BE14" i="8"/>
  <c r="IT24" i="8"/>
  <c r="IT41" i="8"/>
  <c r="IT37" i="8"/>
  <c r="IT36" i="8"/>
  <c r="IT31" i="8"/>
  <c r="IT45" i="8"/>
  <c r="IT30" i="8"/>
  <c r="IT25" i="8"/>
  <c r="IT15" i="8"/>
  <c r="IT35" i="8"/>
  <c r="IT52" i="8"/>
  <c r="IT47" i="8"/>
  <c r="IT22" i="8"/>
  <c r="IT48" i="8"/>
  <c r="IT23" i="8"/>
  <c r="IT44" i="8"/>
  <c r="IT38" i="8"/>
  <c r="IT42" i="8"/>
  <c r="IT40" i="8"/>
  <c r="IT32" i="8"/>
  <c r="IT18" i="8"/>
  <c r="IT12" i="8"/>
  <c r="IT13" i="8"/>
  <c r="IT50" i="8"/>
  <c r="IT54" i="8"/>
  <c r="IT53" i="8"/>
  <c r="IT26" i="8"/>
  <c r="IT39" i="8"/>
  <c r="IT34" i="8"/>
  <c r="IT17" i="8"/>
  <c r="IT21" i="8"/>
  <c r="IT55" i="8"/>
  <c r="IT16" i="8"/>
  <c r="IT19" i="8"/>
  <c r="IT27" i="8"/>
  <c r="IT29" i="8"/>
  <c r="IT33" i="8"/>
  <c r="IT46" i="8"/>
  <c r="IT43" i="8"/>
  <c r="IT49" i="8"/>
  <c r="IT14" i="8"/>
  <c r="IT28" i="8"/>
  <c r="IT51" i="8"/>
  <c r="JX38" i="8"/>
  <c r="LB24" i="8"/>
  <c r="LB47" i="8"/>
  <c r="LB22" i="8"/>
  <c r="LB21" i="8"/>
  <c r="LB14" i="8"/>
  <c r="LB38" i="8"/>
  <c r="LB12" i="8"/>
  <c r="LB39" i="8"/>
  <c r="LB35" i="8"/>
  <c r="LB15" i="8"/>
  <c r="LB41" i="8"/>
  <c r="LB40" i="8"/>
  <c r="LB52" i="8"/>
  <c r="LB33" i="8"/>
  <c r="LB49" i="8"/>
  <c r="LB27" i="8"/>
  <c r="LB25" i="8"/>
  <c r="LB42" i="8"/>
  <c r="LB50" i="8"/>
  <c r="LB44" i="8"/>
  <c r="LB54" i="8"/>
  <c r="LB55" i="8"/>
  <c r="LB53" i="8"/>
  <c r="LB20" i="8"/>
  <c r="LB51" i="8"/>
  <c r="LB43" i="8"/>
  <c r="LB26" i="8"/>
  <c r="LB19" i="8"/>
  <c r="LB32" i="8"/>
  <c r="LB46" i="8"/>
  <c r="LB48" i="8"/>
  <c r="LB34" i="8"/>
  <c r="LB23" i="8"/>
  <c r="LB29" i="8"/>
  <c r="LB17" i="8"/>
  <c r="LB18" i="8"/>
  <c r="LB37" i="8"/>
  <c r="LB45" i="8"/>
  <c r="LB28" i="8"/>
  <c r="LB16" i="8"/>
  <c r="LB30" i="8"/>
  <c r="LB31" i="8"/>
  <c r="JX36" i="8"/>
  <c r="JX42" i="8"/>
  <c r="JX21" i="8"/>
  <c r="JX30" i="8"/>
  <c r="JX17" i="8"/>
  <c r="JX47" i="8"/>
  <c r="JX16" i="8"/>
  <c r="JX23" i="8"/>
  <c r="JX46" i="8"/>
  <c r="JX35" i="8"/>
  <c r="JX19" i="8"/>
  <c r="JX44" i="8"/>
  <c r="JX15" i="8"/>
  <c r="JX26" i="8"/>
  <c r="JX22" i="8"/>
  <c r="JX14" i="8"/>
  <c r="JX32" i="8"/>
  <c r="JX51" i="8"/>
  <c r="JX53" i="8"/>
  <c r="JX34" i="8"/>
  <c r="JX13" i="8"/>
  <c r="JX45" i="8"/>
  <c r="JX41" i="8"/>
  <c r="JX52" i="8"/>
  <c r="JX55" i="8"/>
  <c r="JX50" i="8"/>
  <c r="JX33" i="8"/>
  <c r="JX25" i="8"/>
  <c r="JX29" i="8"/>
  <c r="JX20" i="8"/>
  <c r="JX49" i="8"/>
  <c r="JX31" i="8"/>
  <c r="JX43" i="8"/>
  <c r="JX54" i="8"/>
  <c r="JX39" i="8"/>
  <c r="JX27" i="8"/>
  <c r="JX18" i="8"/>
  <c r="JX40" i="8"/>
  <c r="JX28" i="8"/>
  <c r="DM29" i="8"/>
  <c r="DO22" i="8" s="1"/>
  <c r="BT26" i="8"/>
  <c r="BV18" i="8" s="1"/>
  <c r="EB28" i="8"/>
  <c r="CX16" i="8"/>
  <c r="BV15" i="8"/>
  <c r="BV17" i="8"/>
  <c r="BV16" i="8"/>
  <c r="BV12" i="8"/>
  <c r="BV13" i="8"/>
  <c r="K28" i="5" l="1"/>
  <c r="P6" i="5"/>
  <c r="I5" i="6" s="1"/>
  <c r="G7" i="5"/>
  <c r="D6" i="5"/>
  <c r="B5" i="6" s="1"/>
  <c r="L6" i="5"/>
  <c r="F7" i="5"/>
  <c r="D6" i="6" s="1"/>
  <c r="H6" i="5"/>
  <c r="L5" i="5"/>
  <c r="O7" i="5"/>
  <c r="B7" i="5"/>
  <c r="O5" i="5"/>
  <c r="Q6" i="5"/>
  <c r="J5" i="6" s="1"/>
  <c r="D5" i="5"/>
  <c r="B4" i="6" s="1"/>
  <c r="K5" i="5"/>
  <c r="Q30" i="5"/>
  <c r="B20" i="5"/>
  <c r="J22" i="5"/>
  <c r="L12" i="5"/>
  <c r="I23" i="5"/>
  <c r="J26" i="5"/>
  <c r="I19" i="5"/>
  <c r="F18" i="6" s="1"/>
  <c r="R30" i="5"/>
  <c r="Q13" i="5"/>
  <c r="J12" i="6" s="1"/>
  <c r="I16" i="5"/>
  <c r="F15" i="6" s="1"/>
  <c r="M22" i="5"/>
  <c r="R12" i="5"/>
  <c r="K24" i="5"/>
  <c r="H23" i="5"/>
  <c r="P14" i="5"/>
  <c r="I13" i="6" s="1"/>
  <c r="C22" i="5"/>
  <c r="U22" i="5" s="1"/>
  <c r="V22" i="5" s="1"/>
  <c r="N17" i="5"/>
  <c r="G24" i="5"/>
  <c r="K19" i="5"/>
  <c r="O25" i="5"/>
  <c r="L15" i="5"/>
  <c r="R16" i="5"/>
  <c r="K13" i="5"/>
  <c r="H22" i="5"/>
  <c r="G27" i="5"/>
  <c r="B14" i="5"/>
  <c r="E20" i="5"/>
  <c r="C19" i="6" s="1"/>
  <c r="K17" i="5"/>
  <c r="J14" i="5"/>
  <c r="G13" i="6" s="1"/>
  <c r="L16" i="5"/>
  <c r="L29" i="5"/>
  <c r="D15" i="5"/>
  <c r="B14" i="6" s="1"/>
  <c r="K30" i="5"/>
  <c r="M14" i="5"/>
  <c r="J19" i="5"/>
  <c r="G18" i="6" s="1"/>
  <c r="R19" i="5"/>
  <c r="P8" i="5"/>
  <c r="I7" i="6" s="1"/>
  <c r="C23" i="5"/>
  <c r="U23" i="5" s="1"/>
  <c r="V23" i="5" s="1"/>
  <c r="L22" i="5"/>
  <c r="H26" i="5"/>
  <c r="H17" i="5"/>
  <c r="O26" i="5"/>
  <c r="R13" i="5"/>
  <c r="Q18" i="5"/>
  <c r="J17" i="6" s="1"/>
  <c r="E29" i="5"/>
  <c r="N14" i="5"/>
  <c r="D18" i="5"/>
  <c r="B17" i="6" s="1"/>
  <c r="F25" i="5"/>
  <c r="C12" i="5"/>
  <c r="U12" i="5" s="1"/>
  <c r="V12" i="5" s="1"/>
  <c r="P28" i="5"/>
  <c r="F30" i="5"/>
  <c r="I11" i="5"/>
  <c r="F10" i="6" s="1"/>
  <c r="E11" i="5"/>
  <c r="C10" i="6" s="1"/>
  <c r="I15" i="5"/>
  <c r="F14" i="6" s="1"/>
  <c r="L17" i="5"/>
  <c r="D25" i="5"/>
  <c r="Q17" i="5"/>
  <c r="J16" i="6" s="1"/>
  <c r="R22" i="5"/>
  <c r="J23" i="5"/>
  <c r="H19" i="5"/>
  <c r="P29" i="5"/>
  <c r="I12" i="5"/>
  <c r="F11" i="6" s="1"/>
  <c r="R27" i="5"/>
  <c r="N30" i="5"/>
  <c r="B12" i="5"/>
  <c r="A11" i="6" s="1"/>
  <c r="L26" i="5"/>
  <c r="Q27" i="5"/>
  <c r="K10" i="5"/>
  <c r="D9" i="5"/>
  <c r="B8" i="6" s="1"/>
  <c r="K16" i="5"/>
  <c r="I28" i="5"/>
  <c r="H28" i="5"/>
  <c r="I14" i="5"/>
  <c r="F13" i="6" s="1"/>
  <c r="N22" i="5"/>
  <c r="C30" i="5"/>
  <c r="U30" i="5" s="1"/>
  <c r="V30" i="5" s="1"/>
  <c r="L21" i="5"/>
  <c r="Q16" i="5"/>
  <c r="J15" i="6" s="1"/>
  <c r="P25" i="5"/>
  <c r="K26" i="5"/>
  <c r="F15" i="5"/>
  <c r="D14" i="6" s="1"/>
  <c r="Q15" i="5"/>
  <c r="J14" i="6" s="1"/>
  <c r="R24" i="5"/>
  <c r="M13" i="5"/>
  <c r="B24" i="5"/>
  <c r="I20" i="5"/>
  <c r="F19" i="6" s="1"/>
  <c r="M18" i="5"/>
  <c r="R15" i="5"/>
  <c r="K22" i="5"/>
  <c r="L25" i="5"/>
  <c r="P12" i="5"/>
  <c r="I11" i="6" s="1"/>
  <c r="G17" i="5"/>
  <c r="M28" i="5"/>
  <c r="C28" i="5"/>
  <c r="U28" i="5" s="1"/>
  <c r="V28" i="5" s="1"/>
  <c r="B28" i="5"/>
  <c r="M19" i="5"/>
  <c r="J17" i="5"/>
  <c r="G16" i="6" s="1"/>
  <c r="G22" i="5"/>
  <c r="Q20" i="5"/>
  <c r="J19" i="6" s="1"/>
  <c r="P21" i="5"/>
  <c r="I20" i="6" s="1"/>
  <c r="G28" i="5"/>
  <c r="P27" i="5"/>
  <c r="Q23" i="5"/>
  <c r="O9" i="5"/>
  <c r="F10" i="5"/>
  <c r="D9" i="6" s="1"/>
  <c r="H24" i="5"/>
  <c r="G21" i="5"/>
  <c r="I25" i="5"/>
  <c r="Q29" i="5"/>
  <c r="D30" i="5"/>
  <c r="K18" i="5"/>
  <c r="M20" i="5"/>
  <c r="F23" i="5"/>
  <c r="Q22" i="5"/>
  <c r="F21" i="5"/>
  <c r="D20" i="6" s="1"/>
  <c r="N12" i="5"/>
  <c r="D11" i="5"/>
  <c r="B10" i="6" s="1"/>
  <c r="R23" i="5"/>
  <c r="C29" i="5"/>
  <c r="U29" i="5" s="1"/>
  <c r="V29" i="5" s="1"/>
  <c r="E30" i="5"/>
  <c r="C17" i="5"/>
  <c r="U17" i="5" s="1"/>
  <c r="V17" i="5" s="1"/>
  <c r="C19" i="5"/>
  <c r="U19" i="5" s="1"/>
  <c r="V19" i="5" s="1"/>
  <c r="J29" i="5"/>
  <c r="G23" i="5"/>
  <c r="J16" i="5"/>
  <c r="G15" i="6" s="1"/>
  <c r="C16" i="5"/>
  <c r="U16" i="5" s="1"/>
  <c r="V16" i="5" s="1"/>
  <c r="L11" i="5"/>
  <c r="F17" i="5"/>
  <c r="D16" i="6" s="1"/>
  <c r="O17" i="5"/>
  <c r="F16" i="5"/>
  <c r="D15" i="6" s="1"/>
  <c r="B19" i="5"/>
  <c r="B26" i="5"/>
  <c r="B29" i="5"/>
  <c r="E25" i="5"/>
  <c r="O28" i="5"/>
  <c r="D27" i="5"/>
  <c r="K9" i="5"/>
  <c r="B9" i="5"/>
  <c r="E8" i="5"/>
  <c r="C7" i="6" s="1"/>
  <c r="G29" i="5"/>
  <c r="J30" i="5"/>
  <c r="O29" i="5"/>
  <c r="B23" i="5"/>
  <c r="H15" i="5"/>
  <c r="Q12" i="5"/>
  <c r="J11" i="6" s="1"/>
  <c r="P22" i="5"/>
  <c r="D23" i="5"/>
  <c r="Q9" i="5"/>
  <c r="J8" i="6" s="1"/>
  <c r="M17" i="5"/>
  <c r="E16" i="5"/>
  <c r="C15" i="6" s="1"/>
  <c r="F22" i="5"/>
  <c r="O22" i="5"/>
  <c r="G14" i="5"/>
  <c r="R14" i="5"/>
  <c r="P17" i="5"/>
  <c r="I16" i="6" s="1"/>
  <c r="Q14" i="5"/>
  <c r="J13" i="6" s="1"/>
  <c r="L13" i="5"/>
  <c r="F24" i="5"/>
  <c r="C26" i="5"/>
  <c r="U26" i="5" s="1"/>
  <c r="V26" i="5" s="1"/>
  <c r="D16" i="5"/>
  <c r="B15" i="6" s="1"/>
  <c r="E28" i="5"/>
  <c r="K20" i="5"/>
  <c r="O30" i="5"/>
  <c r="E24" i="5"/>
  <c r="F28" i="5"/>
  <c r="O24" i="5"/>
  <c r="P15" i="5"/>
  <c r="I14" i="6" s="1"/>
  <c r="D28" i="5"/>
  <c r="G25" i="5"/>
  <c r="O23" i="5"/>
  <c r="I13" i="5"/>
  <c r="F12" i="6" s="1"/>
  <c r="H13" i="5"/>
  <c r="M21" i="5"/>
  <c r="B22" i="5"/>
  <c r="R21" i="5"/>
  <c r="F26" i="5"/>
  <c r="H11" i="5"/>
  <c r="C11" i="5"/>
  <c r="U11" i="5" s="1"/>
  <c r="V11" i="5" s="1"/>
  <c r="J13" i="5"/>
  <c r="G12" i="6" s="1"/>
  <c r="N24" i="5"/>
  <c r="P10" i="5"/>
  <c r="I9" i="6" s="1"/>
  <c r="R20" i="5"/>
  <c r="M9" i="5"/>
  <c r="E9" i="5"/>
  <c r="C8" i="6" s="1"/>
  <c r="N28" i="5"/>
  <c r="J24" i="5"/>
  <c r="B27" i="5"/>
  <c r="N13" i="5"/>
  <c r="O21" i="5"/>
  <c r="D20" i="5"/>
  <c r="B19" i="6" s="1"/>
  <c r="L23" i="5"/>
  <c r="B17" i="5"/>
  <c r="E22" i="5"/>
  <c r="P26" i="5"/>
  <c r="M11" i="5"/>
  <c r="O13" i="5"/>
  <c r="P30" i="5"/>
  <c r="N18" i="5"/>
  <c r="I29" i="5"/>
  <c r="D26" i="5"/>
  <c r="L24" i="5"/>
  <c r="D19" i="5"/>
  <c r="B18" i="6" s="1"/>
  <c r="C14" i="5"/>
  <c r="U14" i="5" s="1"/>
  <c r="V14" i="5" s="1"/>
  <c r="K23" i="5"/>
  <c r="Q21" i="5"/>
  <c r="J20" i="6" s="1"/>
  <c r="F14" i="5"/>
  <c r="D13" i="6" s="1"/>
  <c r="E19" i="5"/>
  <c r="C18" i="6" s="1"/>
  <c r="J20" i="5"/>
  <c r="G19" i="6" s="1"/>
  <c r="G20" i="5"/>
  <c r="M23" i="5"/>
  <c r="J25" i="5"/>
  <c r="F18" i="5"/>
  <c r="D17" i="6" s="1"/>
  <c r="G16" i="5"/>
  <c r="R18" i="5"/>
  <c r="B13" i="5"/>
  <c r="G15" i="5"/>
  <c r="I30" i="5"/>
  <c r="C18" i="5"/>
  <c r="U18" i="5" s="1"/>
  <c r="V18" i="5" s="1"/>
  <c r="Q26" i="5"/>
  <c r="D10" i="5"/>
  <c r="B9" i="6" s="1"/>
  <c r="L8" i="5"/>
  <c r="F19" i="5"/>
  <c r="D18" i="6" s="1"/>
  <c r="C24" i="5"/>
  <c r="U24" i="5" s="1"/>
  <c r="V24" i="5" s="1"/>
  <c r="P16" i="5"/>
  <c r="I15" i="6" s="1"/>
  <c r="B11" i="5"/>
  <c r="N19" i="5"/>
  <c r="R29" i="5"/>
  <c r="G12" i="5"/>
  <c r="J11" i="5"/>
  <c r="G10" i="6" s="1"/>
  <c r="J27" i="5"/>
  <c r="G13" i="5"/>
  <c r="N25" i="5"/>
  <c r="K29" i="5"/>
  <c r="D12" i="5"/>
  <c r="B11" i="6" s="1"/>
  <c r="M24" i="5"/>
  <c r="L20" i="5"/>
  <c r="H14" i="5"/>
  <c r="L18" i="5"/>
  <c r="R17" i="5"/>
  <c r="N27" i="5"/>
  <c r="N29" i="5"/>
  <c r="I17" i="5"/>
  <c r="F16" i="6" s="1"/>
  <c r="K27" i="5"/>
  <c r="L14" i="5"/>
  <c r="D22" i="5"/>
  <c r="F29" i="5"/>
  <c r="K14" i="5"/>
  <c r="K21" i="5"/>
  <c r="E21" i="5"/>
  <c r="C20" i="6" s="1"/>
  <c r="Q25" i="5"/>
  <c r="M16" i="5"/>
  <c r="R28" i="5"/>
  <c r="P11" i="5"/>
  <c r="I10" i="6" s="1"/>
  <c r="J15" i="5"/>
  <c r="G14" i="6" s="1"/>
  <c r="E10" i="5"/>
  <c r="C9" i="6" s="1"/>
  <c r="D8" i="5"/>
  <c r="B7" i="6" s="1"/>
  <c r="M29" i="5"/>
  <c r="O27" i="5"/>
  <c r="L10" i="5"/>
  <c r="C9" i="5"/>
  <c r="U9" i="5" s="1"/>
  <c r="V9" i="5" s="1"/>
  <c r="N10" i="5"/>
  <c r="I7" i="5"/>
  <c r="F6" i="6" s="1"/>
  <c r="N8" i="5"/>
  <c r="P7" i="5"/>
  <c r="I6" i="6" s="1"/>
  <c r="O15" i="5"/>
  <c r="L30" i="5"/>
  <c r="E14" i="5"/>
  <c r="C13" i="6" s="1"/>
  <c r="H16" i="5"/>
  <c r="M27" i="5"/>
  <c r="R26" i="5"/>
  <c r="C27" i="5"/>
  <c r="U27" i="5" s="1"/>
  <c r="V27" i="5" s="1"/>
  <c r="B16" i="5"/>
  <c r="R25" i="5"/>
  <c r="G11" i="5"/>
  <c r="L28" i="5"/>
  <c r="E17" i="5"/>
  <c r="C16" i="6" s="1"/>
  <c r="I27" i="5"/>
  <c r="J12" i="5"/>
  <c r="G11" i="6" s="1"/>
  <c r="O11" i="5"/>
  <c r="M26" i="5"/>
  <c r="C13" i="5"/>
  <c r="U13" i="5" s="1"/>
  <c r="V13" i="5" s="1"/>
  <c r="K11" i="5"/>
  <c r="J18" i="5"/>
  <c r="G17" i="6" s="1"/>
  <c r="B18" i="5"/>
  <c r="I26" i="5"/>
  <c r="K15" i="5"/>
  <c r="B10" i="5"/>
  <c r="Q10" i="5"/>
  <c r="J9" i="6" s="1"/>
  <c r="I9" i="5"/>
  <c r="F8" i="6" s="1"/>
  <c r="I10" i="5"/>
  <c r="F9" i="6" s="1"/>
  <c r="G8" i="5"/>
  <c r="H8" i="5"/>
  <c r="C8" i="5"/>
  <c r="U8" i="5" s="1"/>
  <c r="V8" i="5" s="1"/>
  <c r="J7" i="5"/>
  <c r="G6" i="6" s="1"/>
  <c r="O12" i="5"/>
  <c r="O14" i="5"/>
  <c r="B21" i="5"/>
  <c r="Q19" i="5"/>
  <c r="J18" i="6" s="1"/>
  <c r="E26" i="5"/>
  <c r="P23" i="5"/>
  <c r="E18" i="5"/>
  <c r="C17" i="6" s="1"/>
  <c r="E27" i="5"/>
  <c r="O18" i="5"/>
  <c r="E15" i="5"/>
  <c r="C14" i="6" s="1"/>
  <c r="I18" i="5"/>
  <c r="F17" i="6" s="1"/>
  <c r="D29" i="5"/>
  <c r="M12" i="5"/>
  <c r="M15" i="5"/>
  <c r="B30" i="5"/>
  <c r="L19" i="5"/>
  <c r="G19" i="5"/>
  <c r="B15" i="5"/>
  <c r="O20" i="5"/>
  <c r="D13" i="5"/>
  <c r="B12" i="6" s="1"/>
  <c r="C15" i="5"/>
  <c r="U15" i="5" s="1"/>
  <c r="V15" i="5" s="1"/>
  <c r="O16" i="5"/>
  <c r="E23" i="5"/>
  <c r="H29" i="5"/>
  <c r="G10" i="5"/>
  <c r="C10" i="5"/>
  <c r="U10" i="5" s="1"/>
  <c r="V10" i="5" s="1"/>
  <c r="H9" i="5"/>
  <c r="R9" i="5"/>
  <c r="M8" i="5"/>
  <c r="K8" i="5"/>
  <c r="N7" i="5"/>
  <c r="F12" i="5"/>
  <c r="D11" i="6" s="1"/>
  <c r="H20" i="5"/>
  <c r="I22" i="5"/>
  <c r="F20" i="5"/>
  <c r="D19" i="6" s="1"/>
  <c r="D21" i="5"/>
  <c r="B20" i="6" s="1"/>
  <c r="P18" i="5"/>
  <c r="I17" i="6" s="1"/>
  <c r="N21" i="5"/>
  <c r="K25" i="5"/>
  <c r="M25" i="5"/>
  <c r="N16" i="5"/>
  <c r="J21" i="5"/>
  <c r="G20" i="6" s="1"/>
  <c r="H21" i="5"/>
  <c r="I24" i="5"/>
  <c r="L27" i="5"/>
  <c r="M30" i="5"/>
  <c r="N15" i="5"/>
  <c r="N11" i="5"/>
  <c r="H30" i="5"/>
  <c r="D24" i="5"/>
  <c r="F11" i="5"/>
  <c r="D10" i="6" s="1"/>
  <c r="H27" i="5"/>
  <c r="F13" i="5"/>
  <c r="D12" i="6" s="1"/>
  <c r="Q11" i="5"/>
  <c r="J10" i="6" s="1"/>
  <c r="G30" i="5"/>
  <c r="N20" i="5"/>
  <c r="F9" i="5"/>
  <c r="D8" i="6" s="1"/>
  <c r="R10" i="5"/>
  <c r="O10" i="5"/>
  <c r="M10" i="5"/>
  <c r="C7" i="5"/>
  <c r="U7" i="5" s="1"/>
  <c r="V7" i="5" s="1"/>
  <c r="M7" i="5"/>
  <c r="E13" i="5"/>
  <c r="C12" i="6" s="1"/>
  <c r="C21" i="5"/>
  <c r="U21" i="5" s="1"/>
  <c r="V21" i="5" s="1"/>
  <c r="O19" i="5"/>
  <c r="C25" i="5"/>
  <c r="U25" i="5" s="1"/>
  <c r="V25" i="5" s="1"/>
  <c r="P20" i="5"/>
  <c r="I19" i="6" s="1"/>
  <c r="G18" i="5"/>
  <c r="D14" i="5"/>
  <c r="B13" i="6" s="1"/>
  <c r="D17" i="5"/>
  <c r="B16" i="6" s="1"/>
  <c r="G26" i="5"/>
  <c r="C20" i="5"/>
  <c r="U20" i="5" s="1"/>
  <c r="V20" i="5" s="1"/>
  <c r="N23" i="5"/>
  <c r="P24" i="5"/>
  <c r="Q28" i="5"/>
  <c r="H25" i="5"/>
  <c r="H18" i="5"/>
  <c r="B25" i="5"/>
  <c r="H12" i="5"/>
  <c r="Q24" i="5"/>
  <c r="P19" i="5"/>
  <c r="I18" i="6" s="1"/>
  <c r="I21" i="5"/>
  <c r="F20" i="6" s="1"/>
  <c r="J28" i="5"/>
  <c r="F27" i="5"/>
  <c r="P13" i="5"/>
  <c r="I12" i="6" s="1"/>
  <c r="N26" i="5"/>
  <c r="N9" i="5"/>
  <c r="J9" i="5"/>
  <c r="G8" i="6" s="1"/>
  <c r="P9" i="5"/>
  <c r="I8" i="6" s="1"/>
  <c r="G9" i="5"/>
  <c r="O8" i="5"/>
  <c r="I8" i="5"/>
  <c r="F7" i="6" s="1"/>
  <c r="FH16" i="8"/>
  <c r="M6" i="5"/>
  <c r="Q5" i="5"/>
  <c r="J4" i="6" s="1"/>
  <c r="H10" i="5"/>
  <c r="P5" i="5"/>
  <c r="I4" i="6" s="1"/>
  <c r="I5" i="5"/>
  <c r="F4" i="6" s="1"/>
  <c r="E5" i="5"/>
  <c r="C4" i="6" s="1"/>
  <c r="J5" i="5"/>
  <c r="G4" i="6" s="1"/>
  <c r="O6" i="5"/>
  <c r="J8" i="5"/>
  <c r="G7" i="6" s="1"/>
  <c r="R7" i="5"/>
  <c r="J10" i="5"/>
  <c r="G9" i="6" s="1"/>
  <c r="N6" i="5"/>
  <c r="H5" i="5"/>
  <c r="J6" i="5"/>
  <c r="G5" i="6" s="1"/>
  <c r="Q7" i="5"/>
  <c r="J6" i="6" s="1"/>
  <c r="K6" i="5"/>
  <c r="G5" i="5"/>
  <c r="B5" i="5"/>
  <c r="D7" i="5"/>
  <c r="B6" i="6" s="1"/>
  <c r="B8" i="5"/>
  <c r="R8" i="5"/>
  <c r="K7" i="5"/>
  <c r="H7" i="5"/>
  <c r="K12" i="5"/>
  <c r="Q8" i="5"/>
  <c r="J7" i="6" s="1"/>
  <c r="R6" i="5"/>
  <c r="F6" i="5"/>
  <c r="D5" i="6" s="1"/>
  <c r="I6" i="5"/>
  <c r="F5" i="6" s="1"/>
  <c r="F5" i="5"/>
  <c r="D4" i="6" s="1"/>
  <c r="F8" i="5"/>
  <c r="D7" i="6" s="1"/>
  <c r="R11" i="5"/>
  <c r="L9" i="5"/>
  <c r="E12" i="5"/>
  <c r="C11" i="6" s="1"/>
  <c r="C5" i="5"/>
  <c r="U5" i="5" s="1"/>
  <c r="V5" i="5" s="1"/>
  <c r="N5" i="5"/>
  <c r="M5" i="5"/>
  <c r="E6" i="5"/>
  <c r="C5" i="6" s="1"/>
  <c r="C6" i="5"/>
  <c r="U6" i="5" s="1"/>
  <c r="V6" i="5" s="1"/>
  <c r="G6" i="5"/>
  <c r="R5" i="5"/>
  <c r="L7" i="5"/>
  <c r="B6" i="5"/>
  <c r="GY25" i="8"/>
  <c r="LO15" i="8"/>
  <c r="DO23" i="8"/>
  <c r="EQ19" i="8"/>
  <c r="EQ20" i="8" s="1"/>
  <c r="EQ21" i="8" s="1"/>
  <c r="EQ22" i="8" s="1"/>
  <c r="EQ23" i="8" s="1"/>
  <c r="EQ24" i="8" s="1"/>
  <c r="EQ25" i="8" s="1"/>
  <c r="ES13" i="8"/>
  <c r="CX17" i="8"/>
  <c r="CX18" i="8" s="1"/>
  <c r="CZ9" i="8"/>
  <c r="CI17" i="8"/>
  <c r="CI18" i="8" s="1"/>
  <c r="CI19" i="8" s="1"/>
  <c r="CI20" i="8" s="1"/>
  <c r="CI21" i="8" s="1"/>
  <c r="CI22" i="8" s="1"/>
  <c r="CI23" i="8" s="1"/>
  <c r="CI24" i="8" s="1"/>
  <c r="CI25" i="8" s="1"/>
  <c r="CZ10" i="8"/>
  <c r="BT27" i="8"/>
  <c r="BV19" i="8" s="1"/>
  <c r="FF23" i="8"/>
  <c r="FH17" i="8" s="1"/>
  <c r="BE15" i="8"/>
  <c r="BE16" i="8" s="1"/>
  <c r="DM30" i="8"/>
  <c r="EB29" i="8"/>
  <c r="ED24" i="8" s="1"/>
  <c r="CK9" i="8" l="1"/>
  <c r="E5" i="6"/>
  <c r="BG8" i="8"/>
  <c r="BG9" i="8"/>
  <c r="E6" i="6"/>
  <c r="A14" i="6"/>
  <c r="H12" i="6"/>
  <c r="X18" i="5"/>
  <c r="E15" i="6"/>
  <c r="W13" i="5"/>
  <c r="E12" i="6"/>
  <c r="A15" i="6"/>
  <c r="A16" i="6"/>
  <c r="W18" i="5"/>
  <c r="H17" i="6"/>
  <c r="W21" i="5"/>
  <c r="W17" i="5"/>
  <c r="E11" i="6"/>
  <c r="A18" i="6"/>
  <c r="X17" i="5"/>
  <c r="X28" i="5"/>
  <c r="W27" i="5"/>
  <c r="X14" i="5"/>
  <c r="E17" i="6"/>
  <c r="A8" i="6"/>
  <c r="E16" i="6"/>
  <c r="A20" i="6"/>
  <c r="X29" i="5"/>
  <c r="E13" i="6"/>
  <c r="H16" i="6"/>
  <c r="H20" i="6"/>
  <c r="A7" i="6"/>
  <c r="E18" i="6"/>
  <c r="A6" i="6"/>
  <c r="E20" i="6"/>
  <c r="W14" i="5"/>
  <c r="E8" i="6"/>
  <c r="W8" i="5"/>
  <c r="E7" i="6"/>
  <c r="X13" i="5"/>
  <c r="A10" i="6"/>
  <c r="W24" i="5"/>
  <c r="W28" i="5"/>
  <c r="E10" i="6"/>
  <c r="W22" i="5"/>
  <c r="X30" i="5"/>
  <c r="H13" i="6"/>
  <c r="X23" i="5"/>
  <c r="W16" i="5"/>
  <c r="W26" i="5"/>
  <c r="E14" i="6"/>
  <c r="W20" i="5"/>
  <c r="X11" i="5"/>
  <c r="X19" i="5"/>
  <c r="A13" i="6"/>
  <c r="A17" i="6"/>
  <c r="X10" i="5"/>
  <c r="W30" i="5"/>
  <c r="X26" i="5"/>
  <c r="W11" i="5"/>
  <c r="X24" i="5"/>
  <c r="X21" i="5"/>
  <c r="A12" i="6"/>
  <c r="H10" i="6"/>
  <c r="W29" i="5"/>
  <c r="X22" i="5"/>
  <c r="E19" i="6"/>
  <c r="A9" i="6"/>
  <c r="X8" i="5"/>
  <c r="X15" i="5"/>
  <c r="X20" i="5"/>
  <c r="X25" i="5"/>
  <c r="X27" i="5"/>
  <c r="H15" i="6"/>
  <c r="H19" i="6"/>
  <c r="X16" i="5"/>
  <c r="W15" i="5"/>
  <c r="A19" i="6"/>
  <c r="H7" i="6"/>
  <c r="W25" i="5"/>
  <c r="W23" i="5"/>
  <c r="W10" i="5"/>
  <c r="H14" i="6"/>
  <c r="W19" i="5"/>
  <c r="H18" i="6"/>
  <c r="H9" i="6"/>
  <c r="W9" i="5"/>
  <c r="H11" i="6"/>
  <c r="E9" i="6"/>
  <c r="FH18" i="8"/>
  <c r="AF9" i="3"/>
  <c r="AC12" i="3"/>
  <c r="AD11" i="3"/>
  <c r="H4" i="6"/>
  <c r="X7" i="5"/>
  <c r="AD4" i="3"/>
  <c r="AH4" i="3" s="1"/>
  <c r="W12" i="5"/>
  <c r="X9" i="5"/>
  <c r="AE10" i="3"/>
  <c r="H8" i="6"/>
  <c r="X12" i="5"/>
  <c r="AE12" i="3"/>
  <c r="AE9" i="3"/>
  <c r="AE11" i="3"/>
  <c r="AD5" i="3"/>
  <c r="AH5" i="3" s="1"/>
  <c r="AI5" i="3"/>
  <c r="AC9" i="3"/>
  <c r="AC4" i="3"/>
  <c r="AF10" i="3"/>
  <c r="AC6" i="3"/>
  <c r="AC11" i="3"/>
  <c r="AC5" i="3"/>
  <c r="AF11" i="3"/>
  <c r="AD6" i="3"/>
  <c r="AH6" i="3" s="1"/>
  <c r="AD8" i="3"/>
  <c r="AH8" i="3" s="1"/>
  <c r="AI9" i="3"/>
  <c r="W5" i="5"/>
  <c r="AI6" i="3"/>
  <c r="AC10" i="3"/>
  <c r="AD7" i="3"/>
  <c r="AH7" i="3" s="1"/>
  <c r="AD9" i="3"/>
  <c r="AD10" i="3"/>
  <c r="H6" i="6"/>
  <c r="A5" i="6"/>
  <c r="AD12" i="3"/>
  <c r="AI7" i="3"/>
  <c r="AI8" i="3"/>
  <c r="AF12" i="3"/>
  <c r="W7" i="5"/>
  <c r="AC8" i="3"/>
  <c r="AI4" i="3"/>
  <c r="AC7" i="3"/>
  <c r="E4" i="6"/>
  <c r="X5" i="5"/>
  <c r="AI10" i="3"/>
  <c r="AG9" i="3"/>
  <c r="A4" i="6"/>
  <c r="AI11" i="3"/>
  <c r="AI12" i="3"/>
  <c r="H5" i="6"/>
  <c r="X6" i="5"/>
  <c r="W6" i="5"/>
  <c r="HA16" i="8"/>
  <c r="GY26" i="8"/>
  <c r="HA17" i="8" s="1"/>
  <c r="ES18" i="8"/>
  <c r="LO16" i="8"/>
  <c r="LQ15" i="8"/>
  <c r="ES14" i="8"/>
  <c r="ES17" i="8"/>
  <c r="ES19" i="8"/>
  <c r="ES16" i="8"/>
  <c r="ES20" i="8"/>
  <c r="EQ26" i="8"/>
  <c r="EQ27" i="8" s="1"/>
  <c r="EQ28" i="8" s="1"/>
  <c r="EQ29" i="8" s="1"/>
  <c r="ES15" i="8"/>
  <c r="CK11" i="8"/>
  <c r="CI26" i="8"/>
  <c r="CI27" i="8" s="1"/>
  <c r="CK19" i="8" s="1"/>
  <c r="CK17" i="8"/>
  <c r="CK12" i="8"/>
  <c r="CK13" i="8"/>
  <c r="CK14" i="8"/>
  <c r="CK18" i="8"/>
  <c r="CK15" i="8"/>
  <c r="CX19" i="8"/>
  <c r="CX20" i="8" s="1"/>
  <c r="CX21" i="8" s="1"/>
  <c r="CX22" i="8" s="1"/>
  <c r="CX23" i="8" s="1"/>
  <c r="CX24" i="8" s="1"/>
  <c r="CX25" i="8" s="1"/>
  <c r="CZ11" i="8"/>
  <c r="CK16" i="8"/>
  <c r="CZ12" i="8"/>
  <c r="BE17" i="8"/>
  <c r="BE18" i="8" s="1"/>
  <c r="BE19" i="8" s="1"/>
  <c r="BE20" i="8" s="1"/>
  <c r="FF24" i="8"/>
  <c r="BT28" i="8"/>
  <c r="DM31" i="8"/>
  <c r="DO24" i="8" s="1"/>
  <c r="EB30" i="8"/>
  <c r="ED25" i="8" s="1"/>
  <c r="BG10" i="8" l="1"/>
  <c r="BG12" i="8"/>
  <c r="BG11" i="8"/>
  <c r="Y25" i="5"/>
  <c r="Y24" i="5"/>
  <c r="Y17" i="5"/>
  <c r="Y15" i="5"/>
  <c r="Y13" i="5"/>
  <c r="Y18" i="5"/>
  <c r="Y29" i="5"/>
  <c r="Y14" i="5"/>
  <c r="Y26" i="5"/>
  <c r="Y28" i="5"/>
  <c r="Y27" i="5"/>
  <c r="Y21" i="5"/>
  <c r="Y8" i="5"/>
  <c r="Y9" i="5"/>
  <c r="Y22" i="5"/>
  <c r="Y30" i="5"/>
  <c r="Y19" i="5"/>
  <c r="Y11" i="5"/>
  <c r="Y20" i="5"/>
  <c r="Y23" i="5"/>
  <c r="Y16" i="5"/>
  <c r="Y10" i="5"/>
  <c r="AJ5" i="3"/>
  <c r="Y12" i="5"/>
  <c r="AH9" i="3"/>
  <c r="AJ9" i="3" s="1"/>
  <c r="AH10" i="3"/>
  <c r="AJ10" i="3" s="1"/>
  <c r="AJ4" i="3"/>
  <c r="AJ8" i="3"/>
  <c r="AJ7" i="3"/>
  <c r="Y7" i="5"/>
  <c r="AJ6" i="3"/>
  <c r="Y5" i="5"/>
  <c r="AH11" i="3"/>
  <c r="AJ11" i="3" s="1"/>
  <c r="Y6" i="5"/>
  <c r="AH12" i="3"/>
  <c r="AJ12" i="3" s="1"/>
  <c r="GY27" i="8"/>
  <c r="HA18" i="8" s="1"/>
  <c r="BG13" i="8"/>
  <c r="LO17" i="8"/>
  <c r="LQ17" i="8" s="1"/>
  <c r="LQ16" i="8"/>
  <c r="DO26" i="8"/>
  <c r="ES24" i="8"/>
  <c r="ES23" i="8"/>
  <c r="EQ30" i="8"/>
  <c r="EQ31" i="8" s="1"/>
  <c r="ES26" i="8" s="1"/>
  <c r="ES21" i="8"/>
  <c r="ES22" i="8"/>
  <c r="ES25" i="8"/>
  <c r="BV20" i="8"/>
  <c r="CZ13" i="8"/>
  <c r="CZ14" i="8"/>
  <c r="BT29" i="8"/>
  <c r="BV21" i="8" s="1"/>
  <c r="BE21" i="8"/>
  <c r="BG14" i="8" s="1"/>
  <c r="FF25" i="8"/>
  <c r="FH19" i="8" s="1"/>
  <c r="CX26" i="8"/>
  <c r="CZ18" i="8" s="1"/>
  <c r="CI28" i="8"/>
  <c r="DM32" i="8"/>
  <c r="DM33" i="8" s="1"/>
  <c r="DM34" i="8" s="1"/>
  <c r="DM35" i="8" s="1"/>
  <c r="DM36" i="8" s="1"/>
  <c r="DM37" i="8" s="1"/>
  <c r="DM38" i="8" s="1"/>
  <c r="DM39" i="8" s="1"/>
  <c r="DM40" i="8" s="1"/>
  <c r="DM41" i="8" s="1"/>
  <c r="DM42" i="8" s="1"/>
  <c r="DM43" i="8" s="1"/>
  <c r="DM44" i="8" s="1"/>
  <c r="DM45" i="8" s="1"/>
  <c r="DM46" i="8" s="1"/>
  <c r="DM47" i="8" s="1"/>
  <c r="DM48" i="8" s="1"/>
  <c r="DM49" i="8" s="1"/>
  <c r="DM50" i="8" s="1"/>
  <c r="DM51" i="8" s="1"/>
  <c r="DM52" i="8" s="1"/>
  <c r="DM53" i="8" s="1"/>
  <c r="DM54" i="8" s="1"/>
  <c r="DM55" i="8" s="1"/>
  <c r="DO43" i="8" s="1"/>
  <c r="EB31" i="8"/>
  <c r="ED26" i="8" s="1"/>
  <c r="CZ17" i="8"/>
  <c r="CZ16" i="8"/>
  <c r="CZ15" i="8"/>
  <c r="AE15" i="3" l="1"/>
  <c r="AE18" i="3"/>
  <c r="AE16" i="3"/>
  <c r="Y3" i="5"/>
  <c r="Z3" i="5" s="1"/>
  <c r="AA3" i="5" s="1"/>
  <c r="AB3" i="5" s="1"/>
  <c r="I2" i="6" s="1"/>
  <c r="AE17" i="3"/>
  <c r="GY28" i="8"/>
  <c r="EQ32" i="8"/>
  <c r="EQ33" i="8" s="1"/>
  <c r="LO18" i="8"/>
  <c r="DO25" i="8"/>
  <c r="CK20" i="8"/>
  <c r="BV22" i="8"/>
  <c r="DO27" i="8"/>
  <c r="DO29" i="8"/>
  <c r="DO28" i="8"/>
  <c r="DO30" i="8"/>
  <c r="DO31" i="8"/>
  <c r="DO35" i="8"/>
  <c r="DO44" i="8"/>
  <c r="DO40" i="8"/>
  <c r="DO47" i="8"/>
  <c r="DO41" i="8"/>
  <c r="DO37" i="8"/>
  <c r="DO54" i="8"/>
  <c r="DO52" i="8"/>
  <c r="DO42" i="8"/>
  <c r="DO34" i="8"/>
  <c r="DO51" i="8"/>
  <c r="DO53" i="8"/>
  <c r="DO32" i="8"/>
  <c r="BT30" i="8"/>
  <c r="BE22" i="8"/>
  <c r="DO36" i="8"/>
  <c r="DO39" i="8"/>
  <c r="FF26" i="8"/>
  <c r="FH20" i="8" s="1"/>
  <c r="DO48" i="8"/>
  <c r="DO33" i="8"/>
  <c r="DO50" i="8"/>
  <c r="CI29" i="8"/>
  <c r="CX27" i="8"/>
  <c r="CZ19" i="8" s="1"/>
  <c r="DO55" i="8"/>
  <c r="DO46" i="8"/>
  <c r="DO45" i="8"/>
  <c r="DO49" i="8"/>
  <c r="DO38" i="8"/>
  <c r="EB32" i="8"/>
  <c r="ED27" i="8" s="1"/>
  <c r="BG15" i="8" l="1"/>
  <c r="HA19" i="8"/>
  <c r="GY29" i="8"/>
  <c r="HA20" i="8" s="1"/>
  <c r="ES28" i="8"/>
  <c r="EQ34" i="8"/>
  <c r="ES27" i="8" s="1"/>
  <c r="LO19" i="8"/>
  <c r="LO20" i="8" s="1"/>
  <c r="LO21" i="8" s="1"/>
  <c r="LO22" i="8" s="1"/>
  <c r="LO23" i="8" s="1"/>
  <c r="LO24" i="8" s="1"/>
  <c r="LO25" i="8" s="1"/>
  <c r="LO26" i="8" s="1"/>
  <c r="LO27" i="8" s="1"/>
  <c r="LO28" i="8" s="1"/>
  <c r="LO29" i="8" s="1"/>
  <c r="LO30" i="8" s="1"/>
  <c r="LO31" i="8" s="1"/>
  <c r="LQ18" i="8"/>
  <c r="CK21" i="8"/>
  <c r="FF27" i="8"/>
  <c r="BT31" i="8"/>
  <c r="BV23" i="8" s="1"/>
  <c r="BE23" i="8"/>
  <c r="CI30" i="8"/>
  <c r="CX28" i="8"/>
  <c r="EB33" i="8"/>
  <c r="GY30" i="8" l="1"/>
  <c r="HA21" i="8" s="1"/>
  <c r="LQ19" i="8"/>
  <c r="LQ21" i="8"/>
  <c r="LQ23" i="8"/>
  <c r="LO32" i="8"/>
  <c r="LO33" i="8" s="1"/>
  <c r="LO34" i="8" s="1"/>
  <c r="LO35" i="8" s="1"/>
  <c r="LO36" i="8" s="1"/>
  <c r="LO37" i="8" s="1"/>
  <c r="LO38" i="8" s="1"/>
  <c r="LO39" i="8" s="1"/>
  <c r="LO40" i="8" s="1"/>
  <c r="LO41" i="8" s="1"/>
  <c r="LO42" i="8" s="1"/>
  <c r="LO43" i="8" s="1"/>
  <c r="LO44" i="8" s="1"/>
  <c r="LO45" i="8" s="1"/>
  <c r="LO46" i="8" s="1"/>
  <c r="LO47" i="8" s="1"/>
  <c r="LO48" i="8" s="1"/>
  <c r="LO49" i="8" s="1"/>
  <c r="LO50" i="8" s="1"/>
  <c r="LO51" i="8" s="1"/>
  <c r="LO52" i="8" s="1"/>
  <c r="LO53" i="8" s="1"/>
  <c r="LO54" i="8" s="1"/>
  <c r="LO55" i="8" s="1"/>
  <c r="LQ46" i="8" s="1"/>
  <c r="LQ22" i="8"/>
  <c r="LQ25" i="8"/>
  <c r="LQ24" i="8"/>
  <c r="LQ20" i="8"/>
  <c r="LQ30" i="8"/>
  <c r="EQ35" i="8"/>
  <c r="ES29" i="8" s="1"/>
  <c r="LQ27" i="8"/>
  <c r="LQ26" i="8"/>
  <c r="LQ29" i="8"/>
  <c r="LQ28" i="8"/>
  <c r="LQ31" i="8"/>
  <c r="CK22" i="8"/>
  <c r="CZ20" i="8"/>
  <c r="BT32" i="8"/>
  <c r="FF28" i="8"/>
  <c r="BE24" i="8"/>
  <c r="BG16" i="8" s="1"/>
  <c r="CX29" i="8"/>
  <c r="CI31" i="8"/>
  <c r="CK23" i="8" s="1"/>
  <c r="ED28" i="8"/>
  <c r="EB34" i="8"/>
  <c r="ED29" i="8" s="1"/>
  <c r="GY31" i="8" l="1"/>
  <c r="GY32" i="8" s="1"/>
  <c r="GY33" i="8" s="1"/>
  <c r="GY34" i="8" s="1"/>
  <c r="GY35" i="8" s="1"/>
  <c r="GY36" i="8" s="1"/>
  <c r="GY37" i="8" s="1"/>
  <c r="GY38" i="8" s="1"/>
  <c r="GY39" i="8" s="1"/>
  <c r="GY40" i="8" s="1"/>
  <c r="GY41" i="8" s="1"/>
  <c r="GY42" i="8" s="1"/>
  <c r="GY43" i="8" s="1"/>
  <c r="GY44" i="8" s="1"/>
  <c r="GY45" i="8" s="1"/>
  <c r="GY46" i="8" s="1"/>
  <c r="GY47" i="8" s="1"/>
  <c r="GY48" i="8" s="1"/>
  <c r="GY49" i="8" s="1"/>
  <c r="GY50" i="8" s="1"/>
  <c r="GY51" i="8" s="1"/>
  <c r="GY52" i="8" s="1"/>
  <c r="GY53" i="8" s="1"/>
  <c r="GY54" i="8" s="1"/>
  <c r="GY55" i="8" s="1"/>
  <c r="HA44" i="8" s="1"/>
  <c r="LQ32" i="8"/>
  <c r="LQ33" i="8"/>
  <c r="LQ36" i="8"/>
  <c r="LQ51" i="8"/>
  <c r="LQ52" i="8"/>
  <c r="LQ48" i="8"/>
  <c r="LQ44" i="8"/>
  <c r="LQ35" i="8"/>
  <c r="LQ42" i="8"/>
  <c r="LQ53" i="8"/>
  <c r="LQ38" i="8"/>
  <c r="LQ47" i="8"/>
  <c r="LQ34" i="8"/>
  <c r="LQ50" i="8"/>
  <c r="LQ49" i="8"/>
  <c r="LQ54" i="8"/>
  <c r="LQ39" i="8"/>
  <c r="LQ41" i="8"/>
  <c r="LQ43" i="8"/>
  <c r="LQ55" i="8"/>
  <c r="LQ40" i="8"/>
  <c r="LQ37" i="8"/>
  <c r="LQ45" i="8"/>
  <c r="EQ36" i="8"/>
  <c r="BV24" i="8"/>
  <c r="CZ21" i="8"/>
  <c r="FF29" i="8"/>
  <c r="FH22" i="8" s="1"/>
  <c r="BE25" i="8"/>
  <c r="BG17" i="8" s="1"/>
  <c r="BT33" i="8"/>
  <c r="CI32" i="8"/>
  <c r="CX30" i="8"/>
  <c r="EB35" i="8"/>
  <c r="BG18" i="8" l="1"/>
  <c r="HA41" i="8"/>
  <c r="HA35" i="8"/>
  <c r="HA55" i="8"/>
  <c r="HA47" i="8"/>
  <c r="HA40" i="8"/>
  <c r="HA54" i="8"/>
  <c r="HA51" i="8"/>
  <c r="HA53" i="8"/>
  <c r="HA31" i="8"/>
  <c r="HA25" i="8"/>
  <c r="HA34" i="8"/>
  <c r="HA24" i="8"/>
  <c r="HA27" i="8"/>
  <c r="HA43" i="8"/>
  <c r="HA36" i="8"/>
  <c r="HA37" i="8"/>
  <c r="HA22" i="8"/>
  <c r="HA23" i="8"/>
  <c r="HA50" i="8"/>
  <c r="HA30" i="8"/>
  <c r="HA33" i="8"/>
  <c r="HA45" i="8"/>
  <c r="HA48" i="8"/>
  <c r="HA39" i="8"/>
  <c r="HA26" i="8"/>
  <c r="HA42" i="8"/>
  <c r="HA28" i="8"/>
  <c r="HA38" i="8"/>
  <c r="HA29" i="8"/>
  <c r="HA52" i="8"/>
  <c r="HA49" i="8"/>
  <c r="HA46" i="8"/>
  <c r="HA32" i="8"/>
  <c r="ES30" i="8"/>
  <c r="EQ37" i="8"/>
  <c r="CK24" i="8"/>
  <c r="BV25" i="8"/>
  <c r="CZ22" i="8"/>
  <c r="BE26" i="8"/>
  <c r="BT34" i="8"/>
  <c r="BV26" i="8" s="1"/>
  <c r="FF30" i="8"/>
  <c r="FH23" i="8" s="1"/>
  <c r="CI33" i="8"/>
  <c r="CX31" i="8"/>
  <c r="CZ23" i="8" s="1"/>
  <c r="EB36" i="8"/>
  <c r="ES31" i="8" l="1"/>
  <c r="EQ38" i="8"/>
  <c r="CK25" i="8"/>
  <c r="CI34" i="8"/>
  <c r="CI35" i="8" s="1"/>
  <c r="CI36" i="8" s="1"/>
  <c r="CI37" i="8" s="1"/>
  <c r="CI38" i="8" s="1"/>
  <c r="CI39" i="8" s="1"/>
  <c r="CI40" i="8" s="1"/>
  <c r="CI41" i="8" s="1"/>
  <c r="CI42" i="8" s="1"/>
  <c r="CI43" i="8" s="1"/>
  <c r="CI44" i="8" s="1"/>
  <c r="CI45" i="8" s="1"/>
  <c r="CI46" i="8" s="1"/>
  <c r="CI47" i="8" s="1"/>
  <c r="CI48" i="8" s="1"/>
  <c r="CI49" i="8" s="1"/>
  <c r="CI50" i="8" s="1"/>
  <c r="CI51" i="8" s="1"/>
  <c r="CI52" i="8" s="1"/>
  <c r="CI53" i="8" s="1"/>
  <c r="CI54" i="8" s="1"/>
  <c r="CI55" i="8" s="1"/>
  <c r="FF31" i="8"/>
  <c r="BT35" i="8"/>
  <c r="BE27" i="8"/>
  <c r="BG19" i="8" s="1"/>
  <c r="CX32" i="8"/>
  <c r="EB37" i="8"/>
  <c r="EB38" i="8" s="1"/>
  <c r="EB39" i="8" s="1"/>
  <c r="EB40" i="8" s="1"/>
  <c r="EB41" i="8" s="1"/>
  <c r="EB42" i="8" s="1"/>
  <c r="EB43" i="8" s="1"/>
  <c r="EB44" i="8" s="1"/>
  <c r="EB45" i="8" s="1"/>
  <c r="EB46" i="8" s="1"/>
  <c r="EB47" i="8" s="1"/>
  <c r="EB48" i="8" s="1"/>
  <c r="EB49" i="8" s="1"/>
  <c r="EB50" i="8" s="1"/>
  <c r="EB51" i="8" s="1"/>
  <c r="EB52" i="8" s="1"/>
  <c r="EB53" i="8" s="1"/>
  <c r="EB54" i="8" s="1"/>
  <c r="EB55" i="8" s="1"/>
  <c r="ED35" i="8" s="1"/>
  <c r="FH24" i="8" l="1"/>
  <c r="ES33" i="8"/>
  <c r="ES32" i="8"/>
  <c r="EQ39" i="8"/>
  <c r="CK26" i="8"/>
  <c r="BV27" i="8"/>
  <c r="CK27" i="8"/>
  <c r="CK28" i="8"/>
  <c r="CK35" i="8"/>
  <c r="CK10" i="8"/>
  <c r="CK46" i="8"/>
  <c r="CK40" i="8"/>
  <c r="CK29" i="8"/>
  <c r="CK33" i="8"/>
  <c r="CK36" i="8"/>
  <c r="CK31" i="8"/>
  <c r="CK38" i="8"/>
  <c r="CK34" i="8"/>
  <c r="CK42" i="8"/>
  <c r="CK30" i="8"/>
  <c r="CK48" i="8"/>
  <c r="CK37" i="8"/>
  <c r="CK32" i="8"/>
  <c r="CK43" i="8"/>
  <c r="CK39" i="8"/>
  <c r="CK55" i="8"/>
  <c r="CK54" i="8"/>
  <c r="CK51" i="8"/>
  <c r="CK53" i="8"/>
  <c r="CK44" i="8"/>
  <c r="CK52" i="8"/>
  <c r="CK47" i="8"/>
  <c r="CK50" i="8"/>
  <c r="CK45" i="8"/>
  <c r="CK41" i="8"/>
  <c r="CK49" i="8"/>
  <c r="BT36" i="8"/>
  <c r="BV28" i="8" s="1"/>
  <c r="BE28" i="8"/>
  <c r="FF32" i="8"/>
  <c r="FF33" i="8" s="1"/>
  <c r="FF34" i="8" s="1"/>
  <c r="FF35" i="8" s="1"/>
  <c r="FF36" i="8" s="1"/>
  <c r="FF37" i="8" s="1"/>
  <c r="FF38" i="8" s="1"/>
  <c r="FF39" i="8" s="1"/>
  <c r="FF40" i="8" s="1"/>
  <c r="FF41" i="8" s="1"/>
  <c r="FF42" i="8" s="1"/>
  <c r="FF43" i="8" s="1"/>
  <c r="FF44" i="8" s="1"/>
  <c r="FF45" i="8" s="1"/>
  <c r="FF46" i="8" s="1"/>
  <c r="FF47" i="8" s="1"/>
  <c r="FF48" i="8" s="1"/>
  <c r="FF49" i="8" s="1"/>
  <c r="FF50" i="8" s="1"/>
  <c r="FF51" i="8" s="1"/>
  <c r="FF52" i="8" s="1"/>
  <c r="FF53" i="8" s="1"/>
  <c r="FF54" i="8" s="1"/>
  <c r="FF55" i="8" s="1"/>
  <c r="FH21" i="8" s="1"/>
  <c r="CX33" i="8"/>
  <c r="ED55" i="8"/>
  <c r="ED45" i="8"/>
  <c r="ED41" i="8"/>
  <c r="ED43" i="8"/>
  <c r="ED42" i="8"/>
  <c r="ED40" i="8"/>
  <c r="ED46" i="8"/>
  <c r="ED31" i="8"/>
  <c r="ED50" i="8"/>
  <c r="ED32" i="8"/>
  <c r="ED30" i="8"/>
  <c r="ED34" i="8"/>
  <c r="ED53" i="8"/>
  <c r="ED44" i="8"/>
  <c r="ED54" i="8"/>
  <c r="ED51" i="8"/>
  <c r="ED38" i="8"/>
  <c r="ED48" i="8"/>
  <c r="ED37" i="8"/>
  <c r="ED47" i="8"/>
  <c r="ED36" i="8"/>
  <c r="ED49" i="8"/>
  <c r="ED52" i="8"/>
  <c r="ED33" i="8"/>
  <c r="ED39" i="8"/>
  <c r="FH26" i="8" l="1"/>
  <c r="FH25" i="8"/>
  <c r="EQ40" i="8"/>
  <c r="ES34" i="8" s="1"/>
  <c r="FH28" i="8"/>
  <c r="FH27" i="8"/>
  <c r="BE29" i="8"/>
  <c r="FH38" i="8"/>
  <c r="FH50" i="8"/>
  <c r="FH47" i="8"/>
  <c r="FH44" i="8"/>
  <c r="FH29" i="8"/>
  <c r="FH37" i="8"/>
  <c r="FH34" i="8"/>
  <c r="FH30" i="8"/>
  <c r="FH48" i="8"/>
  <c r="FH51" i="8"/>
  <c r="FH46" i="8"/>
  <c r="FH54" i="8"/>
  <c r="FH52" i="8"/>
  <c r="FH33" i="8"/>
  <c r="FH49" i="8"/>
  <c r="FH43" i="8"/>
  <c r="FH53" i="8"/>
  <c r="FH35" i="8"/>
  <c r="FH31" i="8"/>
  <c r="FH41" i="8"/>
  <c r="FH36" i="8"/>
  <c r="FH39" i="8"/>
  <c r="FH55" i="8"/>
  <c r="FH42" i="8"/>
  <c r="FH32" i="8"/>
  <c r="FH45" i="8"/>
  <c r="FH40" i="8"/>
  <c r="BT37" i="8"/>
  <c r="BV29" i="8" s="1"/>
  <c r="CX34" i="8"/>
  <c r="EQ41" i="8" l="1"/>
  <c r="BT38" i="8"/>
  <c r="BV30" i="8" s="1"/>
  <c r="BE30" i="8"/>
  <c r="BV14" i="8"/>
  <c r="CX35" i="8"/>
  <c r="CX36" i="8" s="1"/>
  <c r="CX37" i="8" s="1"/>
  <c r="CX38" i="8" s="1"/>
  <c r="CX39" i="8" s="1"/>
  <c r="CX40" i="8" s="1"/>
  <c r="CX41" i="8" s="1"/>
  <c r="CX42" i="8" s="1"/>
  <c r="CX43" i="8" s="1"/>
  <c r="CX44" i="8" s="1"/>
  <c r="CX45" i="8" s="1"/>
  <c r="CX46" i="8" s="1"/>
  <c r="CX47" i="8" s="1"/>
  <c r="CX48" i="8" s="1"/>
  <c r="CX49" i="8" s="1"/>
  <c r="CX50" i="8" s="1"/>
  <c r="CX51" i="8" s="1"/>
  <c r="CX52" i="8" s="1"/>
  <c r="CX53" i="8" s="1"/>
  <c r="CX54" i="8" s="1"/>
  <c r="CX55" i="8" s="1"/>
  <c r="CZ8" i="8" s="1"/>
  <c r="ES35" i="8" l="1"/>
  <c r="BE31" i="8"/>
  <c r="EQ42" i="8"/>
  <c r="ES36" i="8" s="1"/>
  <c r="CZ45" i="8"/>
  <c r="CZ24" i="8"/>
  <c r="CZ25" i="8"/>
  <c r="CZ29" i="8"/>
  <c r="CZ26" i="8"/>
  <c r="CZ27" i="8"/>
  <c r="CZ28" i="8"/>
  <c r="CZ30" i="8"/>
  <c r="CZ31" i="8"/>
  <c r="CZ33" i="8"/>
  <c r="CZ34" i="8"/>
  <c r="BT39" i="8"/>
  <c r="BG20" i="8"/>
  <c r="BG22" i="8"/>
  <c r="CZ37" i="8"/>
  <c r="CZ40" i="8"/>
  <c r="CZ42" i="8"/>
  <c r="CZ39" i="8"/>
  <c r="CZ47" i="8"/>
  <c r="CZ55" i="8"/>
  <c r="CZ50" i="8"/>
  <c r="CZ32" i="8"/>
  <c r="CZ46" i="8"/>
  <c r="CZ38" i="8"/>
  <c r="CZ52" i="8"/>
  <c r="CZ49" i="8"/>
  <c r="CZ41" i="8"/>
  <c r="CZ48" i="8"/>
  <c r="CZ51" i="8"/>
  <c r="CZ54" i="8"/>
  <c r="CZ53" i="8"/>
  <c r="CZ35" i="8"/>
  <c r="CZ44" i="8"/>
  <c r="CZ43" i="8"/>
  <c r="CZ36" i="8"/>
  <c r="BE32" i="8" l="1"/>
  <c r="EQ43" i="8"/>
  <c r="ES37" i="8" s="1"/>
  <c r="BV31" i="8"/>
  <c r="BT40" i="8"/>
  <c r="BE33" i="8" l="1"/>
  <c r="EQ44" i="8"/>
  <c r="EQ45" i="8" s="1"/>
  <c r="EQ46" i="8" s="1"/>
  <c r="EQ47" i="8" s="1"/>
  <c r="EQ48" i="8" s="1"/>
  <c r="EQ49" i="8" s="1"/>
  <c r="EQ50" i="8" s="1"/>
  <c r="EQ51" i="8" s="1"/>
  <c r="EQ52" i="8" s="1"/>
  <c r="EQ53" i="8" s="1"/>
  <c r="EQ54" i="8" s="1"/>
  <c r="EQ55" i="8" s="1"/>
  <c r="ES51" i="8" s="1"/>
  <c r="BT41" i="8"/>
  <c r="BV32" i="8" s="1"/>
  <c r="BE34" i="8" l="1"/>
  <c r="ES39" i="8"/>
  <c r="ES38" i="8"/>
  <c r="ES40" i="8"/>
  <c r="ES43" i="8"/>
  <c r="ES47" i="8"/>
  <c r="ES48" i="8"/>
  <c r="ES54" i="8"/>
  <c r="ES41" i="8"/>
  <c r="ES50" i="8"/>
  <c r="ES55" i="8"/>
  <c r="ES46" i="8"/>
  <c r="ES52" i="8"/>
  <c r="ES53" i="8"/>
  <c r="ES45" i="8"/>
  <c r="ES42" i="8"/>
  <c r="ES44" i="8"/>
  <c r="ES49" i="8"/>
  <c r="BT42" i="8"/>
  <c r="BT43" i="8" s="1"/>
  <c r="BT44" i="8" s="1"/>
  <c r="BT45" i="8" s="1"/>
  <c r="BT46" i="8" s="1"/>
  <c r="BT47" i="8" s="1"/>
  <c r="BT48" i="8" s="1"/>
  <c r="BT49" i="8" s="1"/>
  <c r="BT50" i="8" s="1"/>
  <c r="BT51" i="8" s="1"/>
  <c r="BT52" i="8" s="1"/>
  <c r="BT53" i="8" s="1"/>
  <c r="BT54" i="8" s="1"/>
  <c r="BT55" i="8" s="1"/>
  <c r="BV50" i="8" s="1"/>
  <c r="BG23" i="8" l="1"/>
  <c r="BE35" i="8"/>
  <c r="BE36" i="8" s="1"/>
  <c r="BE37" i="8" s="1"/>
  <c r="BE38" i="8" s="1"/>
  <c r="BE39" i="8" s="1"/>
  <c r="BE40" i="8" s="1"/>
  <c r="BE41" i="8" s="1"/>
  <c r="BE42" i="8" s="1"/>
  <c r="BE43" i="8" s="1"/>
  <c r="BE44" i="8" s="1"/>
  <c r="BE45" i="8" s="1"/>
  <c r="BE46" i="8" s="1"/>
  <c r="BE47" i="8" s="1"/>
  <c r="BE48" i="8" s="1"/>
  <c r="BE49" i="8" s="1"/>
  <c r="BE50" i="8" s="1"/>
  <c r="BE51" i="8" s="1"/>
  <c r="BE52" i="8" s="1"/>
  <c r="BE53" i="8" s="1"/>
  <c r="BE54" i="8" s="1"/>
  <c r="BE55" i="8" s="1"/>
  <c r="BG21" i="8" s="1"/>
  <c r="BG24" i="8"/>
  <c r="BV34" i="8"/>
  <c r="BV36" i="8"/>
  <c r="BV33" i="8"/>
  <c r="BV37" i="8"/>
  <c r="BV55" i="8"/>
  <c r="BV49" i="8"/>
  <c r="BV43" i="8"/>
  <c r="BV54" i="8"/>
  <c r="BV46" i="8"/>
  <c r="BV48" i="8"/>
  <c r="BV41" i="8"/>
  <c r="BV40" i="8"/>
  <c r="BV44" i="8"/>
  <c r="BV53" i="8"/>
  <c r="BV47" i="8"/>
  <c r="BV42" i="8"/>
  <c r="BV45" i="8"/>
  <c r="BV35" i="8"/>
  <c r="BV52" i="8"/>
  <c r="BV39" i="8"/>
  <c r="BV51" i="8"/>
  <c r="BV38" i="8"/>
  <c r="BG48" i="8" l="1"/>
  <c r="BG27" i="8"/>
  <c r="BG36" i="8"/>
  <c r="BG54" i="8"/>
  <c r="BG44" i="8"/>
  <c r="BG35" i="8"/>
  <c r="BG39" i="8"/>
  <c r="BG43" i="8"/>
  <c r="BG53" i="8"/>
  <c r="BG29" i="8"/>
  <c r="BG47" i="8"/>
  <c r="BG42" i="8"/>
  <c r="BG51" i="8"/>
  <c r="BG49" i="8"/>
  <c r="BG41" i="8"/>
  <c r="BG34" i="8"/>
  <c r="BG52" i="8"/>
  <c r="BG55" i="8"/>
  <c r="BG46" i="8"/>
  <c r="BG50" i="8"/>
  <c r="BG31" i="8"/>
  <c r="BG25" i="8"/>
  <c r="BG28" i="8"/>
  <c r="BG37" i="8"/>
  <c r="BG33" i="8"/>
  <c r="BG26" i="8"/>
  <c r="BG45" i="8"/>
  <c r="BG32" i="8"/>
  <c r="BG38" i="8"/>
  <c r="BG40" i="8"/>
  <c r="BG30" i="8"/>
</calcChain>
</file>

<file path=xl/sharedStrings.xml><?xml version="1.0" encoding="utf-8"?>
<sst xmlns="http://schemas.openxmlformats.org/spreadsheetml/2006/main" count="534" uniqueCount="221">
  <si>
    <t>Resolve</t>
  </si>
  <si>
    <t>Move</t>
  </si>
  <si>
    <t>Melee</t>
  </si>
  <si>
    <t>Command</t>
  </si>
  <si>
    <t>Defence</t>
  </si>
  <si>
    <t>Points</t>
  </si>
  <si>
    <t>Warlord</t>
  </si>
  <si>
    <t>Captain</t>
  </si>
  <si>
    <t>Rogue</t>
  </si>
  <si>
    <t>Company</t>
  </si>
  <si>
    <t>Shoot</t>
  </si>
  <si>
    <t>Elite company</t>
  </si>
  <si>
    <t>Formed company</t>
  </si>
  <si>
    <t>Irregular company</t>
  </si>
  <si>
    <t>Fantastic beast</t>
  </si>
  <si>
    <t>Dragon</t>
  </si>
  <si>
    <t>Vehicle</t>
  </si>
  <si>
    <t>Base profiles</t>
  </si>
  <si>
    <t>Nr companies</t>
  </si>
  <si>
    <t>Total cost</t>
  </si>
  <si>
    <t>Amphibious</t>
  </si>
  <si>
    <t>Artillery</t>
  </si>
  <si>
    <t>Artillery (indirect)</t>
  </si>
  <si>
    <t>Barrage</t>
  </si>
  <si>
    <t>Berserk</t>
  </si>
  <si>
    <t>Drilled</t>
  </si>
  <si>
    <t>Doughty</t>
  </si>
  <si>
    <t>Expendable</t>
  </si>
  <si>
    <t>Fast</t>
  </si>
  <si>
    <t>Feast</t>
  </si>
  <si>
    <t>Flying</t>
  </si>
  <si>
    <t>Foresters</t>
  </si>
  <si>
    <t>Giant</t>
  </si>
  <si>
    <t>Long spears</t>
  </si>
  <si>
    <t>Militia</t>
  </si>
  <si>
    <t>Monstrous</t>
  </si>
  <si>
    <t>Mounted</t>
  </si>
  <si>
    <t>Passenger</t>
  </si>
  <si>
    <t>Poison</t>
  </si>
  <si>
    <t>Powerful missile weapons</t>
  </si>
  <si>
    <t>Proud</t>
  </si>
  <si>
    <t>Rabble</t>
  </si>
  <si>
    <t>Regenerate</t>
  </si>
  <si>
    <t>Reliable</t>
  </si>
  <si>
    <t>Shieldwall</t>
  </si>
  <si>
    <t>Shooting</t>
  </si>
  <si>
    <t>Shooting (skilled)</t>
  </si>
  <si>
    <t>Slow</t>
  </si>
  <si>
    <t>Skirmishers</t>
  </si>
  <si>
    <t>Stimulants</t>
  </si>
  <si>
    <t>Thrown weapons</t>
  </si>
  <si>
    <t>Unreliable</t>
  </si>
  <si>
    <t>Traits</t>
  </si>
  <si>
    <t>+2</t>
  </si>
  <si>
    <t>+15</t>
  </si>
  <si>
    <t>+3</t>
  </si>
  <si>
    <t>+1</t>
  </si>
  <si>
    <t>+4</t>
  </si>
  <si>
    <t>+8</t>
  </si>
  <si>
    <t>+10</t>
  </si>
  <si>
    <t>+12</t>
  </si>
  <si>
    <t>+5</t>
  </si>
  <si>
    <t>+7</t>
  </si>
  <si>
    <t>Limits</t>
  </si>
  <si>
    <t>May not be given traits</t>
  </si>
  <si>
    <t>0-1 or 0-2 if Cloaks and Daggers strategy is taken</t>
  </si>
  <si>
    <t>Strategies</t>
  </si>
  <si>
    <t>Agent</t>
  </si>
  <si>
    <t>Ambush</t>
  </si>
  <si>
    <t>Cloaks and Daggers</t>
  </si>
  <si>
    <t>Drillmaster</t>
  </si>
  <si>
    <t>Master of the Horse</t>
  </si>
  <si>
    <t>Night March</t>
  </si>
  <si>
    <t>Quartermaster</t>
  </si>
  <si>
    <t>Character</t>
  </si>
  <si>
    <t>x4</t>
  </si>
  <si>
    <t>x1</t>
  </si>
  <si>
    <t>x2</t>
  </si>
  <si>
    <t>x1/2</t>
  </si>
  <si>
    <t>+6 for prot 5</t>
  </si>
  <si>
    <t>Swarm</t>
  </si>
  <si>
    <t>Heavy melee weapons</t>
  </si>
  <si>
    <t>Heavy missile weapons</t>
  </si>
  <si>
    <t>Ephemeral</t>
  </si>
  <si>
    <t>Ordnance battery</t>
  </si>
  <si>
    <t>+20</t>
  </si>
  <si>
    <t>-1</t>
  </si>
  <si>
    <t>Mage-lord</t>
  </si>
  <si>
    <t>1 Warlord or Mage-lord</t>
  </si>
  <si>
    <t>Furious charge</t>
  </si>
  <si>
    <t>Mindless</t>
  </si>
  <si>
    <t>Trait1</t>
  </si>
  <si>
    <t>Trait2</t>
  </si>
  <si>
    <t>Trait3</t>
  </si>
  <si>
    <t>Racial</t>
  </si>
  <si>
    <t>xxxxxxx</t>
  </si>
  <si>
    <t xml:space="preserve">Total </t>
  </si>
  <si>
    <t># Bases</t>
  </si>
  <si>
    <t>Pts</t>
  </si>
  <si>
    <t>Extra Pts</t>
  </si>
  <si>
    <t>Spartans</t>
  </si>
  <si>
    <t>Ares</t>
  </si>
  <si>
    <t>cavlry</t>
  </si>
  <si>
    <t>Hoplite</t>
  </si>
  <si>
    <t>Armoured Hoplite</t>
  </si>
  <si>
    <t>Apollo</t>
  </si>
  <si>
    <t>short</t>
  </si>
  <si>
    <t>long</t>
  </si>
  <si>
    <t>BASE</t>
  </si>
  <si>
    <t>RACIAL</t>
  </si>
  <si>
    <t>trait1</t>
  </si>
  <si>
    <t>trait2</t>
  </si>
  <si>
    <t>trait 3</t>
  </si>
  <si>
    <t>Character (Warlord)</t>
  </si>
  <si>
    <t>Total</t>
  </si>
  <si>
    <t>Cost</t>
  </si>
  <si>
    <t>--/--</t>
  </si>
  <si>
    <t>Def</t>
  </si>
  <si>
    <t>Res</t>
  </si>
  <si>
    <t>Sht</t>
  </si>
  <si>
    <t>u</t>
  </si>
  <si>
    <t>+</t>
  </si>
  <si>
    <t>Relic</t>
  </si>
  <si>
    <t>Relics</t>
  </si>
  <si>
    <t>Scouts</t>
  </si>
  <si>
    <t>Traits / Relics</t>
  </si>
  <si>
    <t>Calc</t>
  </si>
  <si>
    <t>Army Name</t>
  </si>
  <si>
    <t>Magic-user</t>
  </si>
  <si>
    <t>Strategy 1</t>
  </si>
  <si>
    <t>Strategy 2</t>
  </si>
  <si>
    <t>Strategy 3</t>
  </si>
  <si>
    <t>Points total</t>
  </si>
  <si>
    <t>Army name</t>
  </si>
  <si>
    <t>Army builder spreadsheet designed by Mike Wilson (2020)</t>
  </si>
  <si>
    <t>Unit name</t>
  </si>
  <si>
    <t>Mel</t>
  </si>
  <si>
    <t>Mov</t>
  </si>
  <si>
    <t>Com</t>
  </si>
  <si>
    <t>Character (Captain)</t>
  </si>
  <si>
    <t>Lion's Roar Talisman</t>
  </si>
  <si>
    <t>Mystical Tome of Revelation</t>
  </si>
  <si>
    <t>Billowing Banner of Encouragement</t>
  </si>
  <si>
    <t>Blade of Unsurpassable Power</t>
  </si>
  <si>
    <t>Drab Cloak of Expediency</t>
  </si>
  <si>
    <t>Haughty Helm of Reassurance</t>
  </si>
  <si>
    <t>Navigator's Map of Wayfinding</t>
  </si>
  <si>
    <t>Shadowy Cloak of Stealth</t>
  </si>
  <si>
    <t>Titanic Diadem of Foresight</t>
  </si>
  <si>
    <t>Wicked Blade of Piercing</t>
  </si>
  <si>
    <t>Winged Boots of Alacrity</t>
  </si>
  <si>
    <t>Character (Magic-user)</t>
  </si>
  <si>
    <t>Character (Mage-lord)</t>
  </si>
  <si>
    <t>Shooting (mixed)</t>
  </si>
  <si>
    <t>+45</t>
  </si>
  <si>
    <t>+30</t>
  </si>
  <si>
    <t>+80</t>
  </si>
  <si>
    <t>+65</t>
  </si>
  <si>
    <r>
      <rPr>
        <sz val="11"/>
        <color theme="1"/>
        <rFont val="Calibri"/>
        <family val="2"/>
      </rPr>
      <t>≤</t>
    </r>
    <r>
      <rPr>
        <sz val="11"/>
        <color theme="1"/>
        <rFont val="Adobe Garamond Pro"/>
        <family val="1"/>
      </rPr>
      <t>3 per 500 points</t>
    </r>
  </si>
  <si>
    <t>≤1 per 500 points</t>
  </si>
  <si>
    <t>Martyr's Ring of Retribution</t>
  </si>
  <si>
    <t>incompatible traits</t>
  </si>
  <si>
    <t>id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</si>
  <si>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</si>
  <si>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</si>
  <si>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</si>
  <si>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</si>
  <si>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</si>
  <si>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</si>
  <si>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</si>
  <si>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</si>
  <si>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</si>
  <si>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</si>
  <si>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</si>
  <si>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count</t>
  </si>
  <si>
    <t>company</t>
  </si>
  <si>
    <t>trai2</t>
  </si>
  <si>
    <t>trait3</t>
  </si>
  <si>
    <t>max</t>
  </si>
  <si>
    <t>sum</t>
  </si>
  <si>
    <t>allowed</t>
  </si>
  <si>
    <t>Mage-lord/Warlord</t>
  </si>
  <si>
    <t>allowed/500</t>
  </si>
  <si>
    <t>total</t>
  </si>
  <si>
    <t>Too Many Warlords</t>
  </si>
  <si>
    <t>Too Many Captains</t>
  </si>
  <si>
    <t>Too Many Mages</t>
  </si>
  <si>
    <t>Too Many Rogues</t>
  </si>
  <si>
    <t>Total/500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</si>
  <si>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</si>
  <si>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</si>
  <si>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</si>
  <si>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</si>
  <si>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</si>
  <si>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</si>
  <si>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</si>
  <si>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</si>
  <si>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</si>
  <si>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</si>
  <si>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</si>
  <si>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</si>
  <si>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</si>
  <si>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</si>
  <si>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relic</t>
  </si>
  <si>
    <t>Belligerent</t>
  </si>
  <si>
    <t>-3</t>
  </si>
  <si>
    <t>Warbeasts</t>
  </si>
  <si>
    <t>Terrifying</t>
  </si>
  <si>
    <t>+25</t>
  </si>
  <si>
    <t>Mundane</t>
  </si>
  <si>
    <t>Reckless</t>
  </si>
  <si>
    <t>Malodorous</t>
  </si>
  <si>
    <t>Highlanders</t>
  </si>
  <si>
    <t>Impulsive</t>
  </si>
  <si>
    <t>Emerge</t>
  </si>
  <si>
    <t>Pikes</t>
  </si>
  <si>
    <t>Familiar</t>
  </si>
  <si>
    <t>Phoenix Bow of Precision</t>
  </si>
  <si>
    <t>Company Check</t>
  </si>
  <si>
    <t>Sum</t>
  </si>
  <si>
    <t>brk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</si>
</sst>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Adobe Garamond Pro"/>
      <family val="1"/>
    </font>
    <font>
      <b/>
      <sz val="11"/>
      <color theme="1"/>
      <name val="Adobe Garamond Pro"/>
      <family val="1"/>
    </font>
    <font>
      <i/>
      <sz val="11"/>
      <color theme="1"/>
      <name val="Calibri"/>
      <family val="2"/>
      <scheme val="minor"/>
    </font>
    <font>
      <b/>
      <sz val="11"/>
      <color theme="0"/>
      <name val="Adobe Garamond Pro"/>
      <family val="1"/>
    </font>
    <font>
      <sz val="11"/>
      <color theme="0"/>
      <name val="Adobe Garamond Pro"/>
      <family val="1"/>
    </font>
    <font>
      <b/>
      <sz val="11"/>
      <name val="Adobe Garamond Pro"/>
      <family val="1"/>
    </font>
    <font>
      <sz val="11"/>
      <color rgb="FFFF0000"/>
      <name val="Adobe Garamond Pro"/>
      <family val="1"/>
    </font>
    <font>
      <sz val="10"/>
      <color theme="1"/>
      <name val="Adobe Garamond Pro"/>
      <family val="1"/>
    </font>
    <font>
      <b/>
      <sz val="11"/>
      <color theme="5" tint="-0.499984740745262"/>
      <name val="Adobe Garamond Pro"/>
      <family val="1"/>
    </font>
    <font>
      <sz val="11"/>
      <color theme="1"/>
      <name val="Calibri"/>
      <family val="2"/>
    </font>
    <font>
      <sz val="11"/>
      <color theme="1"/>
      <name val="Adobe Garamond Pro"/>
      <family val="2"/>
    </font>
    <font>
      <b/>
      <sz val="11"/>
      <color theme="1"/>
      <name val="Calibri"/>
      <family val="2"/>
      <scheme val="minor"/>
    </font>
    <font>
      <b/>
      <sz val="10"/>
      <color rgb="FF333333"/>
      <name val="Georgia"/>
      <family val="1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dobe Garamond Pro"/>
      <family val="1"/>
    </font>
    <font>
      <i/>
      <sz val="11"/>
      <color theme="1"/>
      <name val="Adobe Garamond Pro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quotePrefix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1" fillId="0" borderId="0" xfId="0" quotePrefix="1" applyFont="1" applyAlignment="1">
      <alignment horizontal="left" vertical="center"/>
    </xf>
    <xf numFmtId="0" fontId="1" fillId="4" borderId="0" xfId="0" quotePrefix="1" applyFont="1" applyFill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0" fontId="3" fillId="5" borderId="1" xfId="0" applyFont="1" applyFill="1" applyBorder="1"/>
    <xf numFmtId="0" fontId="3" fillId="5" borderId="0" xfId="0" applyFont="1" applyFill="1"/>
    <xf numFmtId="0" fontId="1" fillId="5" borderId="0" xfId="0" applyFont="1" applyFill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 applyProtection="1">
      <alignment horizontal="left"/>
      <protection locked="0"/>
    </xf>
    <xf numFmtId="0" fontId="5" fillId="7" borderId="11" xfId="0" applyFont="1" applyFill="1" applyBorder="1" applyAlignment="1" applyProtection="1">
      <alignment horizontal="center"/>
      <protection locked="0"/>
    </xf>
    <xf numFmtId="0" fontId="5" fillId="7" borderId="4" xfId="0" applyFont="1" applyFill="1" applyBorder="1" applyAlignment="1" applyProtection="1">
      <alignment horizontal="center"/>
      <protection locked="0"/>
    </xf>
    <xf numFmtId="0" fontId="5" fillId="7" borderId="9" xfId="0" applyFont="1" applyFill="1" applyBorder="1" applyAlignment="1" applyProtection="1">
      <alignment horizontal="center"/>
      <protection locked="0"/>
    </xf>
    <xf numFmtId="0" fontId="4" fillId="7" borderId="1" xfId="0" applyFont="1" applyFill="1" applyBorder="1" applyAlignment="1" applyProtection="1">
      <alignment horizontal="center"/>
      <protection locked="0"/>
    </xf>
    <xf numFmtId="0" fontId="5" fillId="7" borderId="8" xfId="0" applyFont="1" applyFill="1" applyBorder="1" applyAlignment="1" applyProtection="1">
      <alignment horizontal="center"/>
      <protection locked="0"/>
    </xf>
    <xf numFmtId="0" fontId="4" fillId="7" borderId="11" xfId="0" applyFont="1" applyFill="1" applyBorder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0" fontId="5" fillId="7" borderId="2" xfId="0" applyFont="1" applyFill="1" applyBorder="1" applyProtection="1">
      <protection locked="0"/>
    </xf>
    <xf numFmtId="0" fontId="5" fillId="7" borderId="4" xfId="0" applyFont="1" applyFill="1" applyBorder="1" applyProtection="1">
      <protection locked="0"/>
    </xf>
    <xf numFmtId="0" fontId="5" fillId="7" borderId="10" xfId="0" applyFont="1" applyFill="1" applyBorder="1" applyAlignment="1" applyProtection="1">
      <alignment horizontal="center"/>
      <protection locked="0"/>
    </xf>
    <xf numFmtId="0" fontId="5" fillId="7" borderId="6" xfId="0" applyFont="1" applyFill="1" applyBorder="1" applyAlignment="1" applyProtection="1">
      <alignment horizontal="center"/>
      <protection locked="0"/>
    </xf>
    <xf numFmtId="0" fontId="5" fillId="7" borderId="2" xfId="0" applyFont="1" applyFill="1" applyBorder="1" applyAlignment="1" applyProtection="1">
      <alignment horizontal="center"/>
      <protection locked="0"/>
    </xf>
    <xf numFmtId="0" fontId="1" fillId="8" borderId="1" xfId="0" applyFont="1" applyFill="1" applyBorder="1" applyAlignment="1" applyProtection="1">
      <alignment horizontal="center"/>
      <protection locked="0"/>
    </xf>
    <xf numFmtId="0" fontId="1" fillId="7" borderId="2" xfId="0" applyFont="1" applyFill="1" applyBorder="1" applyAlignment="1" applyProtection="1">
      <alignment horizontal="center"/>
      <protection locked="0"/>
    </xf>
    <xf numFmtId="0" fontId="1" fillId="7" borderId="10" xfId="0" applyFont="1" applyFill="1" applyBorder="1" applyProtection="1">
      <protection locked="0"/>
    </xf>
    <xf numFmtId="0" fontId="1" fillId="7" borderId="5" xfId="0" applyFont="1" applyFill="1" applyBorder="1" applyProtection="1">
      <protection locked="0"/>
    </xf>
    <xf numFmtId="0" fontId="4" fillId="7" borderId="1" xfId="0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8" fillId="8" borderId="1" xfId="0" applyFont="1" applyFill="1" applyBorder="1" applyAlignment="1" applyProtection="1">
      <alignment horizontal="center"/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9" fillId="6" borderId="1" xfId="0" applyFont="1" applyFill="1" applyBorder="1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7" fillId="0" borderId="0" xfId="0" applyFont="1"/>
    <xf numFmtId="0" fontId="11" fillId="0" borderId="0" xfId="0" applyFont="1" applyAlignment="1">
      <alignment horizontal="left"/>
    </xf>
    <xf numFmtId="0" fontId="4" fillId="9" borderId="0" xfId="0" applyFont="1" applyFill="1" applyAlignment="1">
      <alignment horizontal="left"/>
    </xf>
    <xf numFmtId="0" fontId="2" fillId="9" borderId="0" xfId="0" applyFont="1" applyFill="1" applyAlignment="1">
      <alignment horizontal="left"/>
    </xf>
    <xf numFmtId="0" fontId="1" fillId="10" borderId="0" xfId="0" applyFont="1" applyFill="1" applyAlignment="1">
      <alignment horizontal="left"/>
    </xf>
    <xf numFmtId="0" fontId="1" fillId="10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 shrinkToFit="1"/>
    </xf>
    <xf numFmtId="0" fontId="12" fillId="0" borderId="0" xfId="0" applyFont="1"/>
    <xf numFmtId="0" fontId="13" fillId="0" borderId="0" xfId="0" applyFont="1"/>
    <xf numFmtId="0" fontId="3" fillId="0" borderId="0" xfId="0" applyFont="1"/>
    <xf numFmtId="0" fontId="14" fillId="0" borderId="0" xfId="0" applyFont="1"/>
    <xf numFmtId="0" fontId="16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 vertical="center"/>
    </xf>
    <xf numFmtId="0" fontId="1" fillId="12" borderId="0" xfId="0" applyFont="1" applyFill="1" applyProtection="1">
      <protection locked="0"/>
    </xf>
    <xf numFmtId="0" fontId="1" fillId="12" borderId="0" xfId="0" applyFont="1" applyFill="1" applyAlignment="1" applyProtection="1">
      <alignment horizontal="center"/>
      <protection locked="0"/>
    </xf>
    <xf numFmtId="0" fontId="1" fillId="12" borderId="0" xfId="0" applyFont="1" applyFill="1"/>
    <xf numFmtId="0" fontId="16" fillId="12" borderId="0" xfId="0" applyFont="1" applyFill="1"/>
    <xf numFmtId="0" fontId="7" fillId="12" borderId="0" xfId="0" applyFont="1" applyFill="1"/>
    <xf numFmtId="0" fontId="1" fillId="12" borderId="0" xfId="0" applyFont="1" applyFill="1" applyAlignment="1">
      <alignment horizontal="center"/>
    </xf>
    <xf numFmtId="0" fontId="2" fillId="12" borderId="0" xfId="0" applyFont="1" applyFill="1" applyAlignment="1" applyProtection="1">
      <alignment horizontal="center" vertical="center"/>
      <protection locked="0"/>
    </xf>
    <xf numFmtId="0" fontId="5" fillId="12" borderId="0" xfId="0" applyFont="1" applyFill="1" applyProtection="1">
      <protection locked="0"/>
    </xf>
    <xf numFmtId="0" fontId="5" fillId="12" borderId="0" xfId="0" applyFont="1" applyFill="1"/>
    <xf numFmtId="0" fontId="5" fillId="7" borderId="0" xfId="0" applyFont="1" applyFill="1" applyProtection="1">
      <protection locked="0"/>
    </xf>
    <xf numFmtId="0" fontId="5" fillId="7" borderId="0" xfId="0" applyFont="1" applyFill="1" applyAlignment="1" applyProtection="1">
      <alignment horizontal="center"/>
      <protection locked="0"/>
    </xf>
    <xf numFmtId="0" fontId="5" fillId="7" borderId="10" xfId="0" applyFont="1" applyFill="1" applyBorder="1" applyProtection="1">
      <protection locked="0"/>
    </xf>
    <xf numFmtId="0" fontId="4" fillId="7" borderId="11" xfId="0" applyFont="1" applyFill="1" applyBorder="1" applyProtection="1">
      <protection locked="0"/>
    </xf>
    <xf numFmtId="0" fontId="4" fillId="7" borderId="12" xfId="0" applyFont="1" applyFill="1" applyBorder="1" applyAlignment="1" applyProtection="1">
      <alignment horizontal="left"/>
      <protection locked="0"/>
    </xf>
    <xf numFmtId="0" fontId="5" fillId="7" borderId="13" xfId="0" applyFont="1" applyFill="1" applyBorder="1" applyProtection="1">
      <protection locked="0"/>
    </xf>
    <xf numFmtId="0" fontId="5" fillId="7" borderId="6" xfId="0" applyFont="1" applyFill="1" applyBorder="1" applyProtection="1">
      <protection locked="0"/>
    </xf>
    <xf numFmtId="0" fontId="17" fillId="0" borderId="0" xfId="0" applyFont="1" applyAlignment="1">
      <alignment horizontal="left" vertical="center"/>
    </xf>
    <xf numFmtId="0" fontId="7" fillId="12" borderId="0" xfId="0" applyFont="1" applyFill="1" applyAlignment="1">
      <alignment horizontal="center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12" fillId="11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4" fillId="7" borderId="7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23">
    <dxf>
      <font>
        <color theme="0"/>
      </font>
    </dxf>
    <dxf>
      <font>
        <color theme="7" tint="0.59996337778862885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7" tint="0.59996337778862885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7" tint="0.59996337778862885"/>
      </font>
    </dxf>
    <dxf>
      <font>
        <color theme="7" tint="0.59996337778862885"/>
      </font>
    </dxf>
    <dxf>
      <font>
        <color theme="7" tint="0.59996337778862885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7" tint="0.59996337778862885"/>
      </font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B902-6BF4-1740-ADFC-8C0C53ED1D7A}">
  <dimension ref="A1:DN37"/>
  <sheetViews>
    <sheetView tabSelected="1" zoomScaleNormal="100" zoomScaleSheetLayoutView="100" workbookViewId="0">
      <selection activeCell="B5" sqref="B5"/>
    </sheetView>
  </sheetViews>
  <sheetFormatPr defaultColWidth="0" defaultRowHeight="15" zeroHeight="1" x14ac:dyDescent="0.35"/>
  <cols>
    <col min="1" max="1" width="2.77734375" style="83" customWidth="1"/>
    <col min="2" max="2" width="19.5546875" style="37" customWidth="1"/>
    <col min="3" max="3" width="15.88671875" style="37" bestFit="1" customWidth="1"/>
    <col min="4" max="4" width="7.77734375" style="52" bestFit="1" customWidth="1"/>
    <col min="5" max="5" width="6" style="52" bestFit="1" customWidth="1"/>
    <col min="6" max="6" width="6.21875" style="52" bestFit="1" customWidth="1"/>
    <col min="7" max="7" width="5.5546875" style="52" bestFit="1" customWidth="1"/>
    <col min="8" max="8" width="4.88671875" style="52" bestFit="1" customWidth="1"/>
    <col min="9" max="9" width="7.88671875" style="52" bestFit="1" customWidth="1"/>
    <col min="10" max="10" width="10.21875" style="52" bestFit="1" customWidth="1"/>
    <col min="11" max="11" width="18.77734375" style="52" customWidth="1"/>
    <col min="12" max="14" width="20.5546875" style="52" customWidth="1"/>
    <col min="15" max="15" width="18.77734375" style="52" customWidth="1"/>
    <col min="16" max="16" width="6.21875" style="37" bestFit="1" customWidth="1"/>
    <col min="17" max="17" width="7.44140625" style="37" bestFit="1" customWidth="1"/>
    <col min="18" max="18" width="6" style="37" customWidth="1"/>
    <col min="19" max="19" width="3" style="76" customWidth="1"/>
    <col min="20" max="21" width="8.5546875" style="56" hidden="1" customWidth="1"/>
    <col min="22" max="22" width="12.5546875" style="56" hidden="1" customWidth="1"/>
    <col min="23" max="27" width="8.5546875" style="56" hidden="1" customWidth="1"/>
    <col min="28" max="28" width="8.5546875" style="71" hidden="1" customWidth="1"/>
    <col min="29" max="16384" width="8.5546875" style="56" hidden="1"/>
  </cols>
  <sheetData>
    <row r="1" spans="1:118" s="78" customFormat="1" x14ac:dyDescent="0.35">
      <c r="A1" s="83"/>
      <c r="B1" s="76"/>
      <c r="C1" s="76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6"/>
      <c r="Q1" s="76"/>
      <c r="R1" s="76"/>
      <c r="S1" s="76"/>
      <c r="AB1" s="79"/>
    </row>
    <row r="2" spans="1:118" x14ac:dyDescent="0.35">
      <c r="B2" s="30" t="s">
        <v>133</v>
      </c>
      <c r="C2" s="95"/>
      <c r="D2" s="96"/>
      <c r="E2" s="31"/>
      <c r="F2" s="31"/>
      <c r="G2" s="32"/>
      <c r="H2" s="32"/>
      <c r="I2" s="31"/>
      <c r="J2" s="31"/>
      <c r="K2" s="33"/>
      <c r="L2" s="34" t="s">
        <v>129</v>
      </c>
      <c r="M2" s="34" t="s">
        <v>130</v>
      </c>
      <c r="N2" s="34" t="s">
        <v>131</v>
      </c>
      <c r="O2" s="35"/>
      <c r="P2" s="88" t="s">
        <v>132</v>
      </c>
      <c r="Q2" s="36"/>
      <c r="R2" s="55">
        <f>SUM(R5:R28)+SUM(AX3:AX5)</f>
        <v>0</v>
      </c>
      <c r="AW2" s="57" t="s">
        <v>66</v>
      </c>
      <c r="AX2" s="57" t="s">
        <v>115</v>
      </c>
      <c r="BC2" s="56">
        <v>1</v>
      </c>
      <c r="BD2" s="56">
        <v>9</v>
      </c>
      <c r="BG2" s="56">
        <v>1</v>
      </c>
      <c r="BH2" s="56">
        <v>2</v>
      </c>
      <c r="BI2" s="56">
        <v>3</v>
      </c>
      <c r="BJ2" s="56">
        <v>4</v>
      </c>
      <c r="BK2" s="56">
        <v>5</v>
      </c>
      <c r="BL2" s="56">
        <v>6</v>
      </c>
      <c r="BM2" s="56">
        <v>7</v>
      </c>
      <c r="BN2" s="56">
        <v>8</v>
      </c>
      <c r="BO2" s="56">
        <v>9</v>
      </c>
      <c r="BQ2" s="56">
        <v>1</v>
      </c>
      <c r="BR2" s="56">
        <v>2</v>
      </c>
      <c r="BS2" s="56">
        <v>3</v>
      </c>
      <c r="BT2" s="56">
        <v>4</v>
      </c>
      <c r="BU2" s="56">
        <v>5</v>
      </c>
      <c r="BV2" s="56">
        <v>6</v>
      </c>
      <c r="BW2" s="56">
        <v>7</v>
      </c>
      <c r="BX2" s="56">
        <v>8</v>
      </c>
      <c r="BY2" s="56">
        <v>9</v>
      </c>
      <c r="CA2" s="56">
        <v>1</v>
      </c>
      <c r="CB2" s="56">
        <v>2</v>
      </c>
      <c r="CC2" s="56">
        <v>3</v>
      </c>
      <c r="CD2" s="56">
        <v>4</v>
      </c>
      <c r="CE2" s="56">
        <v>5</v>
      </c>
      <c r="CF2" s="56">
        <v>6</v>
      </c>
      <c r="CG2" s="56">
        <v>7</v>
      </c>
      <c r="CH2" s="56">
        <v>8</v>
      </c>
      <c r="CI2" s="56">
        <v>9</v>
      </c>
      <c r="CK2" s="56">
        <v>1</v>
      </c>
      <c r="CL2" s="56">
        <v>2</v>
      </c>
      <c r="CM2" s="56">
        <v>3</v>
      </c>
      <c r="CN2" s="56">
        <v>4</v>
      </c>
      <c r="CO2" s="56">
        <v>5</v>
      </c>
      <c r="CP2" s="56">
        <v>6</v>
      </c>
      <c r="CQ2" s="56">
        <v>7</v>
      </c>
      <c r="CR2" s="56">
        <v>8</v>
      </c>
      <c r="CS2" s="56">
        <v>9</v>
      </c>
      <c r="CU2" s="56">
        <v>1</v>
      </c>
      <c r="CV2" s="56">
        <v>2</v>
      </c>
      <c r="CW2" s="56">
        <v>3</v>
      </c>
      <c r="CX2" s="56">
        <v>4</v>
      </c>
      <c r="CY2" s="56">
        <v>5</v>
      </c>
      <c r="CZ2" s="56">
        <v>6</v>
      </c>
      <c r="DA2" s="56">
        <v>7</v>
      </c>
      <c r="DB2" s="56">
        <v>8</v>
      </c>
      <c r="DC2" s="56">
        <v>9</v>
      </c>
      <c r="DF2" s="56">
        <v>1</v>
      </c>
      <c r="DG2" s="56">
        <v>2</v>
      </c>
      <c r="DH2" s="56">
        <v>3</v>
      </c>
      <c r="DI2" s="56">
        <v>4</v>
      </c>
      <c r="DJ2" s="56">
        <v>5</v>
      </c>
      <c r="DK2" s="56">
        <v>6</v>
      </c>
      <c r="DL2" s="56">
        <v>7</v>
      </c>
      <c r="DM2" s="56">
        <v>8</v>
      </c>
      <c r="DN2" s="56">
        <v>9</v>
      </c>
    </row>
    <row r="3" spans="1:118" x14ac:dyDescent="0.35">
      <c r="B3" s="38"/>
      <c r="C3" s="39"/>
      <c r="D3" s="32"/>
      <c r="E3" s="40"/>
      <c r="F3" s="41"/>
      <c r="G3" s="94" t="s">
        <v>119</v>
      </c>
      <c r="H3" s="94"/>
      <c r="I3" s="42"/>
      <c r="J3" s="40"/>
      <c r="K3" s="41"/>
      <c r="L3" s="43"/>
      <c r="M3" s="43"/>
      <c r="N3" s="43"/>
      <c r="O3" s="44"/>
      <c r="P3" s="45"/>
      <c r="Q3" s="45"/>
      <c r="R3" s="46"/>
      <c r="AD3" s="56" t="s">
        <v>175</v>
      </c>
      <c r="AE3" s="56" t="s">
        <v>110</v>
      </c>
      <c r="AF3" s="56" t="s">
        <v>176</v>
      </c>
      <c r="AG3" s="56" t="s">
        <v>177</v>
      </c>
      <c r="AH3" s="56" t="s">
        <v>179</v>
      </c>
      <c r="AI3" s="56" t="s">
        <v>174</v>
      </c>
      <c r="AJ3" s="56" t="s">
        <v>178</v>
      </c>
      <c r="AM3" s="56" t="s">
        <v>126</v>
      </c>
      <c r="AW3" s="58">
        <f>L3</f>
        <v>0</v>
      </c>
      <c r="AX3" s="58">
        <f>IFERROR(VLOOKUP($AW3,Strats,9,FALSE),0)</f>
        <v>0</v>
      </c>
      <c r="AY3" s="58">
        <f>IFERROR(VLOOKUP($AW3,Strats,10,FALSE),0)</f>
        <v>0</v>
      </c>
      <c r="BC3" s="56" t="s">
        <v>123</v>
      </c>
      <c r="BG3" s="59" t="s">
        <v>108</v>
      </c>
      <c r="BQ3" s="59" t="s">
        <v>109</v>
      </c>
      <c r="CA3" s="56" t="s">
        <v>110</v>
      </c>
      <c r="CK3" s="56" t="s">
        <v>111</v>
      </c>
      <c r="CU3" s="56" t="s">
        <v>112</v>
      </c>
      <c r="DF3" s="56" t="s">
        <v>203</v>
      </c>
    </row>
    <row r="4" spans="1:118" x14ac:dyDescent="0.35">
      <c r="B4" s="47" t="s">
        <v>135</v>
      </c>
      <c r="C4" s="47" t="s">
        <v>9</v>
      </c>
      <c r="D4" s="74" t="s">
        <v>118</v>
      </c>
      <c r="E4" s="74" t="s">
        <v>137</v>
      </c>
      <c r="F4" s="74" t="s">
        <v>136</v>
      </c>
      <c r="G4" s="74" t="s">
        <v>106</v>
      </c>
      <c r="H4" s="74" t="s">
        <v>107</v>
      </c>
      <c r="I4" s="74" t="s">
        <v>117</v>
      </c>
      <c r="J4" s="74" t="s">
        <v>138</v>
      </c>
      <c r="K4" s="74" t="s">
        <v>94</v>
      </c>
      <c r="L4" s="74" t="s">
        <v>91</v>
      </c>
      <c r="M4" s="74" t="s">
        <v>92</v>
      </c>
      <c r="N4" s="74" t="s">
        <v>93</v>
      </c>
      <c r="O4" s="74" t="s">
        <v>122</v>
      </c>
      <c r="P4" s="74" t="s">
        <v>115</v>
      </c>
      <c r="Q4" s="74" t="s">
        <v>97</v>
      </c>
      <c r="R4" s="74" t="s">
        <v>114</v>
      </c>
      <c r="U4" s="56" t="s">
        <v>9</v>
      </c>
      <c r="AB4" s="71" t="s">
        <v>87</v>
      </c>
      <c r="AC4" s="56">
        <f>IFERROR(VLOOKUP($AB4,format!$C$5:$Q$30,1,FALSE),0)</f>
        <v>0</v>
      </c>
      <c r="AD4" s="56">
        <f>IFERROR(VLOOKUP($AB4,format!$C$5:$Q$30,15,FALSE),0)</f>
        <v>0</v>
      </c>
      <c r="AH4" s="56">
        <f>SUM(AD4:AG4)</f>
        <v>0</v>
      </c>
      <c r="AI4" s="56">
        <f>COUNTIF(format!$C$5:$C$29,Builder!AB4)</f>
        <v>0</v>
      </c>
      <c r="AJ4" s="56">
        <f>IF(AI4&gt;AH4,AI4,AH4)</f>
        <v>0</v>
      </c>
      <c r="AW4" s="58">
        <f>M3</f>
        <v>0</v>
      </c>
      <c r="AX4" s="58">
        <f>IFERROR(VLOOKUP($AW4,Strats,9,FALSE),0)</f>
        <v>0</v>
      </c>
      <c r="AY4" s="58">
        <f>IFERROR(VLOOKUP($AW4,Strats,10,FALSE),0)</f>
        <v>0</v>
      </c>
    </row>
    <row r="5" spans="1:118" x14ac:dyDescent="0.35">
      <c r="A5" s="83">
        <v>1</v>
      </c>
      <c r="B5" s="48"/>
      <c r="C5" s="49"/>
      <c r="D5" s="53">
        <f t="shared" ref="D5:G5" si="0">AM7</f>
        <v>0</v>
      </c>
      <c r="E5" s="53">
        <f t="shared" si="0"/>
        <v>0</v>
      </c>
      <c r="F5" s="53">
        <f t="shared" si="0"/>
        <v>0</v>
      </c>
      <c r="G5" s="53">
        <f t="shared" si="0"/>
        <v>0</v>
      </c>
      <c r="H5" s="53">
        <f>AQ7</f>
        <v>0</v>
      </c>
      <c r="I5" s="53">
        <f>AR7</f>
        <v>0</v>
      </c>
      <c r="J5" s="53">
        <f>AS7</f>
        <v>0</v>
      </c>
      <c r="K5" s="50"/>
      <c r="L5" s="50"/>
      <c r="M5" s="50"/>
      <c r="N5" s="50"/>
      <c r="O5" s="50"/>
      <c r="P5" s="54">
        <f>BO7+BY7+CI7+CS7+DC7+BD7</f>
        <v>0</v>
      </c>
      <c r="Q5" s="51"/>
      <c r="R5" s="54">
        <f>Q5*P5</f>
        <v>0</v>
      </c>
      <c r="U5" s="56">
        <f>IF(C5=$U$2,0,IFERROR(VLOOKUP($C5,Stats!$B$4:$B$8,1,FALSE),"Company"))</f>
        <v>0</v>
      </c>
      <c r="V5" s="56">
        <f>IF(C5=$U$2,0,IFERROR(VLOOKUP(K5,Stats!$B$24:$B$27,1,FALSE),"Company"))</f>
        <v>0</v>
      </c>
      <c r="W5" s="56">
        <f>IF(D5=$U$2,0,IFERROR(VLOOKUP(L5,Stats!$B$24:$B$27,1,FALSE),"Company"))</f>
        <v>0</v>
      </c>
      <c r="X5" s="56">
        <f>IF(E5=$U$2,0,IFERROR(VLOOKUP(M5,Stats!$B$24:$B$27,1,FALSE),"Company"))</f>
        <v>0</v>
      </c>
      <c r="Y5" s="56">
        <f>IF(F5=$U$2,0,IFERROR(VLOOKUP(N5,Stats!$B$24:$B$27,1,FALSE),"Company"))</f>
        <v>0</v>
      </c>
      <c r="Z5" s="56">
        <f>COUNTIF(U5:Y5,$U$4)</f>
        <v>0</v>
      </c>
      <c r="AB5" s="71" t="s">
        <v>6</v>
      </c>
      <c r="AC5" s="56">
        <f>IFERROR(VLOOKUP($AB5,format!$C$5:$Q$30,1,FALSE),0)</f>
        <v>0</v>
      </c>
      <c r="AD5" s="56">
        <f>IFERROR(VLOOKUP($AB5,format!$C$5:$Q$30,15,FALSE),0)</f>
        <v>0</v>
      </c>
      <c r="AH5" s="56">
        <f t="shared" ref="AH5:AH12" si="1">SUM(AD5:AG5)</f>
        <v>0</v>
      </c>
      <c r="AI5" s="56">
        <f>COUNTIF(format!$C$5:$C$29,Builder!AB5)</f>
        <v>0</v>
      </c>
      <c r="AJ5" s="56">
        <f t="shared" ref="AJ5:AJ12" si="2">IF(AI5&gt;AH5,AI5,AH5)</f>
        <v>0</v>
      </c>
      <c r="AW5" s="58">
        <f>N3</f>
        <v>0</v>
      </c>
      <c r="AX5" s="58">
        <f>IFERROR(VLOOKUP($AW5,Strats,9,FALSE),0)</f>
        <v>0</v>
      </c>
      <c r="AY5" s="58">
        <f>IFERROR(VLOOKUP($AW5,Strats,10,FALSE),0)</f>
        <v>0</v>
      </c>
    </row>
    <row r="6" spans="1:118" x14ac:dyDescent="0.35">
      <c r="A6" s="83">
        <v>2</v>
      </c>
      <c r="B6" s="48"/>
      <c r="C6" s="49"/>
      <c r="D6" s="53">
        <f t="shared" ref="D6:D28" si="3">AM8</f>
        <v>0</v>
      </c>
      <c r="E6" s="53">
        <f t="shared" ref="E6:E20" si="4">AN8</f>
        <v>0</v>
      </c>
      <c r="F6" s="53">
        <f t="shared" ref="F6:F20" si="5">AO8</f>
        <v>0</v>
      </c>
      <c r="G6" s="53">
        <f t="shared" ref="G6:G20" si="6">AP8</f>
        <v>0</v>
      </c>
      <c r="H6" s="53">
        <f t="shared" ref="H6:H20" si="7">AQ8</f>
        <v>0</v>
      </c>
      <c r="I6" s="53">
        <f t="shared" ref="I6:I20" si="8">AR8</f>
        <v>0</v>
      </c>
      <c r="J6" s="53">
        <f t="shared" ref="J6:J20" si="9">AS8</f>
        <v>0</v>
      </c>
      <c r="K6" s="50"/>
      <c r="L6" s="50"/>
      <c r="M6" s="50"/>
      <c r="N6" s="50"/>
      <c r="O6" s="50"/>
      <c r="P6" s="54">
        <f t="shared" ref="P6:P29" si="10">BO8+BY8+CI8+CS8+DC8+BD8</f>
        <v>0</v>
      </c>
      <c r="Q6" s="51"/>
      <c r="R6" s="54">
        <f t="shared" ref="R6:R29" si="11">Q6*P6</f>
        <v>0</v>
      </c>
      <c r="S6" s="82"/>
      <c r="U6" s="56">
        <f>IF(C6=$U$2,0,IFERROR(VLOOKUP($C6,Stats!$B$4:$B$8,1,FALSE),"Company"))</f>
        <v>0</v>
      </c>
      <c r="V6" s="56">
        <f>IF(C6=$U$2,0,IFERROR(VLOOKUP(K6,Stats!$B$24:$B$27,1,FALSE),"Company"))</f>
        <v>0</v>
      </c>
      <c r="W6" s="56">
        <f>IF(D6=$U$2,0,IFERROR(VLOOKUP(L6,Stats!$B$24:$B$27,1,FALSE),"Company"))</f>
        <v>0</v>
      </c>
      <c r="X6" s="56">
        <f>IF(E6=$U$2,0,IFERROR(VLOOKUP(M6,Stats!$B$24:$B$27,1,FALSE),"Company"))</f>
        <v>0</v>
      </c>
      <c r="Y6" s="56">
        <f>IF(F6=$U$2,0,IFERROR(VLOOKUP(N6,Stats!$B$24:$B$27,1,FALSE),"Company"))</f>
        <v>0</v>
      </c>
      <c r="Z6" s="56">
        <f t="shared" ref="Z6:Z29" si="12">COUNTIF(U6:Y6,$U$4)</f>
        <v>0</v>
      </c>
      <c r="AA6" s="4"/>
      <c r="AB6" s="71" t="s">
        <v>7</v>
      </c>
      <c r="AC6" s="56">
        <f>IFERROR(VLOOKUP($AB6,format!$C$5:$Q$30,1,FALSE),0)</f>
        <v>0</v>
      </c>
      <c r="AD6" s="56">
        <f>IFERROR(VLOOKUP($AB6,format!$C$5:$Q$30,15,FALSE),0)</f>
        <v>0</v>
      </c>
      <c r="AE6" s="4"/>
      <c r="AF6" s="4"/>
      <c r="AG6" s="4"/>
      <c r="AH6" s="56">
        <f t="shared" si="1"/>
        <v>0</v>
      </c>
      <c r="AI6" s="56">
        <f>COUNTIF(format!$C$5:$C$29,Builder!AB6)</f>
        <v>0</v>
      </c>
      <c r="AJ6" s="56">
        <f t="shared" si="2"/>
        <v>0</v>
      </c>
      <c r="AL6" s="4"/>
      <c r="AM6" s="4"/>
      <c r="AN6" s="4"/>
      <c r="AO6" s="4"/>
      <c r="AP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E6" s="4"/>
    </row>
    <row r="7" spans="1:118" x14ac:dyDescent="0.35">
      <c r="A7" s="83">
        <v>3</v>
      </c>
      <c r="B7" s="48"/>
      <c r="C7" s="49"/>
      <c r="D7" s="53">
        <f t="shared" si="3"/>
        <v>0</v>
      </c>
      <c r="E7" s="53">
        <f t="shared" si="4"/>
        <v>0</v>
      </c>
      <c r="F7" s="53">
        <f t="shared" si="5"/>
        <v>0</v>
      </c>
      <c r="G7" s="53">
        <f t="shared" si="6"/>
        <v>0</v>
      </c>
      <c r="H7" s="53">
        <f t="shared" si="7"/>
        <v>0</v>
      </c>
      <c r="I7" s="53">
        <f t="shared" si="8"/>
        <v>0</v>
      </c>
      <c r="J7" s="53">
        <f t="shared" si="9"/>
        <v>0</v>
      </c>
      <c r="K7" s="50"/>
      <c r="L7" s="50"/>
      <c r="M7" s="50"/>
      <c r="N7" s="50"/>
      <c r="O7" s="50"/>
      <c r="P7" s="54">
        <f t="shared" si="10"/>
        <v>0</v>
      </c>
      <c r="Q7" s="51"/>
      <c r="R7" s="54">
        <f t="shared" si="11"/>
        <v>0</v>
      </c>
      <c r="U7" s="56">
        <f>IF(C7=$U$2,0,IFERROR(VLOOKUP($C7,Stats!$B$4:$B$8,1,FALSE),"Company"))</f>
        <v>0</v>
      </c>
      <c r="V7" s="56">
        <f>IF(C7=$U$2,0,IFERROR(VLOOKUP(K7,Stats!$B$24:$B$27,1,FALSE),"Company"))</f>
        <v>0</v>
      </c>
      <c r="W7" s="56">
        <f>IF(D7=$U$2,0,IFERROR(VLOOKUP(L7,Stats!$B$24:$B$27,1,FALSE),"Company"))</f>
        <v>0</v>
      </c>
      <c r="X7" s="56">
        <f>IF(E7=$U$2,0,IFERROR(VLOOKUP(M7,Stats!$B$24:$B$27,1,FALSE),"Company"))</f>
        <v>0</v>
      </c>
      <c r="Y7" s="56">
        <f>IF(F7=$U$2,0,IFERROR(VLOOKUP(N7,Stats!$B$24:$B$27,1,FALSE),"Company"))</f>
        <v>0</v>
      </c>
      <c r="Z7" s="56">
        <f t="shared" si="12"/>
        <v>0</v>
      </c>
      <c r="AB7" s="71" t="s">
        <v>128</v>
      </c>
      <c r="AC7" s="56">
        <f>IFERROR(VLOOKUP($AB7,format!$C$5:$Q$30,1,FALSE),0)</f>
        <v>0</v>
      </c>
      <c r="AD7" s="56">
        <f>IFERROR(VLOOKUP($AB7,format!$C$5:$Q$30,15,FALSE),0)</f>
        <v>0</v>
      </c>
      <c r="AH7" s="56">
        <f t="shared" si="1"/>
        <v>0</v>
      </c>
      <c r="AI7" s="56">
        <f>COUNTIF(format!$C$5:$C$29,Builder!AB7)</f>
        <v>0</v>
      </c>
      <c r="AJ7" s="56">
        <f t="shared" si="2"/>
        <v>0</v>
      </c>
      <c r="AM7" s="73">
        <f>BH7+BR7+CB7+CL7+CV7+DG7</f>
        <v>0</v>
      </c>
      <c r="AN7" s="73">
        <f>BI7+BS7+CC7+CM7+CW7+DH7</f>
        <v>0</v>
      </c>
      <c r="AO7" s="73">
        <f>BJ7+BT7+CD7+CN7+CX7+DI7</f>
        <v>0</v>
      </c>
      <c r="AP7" s="73">
        <f>IF(MAX(BK7,BU7,CE7,CO7,CY7,DJ7)&gt;1,MAX(BK7,BU7,CE7,CO7,CY7,DJ7),BK7+BU7+CE7+CO7+CY7+DJ7)</f>
        <v>0</v>
      </c>
      <c r="AQ7" s="73">
        <f t="shared" ref="AQ7:AQ31" si="13">IF(AND(C5="Ordnance battery",(OR(K5="Shooting (mixed)",L5="Shooting (mixed)",M5="Shooting (mixed)",N5="Shooting (mixed)"))),1,IF(MAX(BL7,BV7,CF7,CP7,CZ7,DK7)&gt;1,MAX(BL7,BV7,CF7,CP7,CZ7,DK7),BL7+BV7+CF7+CP7+CZ7+DK7))</f>
        <v>0</v>
      </c>
      <c r="AR7" s="73">
        <f t="shared" ref="AR7:AS22" si="14">BM7+BW7+CG7+CQ7+DA7+DL7</f>
        <v>0</v>
      </c>
      <c r="AS7" s="73">
        <f t="shared" si="14"/>
        <v>0</v>
      </c>
      <c r="BC7" s="56">
        <f t="shared" ref="BC7:BD37" si="15">IFERROR(VLOOKUP($O5,Relics,BC$2,FALSE),0)</f>
        <v>0</v>
      </c>
      <c r="BD7" s="56">
        <f t="shared" si="15"/>
        <v>0</v>
      </c>
      <c r="BG7" s="56">
        <f t="shared" ref="BG7:BO7" si="16">IFERROR(VLOOKUP($C5,stats,BG$2,FALSE),0)</f>
        <v>0</v>
      </c>
      <c r="BH7" s="56">
        <f t="shared" si="16"/>
        <v>0</v>
      </c>
      <c r="BI7" s="56">
        <f t="shared" si="16"/>
        <v>0</v>
      </c>
      <c r="BJ7" s="56">
        <f t="shared" si="16"/>
        <v>0</v>
      </c>
      <c r="BK7" s="56">
        <f t="shared" si="16"/>
        <v>0</v>
      </c>
      <c r="BL7" s="56">
        <f>IFERROR(VLOOKUP($C5,stats,BL$2,FALSE),0)</f>
        <v>0</v>
      </c>
      <c r="BM7" s="56">
        <f t="shared" si="16"/>
        <v>0</v>
      </c>
      <c r="BN7" s="56">
        <f t="shared" si="16"/>
        <v>0</v>
      </c>
      <c r="BO7" s="56">
        <f t="shared" si="16"/>
        <v>0</v>
      </c>
      <c r="BQ7" s="56">
        <f t="shared" ref="BQ7:BY7" si="17">IFERROR(VLOOKUP($K5,traits,BQ$2,FALSE),0)</f>
        <v>0</v>
      </c>
      <c r="BR7" s="56">
        <f t="shared" si="17"/>
        <v>0</v>
      </c>
      <c r="BS7" s="56">
        <f t="shared" si="17"/>
        <v>0</v>
      </c>
      <c r="BT7" s="56">
        <f t="shared" si="17"/>
        <v>0</v>
      </c>
      <c r="BU7" s="56">
        <f t="shared" si="17"/>
        <v>0</v>
      </c>
      <c r="BV7" s="56">
        <f t="shared" si="17"/>
        <v>0</v>
      </c>
      <c r="BW7" s="56">
        <f t="shared" si="17"/>
        <v>0</v>
      </c>
      <c r="BX7" s="56">
        <f t="shared" si="17"/>
        <v>0</v>
      </c>
      <c r="BY7" s="56">
        <f t="shared" si="17"/>
        <v>0</v>
      </c>
      <c r="CA7" s="56">
        <f t="shared" ref="CA7:CI7" si="18">IFERROR(VLOOKUP($L5,traits,CA$2,FALSE),0)</f>
        <v>0</v>
      </c>
      <c r="CB7" s="56">
        <f t="shared" si="18"/>
        <v>0</v>
      </c>
      <c r="CC7" s="56">
        <f t="shared" si="18"/>
        <v>0</v>
      </c>
      <c r="CD7" s="56">
        <f t="shared" si="18"/>
        <v>0</v>
      </c>
      <c r="CE7" s="56">
        <f t="shared" si="18"/>
        <v>0</v>
      </c>
      <c r="CF7" s="56">
        <f t="shared" si="18"/>
        <v>0</v>
      </c>
      <c r="CG7" s="56">
        <f t="shared" si="18"/>
        <v>0</v>
      </c>
      <c r="CH7" s="56">
        <f t="shared" si="18"/>
        <v>0</v>
      </c>
      <c r="CI7" s="56">
        <f t="shared" si="18"/>
        <v>0</v>
      </c>
      <c r="CK7" s="56">
        <f t="shared" ref="CK7:CS7" si="19">IFERROR(VLOOKUP($M5,traits,CK$2,FALSE),0)</f>
        <v>0</v>
      </c>
      <c r="CL7" s="56">
        <f t="shared" si="19"/>
        <v>0</v>
      </c>
      <c r="CM7" s="56">
        <f t="shared" si="19"/>
        <v>0</v>
      </c>
      <c r="CN7" s="56">
        <f t="shared" si="19"/>
        <v>0</v>
      </c>
      <c r="CO7" s="56">
        <f t="shared" si="19"/>
        <v>0</v>
      </c>
      <c r="CP7" s="56">
        <f t="shared" si="19"/>
        <v>0</v>
      </c>
      <c r="CQ7" s="56">
        <f t="shared" si="19"/>
        <v>0</v>
      </c>
      <c r="CR7" s="56">
        <f t="shared" si="19"/>
        <v>0</v>
      </c>
      <c r="CS7" s="56">
        <f t="shared" si="19"/>
        <v>0</v>
      </c>
      <c r="CU7" s="56">
        <f t="shared" ref="CU7:DC7" si="20">IFERROR(VLOOKUP($N5,traits,CU$2,FALSE),0)</f>
        <v>0</v>
      </c>
      <c r="CV7" s="56">
        <f t="shared" si="20"/>
        <v>0</v>
      </c>
      <c r="CW7" s="56">
        <f t="shared" si="20"/>
        <v>0</v>
      </c>
      <c r="CX7" s="56">
        <f t="shared" si="20"/>
        <v>0</v>
      </c>
      <c r="CY7" s="56">
        <f t="shared" si="20"/>
        <v>0</v>
      </c>
      <c r="CZ7" s="56">
        <f t="shared" si="20"/>
        <v>0</v>
      </c>
      <c r="DA7" s="56">
        <f t="shared" si="20"/>
        <v>0</v>
      </c>
      <c r="DB7" s="56">
        <f t="shared" si="20"/>
        <v>0</v>
      </c>
      <c r="DC7" s="56">
        <f t="shared" si="20"/>
        <v>0</v>
      </c>
      <c r="DF7" s="56">
        <f t="shared" ref="DF7:DN7" si="21">IFERROR(VLOOKUP($O5,Relics,DF$2,FALSE),0)</f>
        <v>0</v>
      </c>
      <c r="DG7" s="56">
        <f t="shared" si="21"/>
        <v>0</v>
      </c>
      <c r="DH7" s="56">
        <f t="shared" si="21"/>
        <v>0</v>
      </c>
      <c r="DI7" s="56">
        <f t="shared" si="21"/>
        <v>0</v>
      </c>
      <c r="DJ7" s="56">
        <f t="shared" si="21"/>
        <v>0</v>
      </c>
      <c r="DK7" s="56">
        <f t="shared" si="21"/>
        <v>0</v>
      </c>
      <c r="DL7" s="56">
        <f t="shared" si="21"/>
        <v>0</v>
      </c>
      <c r="DM7" s="56">
        <f t="shared" si="21"/>
        <v>0</v>
      </c>
      <c r="DN7" s="56">
        <f t="shared" si="21"/>
        <v>0</v>
      </c>
    </row>
    <row r="8" spans="1:118" x14ac:dyDescent="0.35">
      <c r="A8" s="83">
        <v>4</v>
      </c>
      <c r="B8" s="48"/>
      <c r="C8" s="49"/>
      <c r="D8" s="53">
        <f t="shared" si="3"/>
        <v>0</v>
      </c>
      <c r="E8" s="53">
        <f t="shared" si="4"/>
        <v>0</v>
      </c>
      <c r="F8" s="53">
        <f t="shared" si="5"/>
        <v>0</v>
      </c>
      <c r="G8" s="53">
        <f t="shared" si="6"/>
        <v>0</v>
      </c>
      <c r="H8" s="53">
        <f t="shared" si="7"/>
        <v>0</v>
      </c>
      <c r="I8" s="53">
        <f t="shared" si="8"/>
        <v>0</v>
      </c>
      <c r="J8" s="53">
        <f t="shared" si="9"/>
        <v>0</v>
      </c>
      <c r="K8" s="50"/>
      <c r="L8" s="50"/>
      <c r="M8" s="50"/>
      <c r="N8" s="50"/>
      <c r="O8" s="50"/>
      <c r="P8" s="54">
        <f t="shared" si="10"/>
        <v>0</v>
      </c>
      <c r="Q8" s="51"/>
      <c r="R8" s="54">
        <f t="shared" si="11"/>
        <v>0</v>
      </c>
      <c r="U8" s="56">
        <f>IF(C8=$U$2,0,IFERROR(VLOOKUP($C8,Stats!$B$4:$B$8,1,FALSE),"Company"))</f>
        <v>0</v>
      </c>
      <c r="V8" s="56">
        <f>IF(C8=$U$2,0,IFERROR(VLOOKUP(K8,Stats!$B$24:$B$27,1,FALSE),"Company"))</f>
        <v>0</v>
      </c>
      <c r="W8" s="56">
        <f>IF(D8=$U$2,0,IFERROR(VLOOKUP(L8,Stats!$B$24:$B$27,1,FALSE),"Company"))</f>
        <v>0</v>
      </c>
      <c r="X8" s="56">
        <f>IF(E8=$U$2,0,IFERROR(VLOOKUP(M8,Stats!$B$24:$B$27,1,FALSE),"Company"))</f>
        <v>0</v>
      </c>
      <c r="Y8" s="56">
        <f>IF(F8=$U$2,0,IFERROR(VLOOKUP(N8,Stats!$B$24:$B$27,1,FALSE),"Company"))</f>
        <v>0</v>
      </c>
      <c r="Z8" s="56">
        <f t="shared" si="12"/>
        <v>0</v>
      </c>
      <c r="AB8" s="71" t="s">
        <v>8</v>
      </c>
      <c r="AC8" s="56">
        <f>IFERROR(VLOOKUP($AB8,format!$C$5:$Q$30,1,FALSE),0)</f>
        <v>0</v>
      </c>
      <c r="AD8" s="56">
        <f>IFERROR(VLOOKUP($AB8,format!$C$5:$Q$30,15,FALSE),0)</f>
        <v>0</v>
      </c>
      <c r="AH8" s="56">
        <f t="shared" si="1"/>
        <v>0</v>
      </c>
      <c r="AI8" s="56">
        <f>COUNTIF(format!$C$5:$C$29,Builder!AB8)</f>
        <v>0</v>
      </c>
      <c r="AJ8" s="56">
        <f t="shared" si="2"/>
        <v>0</v>
      </c>
      <c r="AM8" s="73">
        <f t="shared" ref="AM8:AO31" si="22">BH8+BR8+CB8+CL8+CV8+DG8</f>
        <v>0</v>
      </c>
      <c r="AN8" s="73">
        <f t="shared" si="22"/>
        <v>0</v>
      </c>
      <c r="AO8" s="73">
        <f t="shared" si="22"/>
        <v>0</v>
      </c>
      <c r="AP8" s="73">
        <f t="shared" ref="AP8:AP31" si="23">IF(MAX(BK8,BU8,CE8,CO8,CY8,DJ8)&gt;1,MAX(BK8,BU8,CE8,CO8,CY8,DJ8),BK8+BU8+CE8+CO8+CY8+DJ8)</f>
        <v>0</v>
      </c>
      <c r="AQ8" s="73">
        <f t="shared" si="13"/>
        <v>0</v>
      </c>
      <c r="AR8" s="73">
        <f t="shared" si="14"/>
        <v>0</v>
      </c>
      <c r="AS8" s="73">
        <f t="shared" si="14"/>
        <v>0</v>
      </c>
      <c r="BC8" s="56">
        <f t="shared" si="15"/>
        <v>0</v>
      </c>
      <c r="BD8" s="56">
        <f t="shared" si="15"/>
        <v>0</v>
      </c>
      <c r="BG8" s="56">
        <f t="shared" ref="BG8:BO8" si="24">IFERROR(VLOOKUP($C6,stats,BG$2,FALSE),0)</f>
        <v>0</v>
      </c>
      <c r="BH8" s="56">
        <f t="shared" si="24"/>
        <v>0</v>
      </c>
      <c r="BI8" s="56">
        <f t="shared" si="24"/>
        <v>0</v>
      </c>
      <c r="BJ8" s="56">
        <f t="shared" si="24"/>
        <v>0</v>
      </c>
      <c r="BK8" s="56">
        <f t="shared" si="24"/>
        <v>0</v>
      </c>
      <c r="BL8" s="56">
        <f t="shared" si="24"/>
        <v>0</v>
      </c>
      <c r="BM8" s="56">
        <f t="shared" si="24"/>
        <v>0</v>
      </c>
      <c r="BN8" s="56">
        <f t="shared" si="24"/>
        <v>0</v>
      </c>
      <c r="BO8" s="56">
        <f t="shared" si="24"/>
        <v>0</v>
      </c>
      <c r="BQ8" s="56">
        <f t="shared" ref="BQ8:BY8" si="25">IFERROR(VLOOKUP($K6,traits,BQ$2,FALSE),0)</f>
        <v>0</v>
      </c>
      <c r="BR8" s="56">
        <f t="shared" si="25"/>
        <v>0</v>
      </c>
      <c r="BS8" s="56">
        <f t="shared" si="25"/>
        <v>0</v>
      </c>
      <c r="BT8" s="56">
        <f t="shared" si="25"/>
        <v>0</v>
      </c>
      <c r="BU8" s="56">
        <f t="shared" si="25"/>
        <v>0</v>
      </c>
      <c r="BV8" s="56">
        <f t="shared" si="25"/>
        <v>0</v>
      </c>
      <c r="BW8" s="56">
        <f t="shared" si="25"/>
        <v>0</v>
      </c>
      <c r="BX8" s="56">
        <f t="shared" si="25"/>
        <v>0</v>
      </c>
      <c r="BY8" s="56">
        <f t="shared" si="25"/>
        <v>0</v>
      </c>
      <c r="CA8" s="56">
        <f t="shared" ref="CA8:CI8" si="26">IFERROR(VLOOKUP($L6,traits,CA$2,FALSE),0)</f>
        <v>0</v>
      </c>
      <c r="CB8" s="56">
        <f t="shared" si="26"/>
        <v>0</v>
      </c>
      <c r="CC8" s="56">
        <f t="shared" si="26"/>
        <v>0</v>
      </c>
      <c r="CD8" s="56">
        <f t="shared" si="26"/>
        <v>0</v>
      </c>
      <c r="CE8" s="56">
        <f t="shared" si="26"/>
        <v>0</v>
      </c>
      <c r="CF8" s="56">
        <f t="shared" si="26"/>
        <v>0</v>
      </c>
      <c r="CG8" s="56">
        <f t="shared" si="26"/>
        <v>0</v>
      </c>
      <c r="CH8" s="56">
        <f t="shared" si="26"/>
        <v>0</v>
      </c>
      <c r="CI8" s="56">
        <f t="shared" si="26"/>
        <v>0</v>
      </c>
      <c r="CK8" s="56">
        <f t="shared" ref="CK8:CS8" si="27">IFERROR(VLOOKUP($M6,traits,CK$2,FALSE),0)</f>
        <v>0</v>
      </c>
      <c r="CL8" s="56">
        <f t="shared" si="27"/>
        <v>0</v>
      </c>
      <c r="CM8" s="56">
        <f t="shared" si="27"/>
        <v>0</v>
      </c>
      <c r="CN8" s="56">
        <f t="shared" si="27"/>
        <v>0</v>
      </c>
      <c r="CO8" s="56">
        <f t="shared" si="27"/>
        <v>0</v>
      </c>
      <c r="CP8" s="56">
        <f t="shared" si="27"/>
        <v>0</v>
      </c>
      <c r="CQ8" s="56">
        <f t="shared" si="27"/>
        <v>0</v>
      </c>
      <c r="CR8" s="56">
        <f t="shared" si="27"/>
        <v>0</v>
      </c>
      <c r="CS8" s="56">
        <f t="shared" si="27"/>
        <v>0</v>
      </c>
      <c r="CU8" s="56">
        <f t="shared" ref="CU8:DC8" si="28">IFERROR(VLOOKUP($N6,traits,CU$2,FALSE),0)</f>
        <v>0</v>
      </c>
      <c r="CV8" s="56">
        <f t="shared" si="28"/>
        <v>0</v>
      </c>
      <c r="CW8" s="56">
        <f t="shared" si="28"/>
        <v>0</v>
      </c>
      <c r="CX8" s="56">
        <f t="shared" si="28"/>
        <v>0</v>
      </c>
      <c r="CY8" s="56">
        <f t="shared" si="28"/>
        <v>0</v>
      </c>
      <c r="CZ8" s="56">
        <f t="shared" si="28"/>
        <v>0</v>
      </c>
      <c r="DA8" s="56">
        <f t="shared" si="28"/>
        <v>0</v>
      </c>
      <c r="DB8" s="56">
        <f t="shared" si="28"/>
        <v>0</v>
      </c>
      <c r="DC8" s="56">
        <f t="shared" si="28"/>
        <v>0</v>
      </c>
      <c r="DF8" s="56">
        <f t="shared" ref="DF8:DN8" si="29">IFERROR(VLOOKUP($O6,Relics,DF$2,FALSE),0)</f>
        <v>0</v>
      </c>
      <c r="DG8" s="56">
        <f t="shared" si="29"/>
        <v>0</v>
      </c>
      <c r="DH8" s="56">
        <f t="shared" si="29"/>
        <v>0</v>
      </c>
      <c r="DI8" s="56">
        <f t="shared" si="29"/>
        <v>0</v>
      </c>
      <c r="DJ8" s="56">
        <f t="shared" si="29"/>
        <v>0</v>
      </c>
      <c r="DK8" s="56">
        <f t="shared" si="29"/>
        <v>0</v>
      </c>
      <c r="DL8" s="56">
        <f t="shared" si="29"/>
        <v>0</v>
      </c>
      <c r="DM8" s="56">
        <f t="shared" si="29"/>
        <v>0</v>
      </c>
      <c r="DN8" s="56">
        <f t="shared" si="29"/>
        <v>0</v>
      </c>
    </row>
    <row r="9" spans="1:118" x14ac:dyDescent="0.35">
      <c r="A9" s="83">
        <v>5</v>
      </c>
      <c r="B9" s="48"/>
      <c r="C9" s="49"/>
      <c r="D9" s="53">
        <f t="shared" si="3"/>
        <v>0</v>
      </c>
      <c r="E9" s="53">
        <f t="shared" si="4"/>
        <v>0</v>
      </c>
      <c r="F9" s="53">
        <f t="shared" si="5"/>
        <v>0</v>
      </c>
      <c r="G9" s="53">
        <f t="shared" si="6"/>
        <v>0</v>
      </c>
      <c r="H9" s="53">
        <f t="shared" si="7"/>
        <v>0</v>
      </c>
      <c r="I9" s="53">
        <f t="shared" si="8"/>
        <v>0</v>
      </c>
      <c r="J9" s="53">
        <f t="shared" si="9"/>
        <v>0</v>
      </c>
      <c r="K9" s="50"/>
      <c r="L9" s="50"/>
      <c r="M9" s="50"/>
      <c r="N9" s="50"/>
      <c r="O9" s="50"/>
      <c r="P9" s="54">
        <f t="shared" si="10"/>
        <v>0</v>
      </c>
      <c r="Q9" s="51"/>
      <c r="R9" s="54">
        <f t="shared" si="11"/>
        <v>0</v>
      </c>
      <c r="U9" s="56">
        <f>IF(C9=$U$2,0,IFERROR(VLOOKUP($C9,Stats!$B$4:$B$8,1,FALSE),"Company"))</f>
        <v>0</v>
      </c>
      <c r="V9" s="56">
        <f>IF(C9=$U$2,0,IFERROR(VLOOKUP(K9,Stats!$B$24:$B$27,1,FALSE),"Company"))</f>
        <v>0</v>
      </c>
      <c r="W9" s="56">
        <f>IF(D9=$U$2,0,IFERROR(VLOOKUP(L9,Stats!$B$24:$B$27,1,FALSE),"Company"))</f>
        <v>0</v>
      </c>
      <c r="X9" s="56">
        <f>IF(E9=$U$2,0,IFERROR(VLOOKUP(M9,Stats!$B$24:$B$27,1,FALSE),"Company"))</f>
        <v>0</v>
      </c>
      <c r="Y9" s="56">
        <f>IF(F9=$U$2,0,IFERROR(VLOOKUP(N9,Stats!$B$24:$B$27,1,FALSE),"Company"))</f>
        <v>0</v>
      </c>
      <c r="Z9" s="56">
        <f t="shared" si="12"/>
        <v>0</v>
      </c>
      <c r="AB9" s="71" t="s">
        <v>113</v>
      </c>
      <c r="AC9" s="56">
        <f>IFERROR(VLOOKUP($AB9,format!$C$5:$Q$30,1,FALSE),0)</f>
        <v>0</v>
      </c>
      <c r="AD9" s="56">
        <f>IFERROR(VLOOKUP($AB9,format!$C$5:$Q$30,15,FALSE),0)</f>
        <v>0</v>
      </c>
      <c r="AE9" s="56">
        <f>IFERROR(VLOOKUP($AB9,format!$L$5:$Q$30,6,FALSE),0)</f>
        <v>0</v>
      </c>
      <c r="AF9" s="56">
        <f>IFERROR(VLOOKUP($AB9,format!$M$5:$Q$30,5,FALSE),0)</f>
        <v>0</v>
      </c>
      <c r="AG9" s="56">
        <f>IFERROR(VLOOKUP($AB9,format!$N$5:$Q$30,4,FALSE),0)</f>
        <v>0</v>
      </c>
      <c r="AH9" s="56">
        <f t="shared" si="1"/>
        <v>0</v>
      </c>
      <c r="AI9" s="56">
        <f>COUNTIF(format!$L$5:$N$30,Builder!AB9)</f>
        <v>0</v>
      </c>
      <c r="AJ9" s="56">
        <f t="shared" si="2"/>
        <v>0</v>
      </c>
      <c r="AM9" s="73">
        <f t="shared" si="22"/>
        <v>0</v>
      </c>
      <c r="AN9" s="73">
        <f t="shared" si="22"/>
        <v>0</v>
      </c>
      <c r="AO9" s="73">
        <f t="shared" si="22"/>
        <v>0</v>
      </c>
      <c r="AP9" s="73">
        <f t="shared" si="23"/>
        <v>0</v>
      </c>
      <c r="AQ9" s="73">
        <f t="shared" si="13"/>
        <v>0</v>
      </c>
      <c r="AR9" s="73">
        <f t="shared" si="14"/>
        <v>0</v>
      </c>
      <c r="AS9" s="73">
        <f t="shared" si="14"/>
        <v>0</v>
      </c>
      <c r="BC9" s="56">
        <f t="shared" si="15"/>
        <v>0</v>
      </c>
      <c r="BD9" s="56">
        <f t="shared" si="15"/>
        <v>0</v>
      </c>
      <c r="BG9" s="56">
        <f t="shared" ref="BG9:BO9" si="30">IFERROR(VLOOKUP($C7,stats,BG$2,FALSE),0)</f>
        <v>0</v>
      </c>
      <c r="BH9" s="56">
        <f t="shared" si="30"/>
        <v>0</v>
      </c>
      <c r="BI9" s="56">
        <f t="shared" si="30"/>
        <v>0</v>
      </c>
      <c r="BJ9" s="56">
        <f t="shared" si="30"/>
        <v>0</v>
      </c>
      <c r="BK9" s="56">
        <f t="shared" si="30"/>
        <v>0</v>
      </c>
      <c r="BL9" s="56">
        <f t="shared" si="30"/>
        <v>0</v>
      </c>
      <c r="BM9" s="56">
        <f t="shared" si="30"/>
        <v>0</v>
      </c>
      <c r="BN9" s="56">
        <f t="shared" si="30"/>
        <v>0</v>
      </c>
      <c r="BO9" s="56">
        <f t="shared" si="30"/>
        <v>0</v>
      </c>
      <c r="BQ9" s="56">
        <f t="shared" ref="BQ9:BY9" si="31">IFERROR(VLOOKUP($K7,traits,BQ$2,FALSE),0)</f>
        <v>0</v>
      </c>
      <c r="BR9" s="56">
        <f t="shared" si="31"/>
        <v>0</v>
      </c>
      <c r="BS9" s="56">
        <f t="shared" si="31"/>
        <v>0</v>
      </c>
      <c r="BT9" s="56">
        <f t="shared" si="31"/>
        <v>0</v>
      </c>
      <c r="BU9" s="56">
        <f t="shared" si="31"/>
        <v>0</v>
      </c>
      <c r="BV9" s="56">
        <f t="shared" si="31"/>
        <v>0</v>
      </c>
      <c r="BW9" s="56">
        <f t="shared" si="31"/>
        <v>0</v>
      </c>
      <c r="BX9" s="56">
        <f t="shared" si="31"/>
        <v>0</v>
      </c>
      <c r="BY9" s="56">
        <f t="shared" si="31"/>
        <v>0</v>
      </c>
      <c r="CA9" s="56">
        <f t="shared" ref="CA9:CI9" si="32">IFERROR(VLOOKUP($L7,traits,CA$2,FALSE),0)</f>
        <v>0</v>
      </c>
      <c r="CB9" s="56">
        <f t="shared" si="32"/>
        <v>0</v>
      </c>
      <c r="CC9" s="56">
        <f t="shared" si="32"/>
        <v>0</v>
      </c>
      <c r="CD9" s="56">
        <f t="shared" si="32"/>
        <v>0</v>
      </c>
      <c r="CE9" s="56">
        <f t="shared" si="32"/>
        <v>0</v>
      </c>
      <c r="CF9" s="56">
        <f t="shared" si="32"/>
        <v>0</v>
      </c>
      <c r="CG9" s="56">
        <f t="shared" si="32"/>
        <v>0</v>
      </c>
      <c r="CH9" s="56">
        <f t="shared" si="32"/>
        <v>0</v>
      </c>
      <c r="CI9" s="56">
        <f t="shared" si="32"/>
        <v>0</v>
      </c>
      <c r="CK9" s="56">
        <f t="shared" ref="CK9:CS9" si="33">IFERROR(VLOOKUP($M7,traits,CK$2,FALSE),0)</f>
        <v>0</v>
      </c>
      <c r="CL9" s="56">
        <f t="shared" si="33"/>
        <v>0</v>
      </c>
      <c r="CM9" s="56">
        <f t="shared" si="33"/>
        <v>0</v>
      </c>
      <c r="CN9" s="56">
        <f t="shared" si="33"/>
        <v>0</v>
      </c>
      <c r="CO9" s="56">
        <f t="shared" si="33"/>
        <v>0</v>
      </c>
      <c r="CP9" s="56">
        <f t="shared" si="33"/>
        <v>0</v>
      </c>
      <c r="CQ9" s="56">
        <f t="shared" si="33"/>
        <v>0</v>
      </c>
      <c r="CR9" s="56">
        <f t="shared" si="33"/>
        <v>0</v>
      </c>
      <c r="CS9" s="56">
        <f t="shared" si="33"/>
        <v>0</v>
      </c>
      <c r="CU9" s="56">
        <f t="shared" ref="CU9:DC9" si="34">IFERROR(VLOOKUP($N7,traits,CU$2,FALSE),0)</f>
        <v>0</v>
      </c>
      <c r="CV9" s="56">
        <f t="shared" si="34"/>
        <v>0</v>
      </c>
      <c r="CW9" s="56">
        <f t="shared" si="34"/>
        <v>0</v>
      </c>
      <c r="CX9" s="56">
        <f t="shared" si="34"/>
        <v>0</v>
      </c>
      <c r="CY9" s="56">
        <f t="shared" si="34"/>
        <v>0</v>
      </c>
      <c r="CZ9" s="56">
        <f t="shared" si="34"/>
        <v>0</v>
      </c>
      <c r="DA9" s="56">
        <f t="shared" si="34"/>
        <v>0</v>
      </c>
      <c r="DB9" s="56">
        <f t="shared" si="34"/>
        <v>0</v>
      </c>
      <c r="DC9" s="56">
        <f t="shared" si="34"/>
        <v>0</v>
      </c>
      <c r="DF9" s="56">
        <f t="shared" ref="DF9:DN9" si="35">IFERROR(VLOOKUP($O7,Relics,DF$2,FALSE),0)</f>
        <v>0</v>
      </c>
      <c r="DG9" s="56">
        <f t="shared" si="35"/>
        <v>0</v>
      </c>
      <c r="DH9" s="56">
        <f t="shared" si="35"/>
        <v>0</v>
      </c>
      <c r="DI9" s="56">
        <f t="shared" si="35"/>
        <v>0</v>
      </c>
      <c r="DJ9" s="56">
        <f t="shared" si="35"/>
        <v>0</v>
      </c>
      <c r="DK9" s="56">
        <f t="shared" si="35"/>
        <v>0</v>
      </c>
      <c r="DL9" s="56">
        <f t="shared" si="35"/>
        <v>0</v>
      </c>
      <c r="DM9" s="56">
        <f t="shared" si="35"/>
        <v>0</v>
      </c>
      <c r="DN9" s="56">
        <f t="shared" si="35"/>
        <v>0</v>
      </c>
    </row>
    <row r="10" spans="1:118" x14ac:dyDescent="0.35">
      <c r="A10" s="83">
        <v>6</v>
      </c>
      <c r="B10" s="48"/>
      <c r="C10" s="49"/>
      <c r="D10" s="53">
        <f t="shared" si="3"/>
        <v>0</v>
      </c>
      <c r="E10" s="53">
        <f t="shared" si="4"/>
        <v>0</v>
      </c>
      <c r="F10" s="53">
        <f t="shared" si="5"/>
        <v>0</v>
      </c>
      <c r="G10" s="53">
        <f t="shared" si="6"/>
        <v>0</v>
      </c>
      <c r="H10" s="53">
        <f t="shared" si="7"/>
        <v>0</v>
      </c>
      <c r="I10" s="53">
        <f t="shared" si="8"/>
        <v>0</v>
      </c>
      <c r="J10" s="53">
        <f t="shared" si="9"/>
        <v>0</v>
      </c>
      <c r="K10" s="50"/>
      <c r="L10" s="50"/>
      <c r="M10" s="50"/>
      <c r="N10" s="50"/>
      <c r="O10" s="50"/>
      <c r="P10" s="54">
        <f t="shared" si="10"/>
        <v>0</v>
      </c>
      <c r="Q10" s="51"/>
      <c r="R10" s="54">
        <f t="shared" si="11"/>
        <v>0</v>
      </c>
      <c r="U10" s="56">
        <f>IF(C10=$U$2,0,IFERROR(VLOOKUP($C10,Stats!$B$4:$B$8,1,FALSE),"Company"))</f>
        <v>0</v>
      </c>
      <c r="V10" s="56">
        <f>IF(C10=$U$2,0,IFERROR(VLOOKUP(K10,Stats!$B$24:$B$27,1,FALSE),"Company"))</f>
        <v>0</v>
      </c>
      <c r="W10" s="56">
        <f>IF(D10=$U$2,0,IFERROR(VLOOKUP(L10,Stats!$B$24:$B$27,1,FALSE),"Company"))</f>
        <v>0</v>
      </c>
      <c r="X10" s="56">
        <f>IF(E10=$U$2,0,IFERROR(VLOOKUP(M10,Stats!$B$24:$B$27,1,FALSE),"Company"))</f>
        <v>0</v>
      </c>
      <c r="Y10" s="56">
        <f>IF(F10=$U$2,0,IFERROR(VLOOKUP(N10,Stats!$B$24:$B$27,1,FALSE),"Company"))</f>
        <v>0</v>
      </c>
      <c r="Z10" s="56">
        <f t="shared" si="12"/>
        <v>0</v>
      </c>
      <c r="AB10" s="71" t="s">
        <v>152</v>
      </c>
      <c r="AC10" s="56">
        <f>IFERROR(VLOOKUP($AB10,format!$C$5:$Q$30,1,FALSE),0)</f>
        <v>0</v>
      </c>
      <c r="AD10" s="56">
        <f>IFERROR(VLOOKUP($AB10,format!$C$5:$Q$30,15,FALSE),0)</f>
        <v>0</v>
      </c>
      <c r="AE10" s="56">
        <f>IFERROR(VLOOKUP($AB10,format!$L$5:$Q$30,6,FALSE),0)</f>
        <v>0</v>
      </c>
      <c r="AF10" s="56">
        <f>IFERROR(VLOOKUP($AB10,format!$M$5:$Q$30,5,FALSE),0)</f>
        <v>0</v>
      </c>
      <c r="AG10" s="56">
        <f t="shared" ref="AG10:AG12" si="36">IFERROR(VLOOKUP($AB10,$N$5:$Q$29,4,FALSE),0)</f>
        <v>0</v>
      </c>
      <c r="AH10" s="56">
        <f t="shared" si="1"/>
        <v>0</v>
      </c>
      <c r="AI10" s="56">
        <f>COUNTIF(format!$L$5:$N$30,Builder!AB10)</f>
        <v>0</v>
      </c>
      <c r="AJ10" s="56">
        <f t="shared" si="2"/>
        <v>0</v>
      </c>
      <c r="AM10" s="73">
        <f t="shared" si="22"/>
        <v>0</v>
      </c>
      <c r="AN10" s="73">
        <f t="shared" si="22"/>
        <v>0</v>
      </c>
      <c r="AO10" s="73">
        <f t="shared" si="22"/>
        <v>0</v>
      </c>
      <c r="AP10" s="73">
        <f t="shared" si="23"/>
        <v>0</v>
      </c>
      <c r="AQ10" s="73">
        <f t="shared" si="13"/>
        <v>0</v>
      </c>
      <c r="AR10" s="73">
        <f t="shared" si="14"/>
        <v>0</v>
      </c>
      <c r="AS10" s="73">
        <f t="shared" si="14"/>
        <v>0</v>
      </c>
      <c r="BC10" s="56">
        <f t="shared" si="15"/>
        <v>0</v>
      </c>
      <c r="BD10" s="56">
        <f t="shared" si="15"/>
        <v>0</v>
      </c>
      <c r="BG10" s="56">
        <f t="shared" ref="BG10:BO10" si="37">IFERROR(VLOOKUP($C8,stats,BG$2,FALSE),0)</f>
        <v>0</v>
      </c>
      <c r="BH10" s="56">
        <f t="shared" si="37"/>
        <v>0</v>
      </c>
      <c r="BI10" s="56">
        <f t="shared" si="37"/>
        <v>0</v>
      </c>
      <c r="BJ10" s="56">
        <f t="shared" si="37"/>
        <v>0</v>
      </c>
      <c r="BK10" s="56">
        <f t="shared" si="37"/>
        <v>0</v>
      </c>
      <c r="BL10" s="56">
        <f t="shared" si="37"/>
        <v>0</v>
      </c>
      <c r="BM10" s="56">
        <f t="shared" si="37"/>
        <v>0</v>
      </c>
      <c r="BN10" s="56">
        <f t="shared" si="37"/>
        <v>0</v>
      </c>
      <c r="BO10" s="56">
        <f t="shared" si="37"/>
        <v>0</v>
      </c>
      <c r="BQ10" s="56">
        <f t="shared" ref="BQ10:BY10" si="38">IFERROR(VLOOKUP($K8,traits,BQ$2,FALSE),0)</f>
        <v>0</v>
      </c>
      <c r="BR10" s="56">
        <f t="shared" si="38"/>
        <v>0</v>
      </c>
      <c r="BS10" s="56">
        <f t="shared" si="38"/>
        <v>0</v>
      </c>
      <c r="BT10" s="56">
        <f t="shared" si="38"/>
        <v>0</v>
      </c>
      <c r="BU10" s="56">
        <f t="shared" si="38"/>
        <v>0</v>
      </c>
      <c r="BV10" s="56">
        <f t="shared" si="38"/>
        <v>0</v>
      </c>
      <c r="BW10" s="56">
        <f t="shared" si="38"/>
        <v>0</v>
      </c>
      <c r="BX10" s="56">
        <f t="shared" si="38"/>
        <v>0</v>
      </c>
      <c r="BY10" s="56">
        <f t="shared" si="38"/>
        <v>0</v>
      </c>
      <c r="CA10" s="56">
        <f t="shared" ref="CA10:CI10" si="39">IFERROR(VLOOKUP($L8,traits,CA$2,FALSE),0)</f>
        <v>0</v>
      </c>
      <c r="CB10" s="56">
        <f t="shared" si="39"/>
        <v>0</v>
      </c>
      <c r="CC10" s="56">
        <f t="shared" si="39"/>
        <v>0</v>
      </c>
      <c r="CD10" s="56">
        <f t="shared" si="39"/>
        <v>0</v>
      </c>
      <c r="CE10" s="56">
        <f t="shared" si="39"/>
        <v>0</v>
      </c>
      <c r="CF10" s="56">
        <f t="shared" si="39"/>
        <v>0</v>
      </c>
      <c r="CG10" s="56">
        <f t="shared" si="39"/>
        <v>0</v>
      </c>
      <c r="CH10" s="56">
        <f t="shared" si="39"/>
        <v>0</v>
      </c>
      <c r="CI10" s="56">
        <f t="shared" si="39"/>
        <v>0</v>
      </c>
      <c r="CK10" s="56">
        <f t="shared" ref="CK10:CS10" si="40">IFERROR(VLOOKUP($M8,traits,CK$2,FALSE),0)</f>
        <v>0</v>
      </c>
      <c r="CL10" s="56">
        <f t="shared" si="40"/>
        <v>0</v>
      </c>
      <c r="CM10" s="56">
        <f t="shared" si="40"/>
        <v>0</v>
      </c>
      <c r="CN10" s="56">
        <f t="shared" si="40"/>
        <v>0</v>
      </c>
      <c r="CO10" s="56">
        <f t="shared" si="40"/>
        <v>0</v>
      </c>
      <c r="CP10" s="56">
        <f t="shared" si="40"/>
        <v>0</v>
      </c>
      <c r="CQ10" s="56">
        <f t="shared" si="40"/>
        <v>0</v>
      </c>
      <c r="CR10" s="56">
        <f t="shared" si="40"/>
        <v>0</v>
      </c>
      <c r="CS10" s="56">
        <f t="shared" si="40"/>
        <v>0</v>
      </c>
      <c r="CU10" s="56">
        <f t="shared" ref="CU10:DC10" si="41">IFERROR(VLOOKUP($N8,traits,CU$2,FALSE),0)</f>
        <v>0</v>
      </c>
      <c r="CV10" s="56">
        <f t="shared" si="41"/>
        <v>0</v>
      </c>
      <c r="CW10" s="56">
        <f t="shared" si="41"/>
        <v>0</v>
      </c>
      <c r="CX10" s="56">
        <f t="shared" si="41"/>
        <v>0</v>
      </c>
      <c r="CY10" s="56">
        <f t="shared" si="41"/>
        <v>0</v>
      </c>
      <c r="CZ10" s="56">
        <f t="shared" si="41"/>
        <v>0</v>
      </c>
      <c r="DA10" s="56">
        <f t="shared" si="41"/>
        <v>0</v>
      </c>
      <c r="DB10" s="56">
        <f t="shared" si="41"/>
        <v>0</v>
      </c>
      <c r="DC10" s="56">
        <f t="shared" si="41"/>
        <v>0</v>
      </c>
      <c r="DF10" s="56">
        <f t="shared" ref="DF10:DN10" si="42">IFERROR(VLOOKUP($O8,Relics,DF$2,FALSE),0)</f>
        <v>0</v>
      </c>
      <c r="DG10" s="56">
        <f t="shared" si="42"/>
        <v>0</v>
      </c>
      <c r="DH10" s="56">
        <f t="shared" si="42"/>
        <v>0</v>
      </c>
      <c r="DI10" s="56">
        <f t="shared" si="42"/>
        <v>0</v>
      </c>
      <c r="DJ10" s="56">
        <f t="shared" si="42"/>
        <v>0</v>
      </c>
      <c r="DK10" s="56">
        <f t="shared" si="42"/>
        <v>0</v>
      </c>
      <c r="DL10" s="56">
        <f t="shared" si="42"/>
        <v>0</v>
      </c>
      <c r="DM10" s="56">
        <f t="shared" si="42"/>
        <v>0</v>
      </c>
      <c r="DN10" s="56">
        <f t="shared" si="42"/>
        <v>0</v>
      </c>
    </row>
    <row r="11" spans="1:118" x14ac:dyDescent="0.35">
      <c r="A11" s="83">
        <v>7</v>
      </c>
      <c r="B11" s="48"/>
      <c r="C11" s="49"/>
      <c r="D11" s="53">
        <f t="shared" si="3"/>
        <v>0</v>
      </c>
      <c r="E11" s="53">
        <f t="shared" si="4"/>
        <v>0</v>
      </c>
      <c r="F11" s="53">
        <f t="shared" si="5"/>
        <v>0</v>
      </c>
      <c r="G11" s="53">
        <f t="shared" si="6"/>
        <v>0</v>
      </c>
      <c r="H11" s="53">
        <f t="shared" si="7"/>
        <v>0</v>
      </c>
      <c r="I11" s="53">
        <f t="shared" si="8"/>
        <v>0</v>
      </c>
      <c r="J11" s="53">
        <f t="shared" si="9"/>
        <v>0</v>
      </c>
      <c r="K11" s="50"/>
      <c r="L11" s="50"/>
      <c r="M11" s="50"/>
      <c r="N11" s="50"/>
      <c r="O11" s="50"/>
      <c r="P11" s="54">
        <f t="shared" si="10"/>
        <v>0</v>
      </c>
      <c r="Q11" s="51"/>
      <c r="R11" s="54">
        <f t="shared" si="11"/>
        <v>0</v>
      </c>
      <c r="U11" s="56">
        <f>IF(C11=$U$2,0,IFERROR(VLOOKUP($C11,Stats!$B$4:$B$8,1,FALSE),"Company"))</f>
        <v>0</v>
      </c>
      <c r="V11" s="56">
        <f>IF(C11=$U$2,0,IFERROR(VLOOKUP(K11,Stats!$B$24:$B$27,1,FALSE),"Company"))</f>
        <v>0</v>
      </c>
      <c r="W11" s="56">
        <f>IF(D11=$U$2,0,IFERROR(VLOOKUP(L11,Stats!$B$24:$B$27,1,FALSE),"Company"))</f>
        <v>0</v>
      </c>
      <c r="X11" s="56">
        <f>IF(E11=$U$2,0,IFERROR(VLOOKUP(M11,Stats!$B$24:$B$27,1,FALSE),"Company"))</f>
        <v>0</v>
      </c>
      <c r="Y11" s="56">
        <f>IF(F11=$U$2,0,IFERROR(VLOOKUP(N11,Stats!$B$24:$B$27,1,FALSE),"Company"))</f>
        <v>0</v>
      </c>
      <c r="Z11" s="56">
        <f t="shared" si="12"/>
        <v>0</v>
      </c>
      <c r="AB11" s="71" t="s">
        <v>139</v>
      </c>
      <c r="AC11" s="56">
        <f>IFERROR(VLOOKUP($AB11,format!$C$5:$Q$30,1,FALSE),0)</f>
        <v>0</v>
      </c>
      <c r="AD11" s="56">
        <f>IFERROR(VLOOKUP($AB11,format!$C$5:$Q$30,15,FALSE),0)</f>
        <v>0</v>
      </c>
      <c r="AE11" s="56">
        <f>IFERROR(VLOOKUP($AB11,format!$L$5:$Q$30,6,FALSE),0)</f>
        <v>0</v>
      </c>
      <c r="AF11" s="56">
        <f>IFERROR(VLOOKUP($AB11,format!$M$5:$Q$30,5,FALSE),0)</f>
        <v>0</v>
      </c>
      <c r="AG11" s="56">
        <f t="shared" si="36"/>
        <v>0</v>
      </c>
      <c r="AH11" s="56">
        <f t="shared" si="1"/>
        <v>0</v>
      </c>
      <c r="AI11" s="56">
        <f>COUNTIF(format!$L$5:$N$30,Builder!AB11)</f>
        <v>0</v>
      </c>
      <c r="AJ11" s="56">
        <f t="shared" si="2"/>
        <v>0</v>
      </c>
      <c r="AM11" s="73">
        <f t="shared" si="22"/>
        <v>0</v>
      </c>
      <c r="AN11" s="73">
        <f t="shared" si="22"/>
        <v>0</v>
      </c>
      <c r="AO11" s="73">
        <f t="shared" si="22"/>
        <v>0</v>
      </c>
      <c r="AP11" s="73">
        <f t="shared" si="23"/>
        <v>0</v>
      </c>
      <c r="AQ11" s="73">
        <f t="shared" si="13"/>
        <v>0</v>
      </c>
      <c r="AR11" s="73">
        <f t="shared" si="14"/>
        <v>0</v>
      </c>
      <c r="AS11" s="73">
        <f t="shared" si="14"/>
        <v>0</v>
      </c>
      <c r="BC11" s="56">
        <f t="shared" si="15"/>
        <v>0</v>
      </c>
      <c r="BD11" s="56">
        <f t="shared" si="15"/>
        <v>0</v>
      </c>
      <c r="BG11" s="56">
        <f t="shared" ref="BG11:BO11" si="43">IFERROR(VLOOKUP($C9,stats,BG$2,FALSE),0)</f>
        <v>0</v>
      </c>
      <c r="BH11" s="56">
        <f t="shared" si="43"/>
        <v>0</v>
      </c>
      <c r="BI11" s="56">
        <f t="shared" si="43"/>
        <v>0</v>
      </c>
      <c r="BJ11" s="56">
        <f t="shared" si="43"/>
        <v>0</v>
      </c>
      <c r="BK11" s="56">
        <f t="shared" si="43"/>
        <v>0</v>
      </c>
      <c r="BL11" s="56">
        <f t="shared" si="43"/>
        <v>0</v>
      </c>
      <c r="BM11" s="56">
        <f t="shared" si="43"/>
        <v>0</v>
      </c>
      <c r="BN11" s="56">
        <f t="shared" si="43"/>
        <v>0</v>
      </c>
      <c r="BO11" s="56">
        <f t="shared" si="43"/>
        <v>0</v>
      </c>
      <c r="BQ11" s="56">
        <f t="shared" ref="BQ11:BY11" si="44">IFERROR(VLOOKUP($K9,traits,BQ$2,FALSE),0)</f>
        <v>0</v>
      </c>
      <c r="BR11" s="56">
        <f t="shared" si="44"/>
        <v>0</v>
      </c>
      <c r="BS11" s="56">
        <f t="shared" si="44"/>
        <v>0</v>
      </c>
      <c r="BT11" s="56">
        <f t="shared" si="44"/>
        <v>0</v>
      </c>
      <c r="BU11" s="56">
        <f t="shared" si="44"/>
        <v>0</v>
      </c>
      <c r="BV11" s="56">
        <f t="shared" si="44"/>
        <v>0</v>
      </c>
      <c r="BW11" s="56">
        <f t="shared" si="44"/>
        <v>0</v>
      </c>
      <c r="BX11" s="56">
        <f t="shared" si="44"/>
        <v>0</v>
      </c>
      <c r="BY11" s="56">
        <f t="shared" si="44"/>
        <v>0</v>
      </c>
      <c r="CA11" s="56">
        <f t="shared" ref="CA11:CI11" si="45">IFERROR(VLOOKUP($L9,traits,CA$2,FALSE),0)</f>
        <v>0</v>
      </c>
      <c r="CB11" s="56">
        <f t="shared" si="45"/>
        <v>0</v>
      </c>
      <c r="CC11" s="56">
        <f t="shared" si="45"/>
        <v>0</v>
      </c>
      <c r="CD11" s="56">
        <f t="shared" si="45"/>
        <v>0</v>
      </c>
      <c r="CE11" s="56">
        <f t="shared" si="45"/>
        <v>0</v>
      </c>
      <c r="CF11" s="56">
        <f t="shared" si="45"/>
        <v>0</v>
      </c>
      <c r="CG11" s="56">
        <f t="shared" si="45"/>
        <v>0</v>
      </c>
      <c r="CH11" s="56">
        <f t="shared" si="45"/>
        <v>0</v>
      </c>
      <c r="CI11" s="56">
        <f t="shared" si="45"/>
        <v>0</v>
      </c>
      <c r="CK11" s="56">
        <f t="shared" ref="CK11:CS11" si="46">IFERROR(VLOOKUP($M9,traits,CK$2,FALSE),0)</f>
        <v>0</v>
      </c>
      <c r="CL11" s="56">
        <f t="shared" si="46"/>
        <v>0</v>
      </c>
      <c r="CM11" s="56">
        <f t="shared" si="46"/>
        <v>0</v>
      </c>
      <c r="CN11" s="56">
        <f t="shared" si="46"/>
        <v>0</v>
      </c>
      <c r="CO11" s="56">
        <f t="shared" si="46"/>
        <v>0</v>
      </c>
      <c r="CP11" s="56">
        <f t="shared" si="46"/>
        <v>0</v>
      </c>
      <c r="CQ11" s="56">
        <f t="shared" si="46"/>
        <v>0</v>
      </c>
      <c r="CR11" s="56">
        <f t="shared" si="46"/>
        <v>0</v>
      </c>
      <c r="CS11" s="56">
        <f t="shared" si="46"/>
        <v>0</v>
      </c>
      <c r="CU11" s="56">
        <f t="shared" ref="CU11:DC11" si="47">IFERROR(VLOOKUP($N9,traits,CU$2,FALSE),0)</f>
        <v>0</v>
      </c>
      <c r="CV11" s="56">
        <f t="shared" si="47"/>
        <v>0</v>
      </c>
      <c r="CW11" s="56">
        <f t="shared" si="47"/>
        <v>0</v>
      </c>
      <c r="CX11" s="56">
        <f t="shared" si="47"/>
        <v>0</v>
      </c>
      <c r="CY11" s="56">
        <f t="shared" si="47"/>
        <v>0</v>
      </c>
      <c r="CZ11" s="56">
        <f t="shared" si="47"/>
        <v>0</v>
      </c>
      <c r="DA11" s="56">
        <f t="shared" si="47"/>
        <v>0</v>
      </c>
      <c r="DB11" s="56">
        <f t="shared" si="47"/>
        <v>0</v>
      </c>
      <c r="DC11" s="56">
        <f t="shared" si="47"/>
        <v>0</v>
      </c>
      <c r="DF11" s="56">
        <f t="shared" ref="DF11:DN11" si="48">IFERROR(VLOOKUP($O9,Relics,DF$2,FALSE),0)</f>
        <v>0</v>
      </c>
      <c r="DG11" s="56">
        <f t="shared" si="48"/>
        <v>0</v>
      </c>
      <c r="DH11" s="56">
        <f t="shared" si="48"/>
        <v>0</v>
      </c>
      <c r="DI11" s="56">
        <f t="shared" si="48"/>
        <v>0</v>
      </c>
      <c r="DJ11" s="56">
        <f t="shared" si="48"/>
        <v>0</v>
      </c>
      <c r="DK11" s="56">
        <f t="shared" si="48"/>
        <v>0</v>
      </c>
      <c r="DL11" s="56">
        <f t="shared" si="48"/>
        <v>0</v>
      </c>
      <c r="DM11" s="56">
        <f t="shared" si="48"/>
        <v>0</v>
      </c>
      <c r="DN11" s="56">
        <f t="shared" si="48"/>
        <v>0</v>
      </c>
    </row>
    <row r="12" spans="1:118" x14ac:dyDescent="0.35">
      <c r="A12" s="83">
        <v>8</v>
      </c>
      <c r="B12" s="48"/>
      <c r="C12" s="49"/>
      <c r="D12" s="53">
        <f t="shared" si="3"/>
        <v>0</v>
      </c>
      <c r="E12" s="53">
        <f t="shared" si="4"/>
        <v>0</v>
      </c>
      <c r="F12" s="53">
        <f t="shared" si="5"/>
        <v>0</v>
      </c>
      <c r="G12" s="53">
        <f t="shared" si="6"/>
        <v>0</v>
      </c>
      <c r="H12" s="53">
        <f t="shared" si="7"/>
        <v>0</v>
      </c>
      <c r="I12" s="53">
        <f t="shared" si="8"/>
        <v>0</v>
      </c>
      <c r="J12" s="53">
        <f t="shared" si="9"/>
        <v>0</v>
      </c>
      <c r="K12" s="50"/>
      <c r="L12" s="50"/>
      <c r="M12" s="50"/>
      <c r="N12" s="50"/>
      <c r="O12" s="50"/>
      <c r="P12" s="54">
        <f t="shared" si="10"/>
        <v>0</v>
      </c>
      <c r="Q12" s="51"/>
      <c r="R12" s="54">
        <f t="shared" si="11"/>
        <v>0</v>
      </c>
      <c r="U12" s="56">
        <f>IF(C12=$U$2,0,IFERROR(VLOOKUP($C12,Stats!$B$4:$B$8,1,FALSE),"Company"))</f>
        <v>0</v>
      </c>
      <c r="V12" s="56">
        <f>IF(C12=$U$2,0,IFERROR(VLOOKUP(K12,Stats!$B$24:$B$27,1,FALSE),"Company"))</f>
        <v>0</v>
      </c>
      <c r="W12" s="56">
        <f>IF(D12=$U$2,0,IFERROR(VLOOKUP(L12,Stats!$B$24:$B$27,1,FALSE),"Company"))</f>
        <v>0</v>
      </c>
      <c r="X12" s="56">
        <f>IF(E12=$U$2,0,IFERROR(VLOOKUP(M12,Stats!$B$24:$B$27,1,FALSE),"Company"))</f>
        <v>0</v>
      </c>
      <c r="Y12" s="56">
        <f>IF(F12=$U$2,0,IFERROR(VLOOKUP(N12,Stats!$B$24:$B$27,1,FALSE),"Company"))</f>
        <v>0</v>
      </c>
      <c r="Z12" s="56">
        <f t="shared" si="12"/>
        <v>0</v>
      </c>
      <c r="AB12" s="71" t="s">
        <v>151</v>
      </c>
      <c r="AC12" s="56">
        <f>IFERROR(VLOOKUP($AB12,format!$C$5:$Q$30,1,FALSE),0)</f>
        <v>0</v>
      </c>
      <c r="AD12" s="56">
        <f>IFERROR(VLOOKUP($AB12,format!$C$5:$Q$30,15,FALSE),0)</f>
        <v>0</v>
      </c>
      <c r="AE12" s="56">
        <f>IFERROR(VLOOKUP($AB12,format!$L$5:$Q$30,6,FALSE),0)</f>
        <v>0</v>
      </c>
      <c r="AF12" s="56">
        <f>IFERROR(VLOOKUP($AB12,format!$M$5:$Q$30,5,FALSE),0)</f>
        <v>0</v>
      </c>
      <c r="AG12" s="56">
        <f t="shared" si="36"/>
        <v>0</v>
      </c>
      <c r="AH12" s="56">
        <f t="shared" si="1"/>
        <v>0</v>
      </c>
      <c r="AI12" s="56">
        <f>COUNTIF(format!$L$5:$N$30,Builder!AB12)</f>
        <v>0</v>
      </c>
      <c r="AJ12" s="56">
        <f t="shared" si="2"/>
        <v>0</v>
      </c>
      <c r="AM12" s="73">
        <f t="shared" si="22"/>
        <v>0</v>
      </c>
      <c r="AN12" s="73">
        <f t="shared" si="22"/>
        <v>0</v>
      </c>
      <c r="AO12" s="73">
        <f t="shared" si="22"/>
        <v>0</v>
      </c>
      <c r="AP12" s="73">
        <f t="shared" si="23"/>
        <v>0</v>
      </c>
      <c r="AQ12" s="73">
        <f t="shared" si="13"/>
        <v>0</v>
      </c>
      <c r="AR12" s="73">
        <f t="shared" si="14"/>
        <v>0</v>
      </c>
      <c r="AS12" s="73">
        <f t="shared" si="14"/>
        <v>0</v>
      </c>
      <c r="BC12" s="56">
        <f t="shared" si="15"/>
        <v>0</v>
      </c>
      <c r="BD12" s="56">
        <f t="shared" si="15"/>
        <v>0</v>
      </c>
      <c r="BG12" s="56">
        <f t="shared" ref="BG12:BO12" si="49">IFERROR(VLOOKUP($C10,stats,BG$2,FALSE),0)</f>
        <v>0</v>
      </c>
      <c r="BH12" s="56">
        <f t="shared" si="49"/>
        <v>0</v>
      </c>
      <c r="BI12" s="56">
        <f t="shared" si="49"/>
        <v>0</v>
      </c>
      <c r="BJ12" s="56">
        <f t="shared" si="49"/>
        <v>0</v>
      </c>
      <c r="BK12" s="56">
        <f t="shared" si="49"/>
        <v>0</v>
      </c>
      <c r="BL12" s="56">
        <f t="shared" si="49"/>
        <v>0</v>
      </c>
      <c r="BM12" s="56">
        <f t="shared" si="49"/>
        <v>0</v>
      </c>
      <c r="BN12" s="56">
        <f t="shared" si="49"/>
        <v>0</v>
      </c>
      <c r="BO12" s="56">
        <f t="shared" si="49"/>
        <v>0</v>
      </c>
      <c r="BQ12" s="56">
        <f t="shared" ref="BQ12:BY12" si="50">IFERROR(VLOOKUP($K10,traits,BQ$2,FALSE),0)</f>
        <v>0</v>
      </c>
      <c r="BR12" s="56">
        <f t="shared" si="50"/>
        <v>0</v>
      </c>
      <c r="BS12" s="56">
        <f t="shared" si="50"/>
        <v>0</v>
      </c>
      <c r="BT12" s="56">
        <f t="shared" si="50"/>
        <v>0</v>
      </c>
      <c r="BU12" s="56">
        <f t="shared" si="50"/>
        <v>0</v>
      </c>
      <c r="BV12" s="56">
        <f t="shared" si="50"/>
        <v>0</v>
      </c>
      <c r="BW12" s="56">
        <f t="shared" si="50"/>
        <v>0</v>
      </c>
      <c r="BX12" s="56">
        <f t="shared" si="50"/>
        <v>0</v>
      </c>
      <c r="BY12" s="56">
        <f t="shared" si="50"/>
        <v>0</v>
      </c>
      <c r="CA12" s="56">
        <f t="shared" ref="CA12:CI12" si="51">IFERROR(VLOOKUP($L10,traits,CA$2,FALSE),0)</f>
        <v>0</v>
      </c>
      <c r="CB12" s="56">
        <f t="shared" si="51"/>
        <v>0</v>
      </c>
      <c r="CC12" s="56">
        <f t="shared" si="51"/>
        <v>0</v>
      </c>
      <c r="CD12" s="56">
        <f t="shared" si="51"/>
        <v>0</v>
      </c>
      <c r="CE12" s="56">
        <f t="shared" si="51"/>
        <v>0</v>
      </c>
      <c r="CF12" s="56">
        <f t="shared" si="51"/>
        <v>0</v>
      </c>
      <c r="CG12" s="56">
        <f t="shared" si="51"/>
        <v>0</v>
      </c>
      <c r="CH12" s="56">
        <f t="shared" si="51"/>
        <v>0</v>
      </c>
      <c r="CI12" s="56">
        <f t="shared" si="51"/>
        <v>0</v>
      </c>
      <c r="CK12" s="56">
        <f t="shared" ref="CK12:CS12" si="52">IFERROR(VLOOKUP($M10,traits,CK$2,FALSE),0)</f>
        <v>0</v>
      </c>
      <c r="CL12" s="56">
        <f t="shared" si="52"/>
        <v>0</v>
      </c>
      <c r="CM12" s="56">
        <f t="shared" si="52"/>
        <v>0</v>
      </c>
      <c r="CN12" s="56">
        <f t="shared" si="52"/>
        <v>0</v>
      </c>
      <c r="CO12" s="56">
        <f t="shared" si="52"/>
        <v>0</v>
      </c>
      <c r="CP12" s="56">
        <f t="shared" si="52"/>
        <v>0</v>
      </c>
      <c r="CQ12" s="56">
        <f t="shared" si="52"/>
        <v>0</v>
      </c>
      <c r="CR12" s="56">
        <f t="shared" si="52"/>
        <v>0</v>
      </c>
      <c r="CS12" s="56">
        <f t="shared" si="52"/>
        <v>0</v>
      </c>
      <c r="CU12" s="56">
        <f t="shared" ref="CU12:DC12" si="53">IFERROR(VLOOKUP($N10,traits,CU$2,FALSE),0)</f>
        <v>0</v>
      </c>
      <c r="CV12" s="56">
        <f t="shared" si="53"/>
        <v>0</v>
      </c>
      <c r="CW12" s="56">
        <f t="shared" si="53"/>
        <v>0</v>
      </c>
      <c r="CX12" s="56">
        <f t="shared" si="53"/>
        <v>0</v>
      </c>
      <c r="CY12" s="56">
        <f t="shared" si="53"/>
        <v>0</v>
      </c>
      <c r="CZ12" s="56">
        <f t="shared" si="53"/>
        <v>0</v>
      </c>
      <c r="DA12" s="56">
        <f t="shared" si="53"/>
        <v>0</v>
      </c>
      <c r="DB12" s="56">
        <f t="shared" si="53"/>
        <v>0</v>
      </c>
      <c r="DC12" s="56">
        <f t="shared" si="53"/>
        <v>0</v>
      </c>
      <c r="DF12" s="56">
        <f t="shared" ref="DF12:DN12" si="54">IFERROR(VLOOKUP($O10,Relics,DF$2,FALSE),0)</f>
        <v>0</v>
      </c>
      <c r="DG12" s="56">
        <f t="shared" si="54"/>
        <v>0</v>
      </c>
      <c r="DH12" s="56">
        <f t="shared" si="54"/>
        <v>0</v>
      </c>
      <c r="DI12" s="56">
        <f t="shared" si="54"/>
        <v>0</v>
      </c>
      <c r="DJ12" s="56">
        <f t="shared" si="54"/>
        <v>0</v>
      </c>
      <c r="DK12" s="56">
        <f t="shared" si="54"/>
        <v>0</v>
      </c>
      <c r="DL12" s="56">
        <f t="shared" si="54"/>
        <v>0</v>
      </c>
      <c r="DM12" s="56">
        <f t="shared" si="54"/>
        <v>0</v>
      </c>
      <c r="DN12" s="56">
        <f t="shared" si="54"/>
        <v>0</v>
      </c>
    </row>
    <row r="13" spans="1:118" x14ac:dyDescent="0.35">
      <c r="A13" s="83">
        <v>9</v>
      </c>
      <c r="B13" s="48"/>
      <c r="C13" s="49"/>
      <c r="D13" s="53">
        <f t="shared" si="3"/>
        <v>0</v>
      </c>
      <c r="E13" s="53">
        <f t="shared" si="4"/>
        <v>0</v>
      </c>
      <c r="F13" s="53">
        <f t="shared" si="5"/>
        <v>0</v>
      </c>
      <c r="G13" s="53">
        <f t="shared" si="6"/>
        <v>0</v>
      </c>
      <c r="H13" s="53">
        <f t="shared" si="7"/>
        <v>0</v>
      </c>
      <c r="I13" s="53">
        <f t="shared" si="8"/>
        <v>0</v>
      </c>
      <c r="J13" s="53">
        <f t="shared" si="9"/>
        <v>0</v>
      </c>
      <c r="K13" s="50"/>
      <c r="L13" s="50"/>
      <c r="M13" s="50"/>
      <c r="N13" s="50"/>
      <c r="O13" s="50"/>
      <c r="P13" s="54">
        <f t="shared" si="10"/>
        <v>0</v>
      </c>
      <c r="Q13" s="51"/>
      <c r="R13" s="54">
        <f t="shared" si="11"/>
        <v>0</v>
      </c>
      <c r="U13" s="56">
        <f>IF(C13=$U$2,0,IFERROR(VLOOKUP($C13,Stats!$B$4:$B$8,1,FALSE),"Company"))</f>
        <v>0</v>
      </c>
      <c r="V13" s="56">
        <f>IF(C13=$U$2,0,IFERROR(VLOOKUP(K13,Stats!$B$24:$B$27,1,FALSE),"Company"))</f>
        <v>0</v>
      </c>
      <c r="W13" s="56">
        <f>IF(D13=$U$2,0,IFERROR(VLOOKUP(L13,Stats!$B$24:$B$27,1,FALSE),"Company"))</f>
        <v>0</v>
      </c>
      <c r="X13" s="56">
        <f>IF(E13=$U$2,0,IFERROR(VLOOKUP(M13,Stats!$B$24:$B$27,1,FALSE),"Company"))</f>
        <v>0</v>
      </c>
      <c r="Y13" s="56">
        <f>IF(F13=$U$2,0,IFERROR(VLOOKUP(N13,Stats!$B$24:$B$27,1,FALSE),"Company"))</f>
        <v>0</v>
      </c>
      <c r="Z13" s="56">
        <f t="shared" si="12"/>
        <v>0</v>
      </c>
      <c r="AD13" s="56" t="s">
        <v>180</v>
      </c>
      <c r="AE13" s="56" t="s">
        <v>183</v>
      </c>
      <c r="AM13" s="73">
        <f t="shared" si="22"/>
        <v>0</v>
      </c>
      <c r="AN13" s="73">
        <f t="shared" si="22"/>
        <v>0</v>
      </c>
      <c r="AO13" s="73">
        <f t="shared" si="22"/>
        <v>0</v>
      </c>
      <c r="AP13" s="73">
        <f t="shared" si="23"/>
        <v>0</v>
      </c>
      <c r="AQ13" s="73">
        <f t="shared" si="13"/>
        <v>0</v>
      </c>
      <c r="AR13" s="73">
        <f t="shared" si="14"/>
        <v>0</v>
      </c>
      <c r="AS13" s="73">
        <f t="shared" si="14"/>
        <v>0</v>
      </c>
      <c r="BC13" s="56">
        <f t="shared" si="15"/>
        <v>0</v>
      </c>
      <c r="BD13" s="56">
        <f t="shared" si="15"/>
        <v>0</v>
      </c>
      <c r="BG13" s="56">
        <f t="shared" ref="BG13:BO13" si="55">IFERROR(VLOOKUP($C11,stats,BG$2,FALSE),0)</f>
        <v>0</v>
      </c>
      <c r="BH13" s="56">
        <f t="shared" si="55"/>
        <v>0</v>
      </c>
      <c r="BI13" s="56">
        <f t="shared" si="55"/>
        <v>0</v>
      </c>
      <c r="BJ13" s="56">
        <f t="shared" si="55"/>
        <v>0</v>
      </c>
      <c r="BK13" s="56">
        <f t="shared" si="55"/>
        <v>0</v>
      </c>
      <c r="BL13" s="56">
        <f t="shared" si="55"/>
        <v>0</v>
      </c>
      <c r="BM13" s="56">
        <f t="shared" si="55"/>
        <v>0</v>
      </c>
      <c r="BN13" s="56">
        <f t="shared" si="55"/>
        <v>0</v>
      </c>
      <c r="BO13" s="56">
        <f t="shared" si="55"/>
        <v>0</v>
      </c>
      <c r="BQ13" s="56">
        <f t="shared" ref="BQ13:BY13" si="56">IFERROR(VLOOKUP($K11,traits,BQ$2,FALSE),0)</f>
        <v>0</v>
      </c>
      <c r="BR13" s="56">
        <f t="shared" si="56"/>
        <v>0</v>
      </c>
      <c r="BS13" s="56">
        <f t="shared" si="56"/>
        <v>0</v>
      </c>
      <c r="BT13" s="56">
        <f t="shared" si="56"/>
        <v>0</v>
      </c>
      <c r="BU13" s="56">
        <f t="shared" si="56"/>
        <v>0</v>
      </c>
      <c r="BV13" s="56">
        <f t="shared" si="56"/>
        <v>0</v>
      </c>
      <c r="BW13" s="56">
        <f t="shared" si="56"/>
        <v>0</v>
      </c>
      <c r="BX13" s="56">
        <f t="shared" si="56"/>
        <v>0</v>
      </c>
      <c r="BY13" s="56">
        <f t="shared" si="56"/>
        <v>0</v>
      </c>
      <c r="CA13" s="56">
        <f t="shared" ref="CA13:CI13" si="57">IFERROR(VLOOKUP($L11,traits,CA$2,FALSE),0)</f>
        <v>0</v>
      </c>
      <c r="CB13" s="56">
        <f t="shared" si="57"/>
        <v>0</v>
      </c>
      <c r="CC13" s="56">
        <f t="shared" si="57"/>
        <v>0</v>
      </c>
      <c r="CD13" s="56">
        <f t="shared" si="57"/>
        <v>0</v>
      </c>
      <c r="CE13" s="56">
        <f t="shared" si="57"/>
        <v>0</v>
      </c>
      <c r="CF13" s="56">
        <f t="shared" si="57"/>
        <v>0</v>
      </c>
      <c r="CG13" s="56">
        <f t="shared" si="57"/>
        <v>0</v>
      </c>
      <c r="CH13" s="56">
        <f t="shared" si="57"/>
        <v>0</v>
      </c>
      <c r="CI13" s="56">
        <f t="shared" si="57"/>
        <v>0</v>
      </c>
      <c r="CK13" s="56">
        <f t="shared" ref="CK13:CS13" si="58">IFERROR(VLOOKUP($M11,traits,CK$2,FALSE),0)</f>
        <v>0</v>
      </c>
      <c r="CL13" s="56">
        <f t="shared" si="58"/>
        <v>0</v>
      </c>
      <c r="CM13" s="56">
        <f t="shared" si="58"/>
        <v>0</v>
      </c>
      <c r="CN13" s="56">
        <f t="shared" si="58"/>
        <v>0</v>
      </c>
      <c r="CO13" s="56">
        <f t="shared" si="58"/>
        <v>0</v>
      </c>
      <c r="CP13" s="56">
        <f t="shared" si="58"/>
        <v>0</v>
      </c>
      <c r="CQ13" s="56">
        <f t="shared" si="58"/>
        <v>0</v>
      </c>
      <c r="CR13" s="56">
        <f t="shared" si="58"/>
        <v>0</v>
      </c>
      <c r="CS13" s="56">
        <f t="shared" si="58"/>
        <v>0</v>
      </c>
      <c r="CU13" s="56">
        <f t="shared" ref="CU13:DC13" si="59">IFERROR(VLOOKUP($N11,traits,CU$2,FALSE),0)</f>
        <v>0</v>
      </c>
      <c r="CV13" s="56">
        <f t="shared" si="59"/>
        <v>0</v>
      </c>
      <c r="CW13" s="56">
        <f t="shared" si="59"/>
        <v>0</v>
      </c>
      <c r="CX13" s="56">
        <f t="shared" si="59"/>
        <v>0</v>
      </c>
      <c r="CY13" s="56">
        <f t="shared" si="59"/>
        <v>0</v>
      </c>
      <c r="CZ13" s="56">
        <f t="shared" si="59"/>
        <v>0</v>
      </c>
      <c r="DA13" s="56">
        <f t="shared" si="59"/>
        <v>0</v>
      </c>
      <c r="DB13" s="56">
        <f t="shared" si="59"/>
        <v>0</v>
      </c>
      <c r="DC13" s="56">
        <f t="shared" si="59"/>
        <v>0</v>
      </c>
      <c r="DF13" s="56">
        <f t="shared" ref="DF13:DN13" si="60">IFERROR(VLOOKUP($O11,Relics,DF$2,FALSE),0)</f>
        <v>0</v>
      </c>
      <c r="DG13" s="56">
        <f t="shared" si="60"/>
        <v>0</v>
      </c>
      <c r="DH13" s="56">
        <f t="shared" si="60"/>
        <v>0</v>
      </c>
      <c r="DI13" s="56">
        <f t="shared" si="60"/>
        <v>0</v>
      </c>
      <c r="DJ13" s="56">
        <f t="shared" si="60"/>
        <v>0</v>
      </c>
      <c r="DK13" s="56">
        <f t="shared" si="60"/>
        <v>0</v>
      </c>
      <c r="DL13" s="56">
        <f t="shared" si="60"/>
        <v>0</v>
      </c>
      <c r="DM13" s="56">
        <f t="shared" si="60"/>
        <v>0</v>
      </c>
      <c r="DN13" s="56">
        <f t="shared" si="60"/>
        <v>0</v>
      </c>
    </row>
    <row r="14" spans="1:118" x14ac:dyDescent="0.35">
      <c r="A14" s="83">
        <v>10</v>
      </c>
      <c r="B14" s="48"/>
      <c r="C14" s="49"/>
      <c r="D14" s="53">
        <f t="shared" si="3"/>
        <v>0</v>
      </c>
      <c r="E14" s="53">
        <f t="shared" si="4"/>
        <v>0</v>
      </c>
      <c r="F14" s="53">
        <f t="shared" si="5"/>
        <v>0</v>
      </c>
      <c r="G14" s="53">
        <f t="shared" si="6"/>
        <v>0</v>
      </c>
      <c r="H14" s="53">
        <f t="shared" si="7"/>
        <v>0</v>
      </c>
      <c r="I14" s="53">
        <f t="shared" si="8"/>
        <v>0</v>
      </c>
      <c r="J14" s="53">
        <f t="shared" si="9"/>
        <v>0</v>
      </c>
      <c r="K14" s="50"/>
      <c r="L14" s="50"/>
      <c r="M14" s="50"/>
      <c r="N14" s="50"/>
      <c r="O14" s="50"/>
      <c r="P14" s="54">
        <f t="shared" si="10"/>
        <v>0</v>
      </c>
      <c r="Q14" s="51"/>
      <c r="R14" s="54">
        <f t="shared" si="11"/>
        <v>0</v>
      </c>
      <c r="U14" s="56">
        <f>IF(C14=$U$2,0,IFERROR(VLOOKUP($C14,Stats!$B$4:$B$8,1,FALSE),"Company"))</f>
        <v>0</v>
      </c>
      <c r="V14" s="56">
        <f>IF(C14=$U$2,0,IFERROR(VLOOKUP(K14,Stats!$B$24:$B$27,1,FALSE),"Company"))</f>
        <v>0</v>
      </c>
      <c r="W14" s="56">
        <f>IF(D14=$U$2,0,IFERROR(VLOOKUP(L14,Stats!$B$24:$B$27,1,FALSE),"Company"))</f>
        <v>0</v>
      </c>
      <c r="X14" s="56">
        <f>IF(E14=$U$2,0,IFERROR(VLOOKUP(M14,Stats!$B$24:$B$27,1,FALSE),"Company"))</f>
        <v>0</v>
      </c>
      <c r="Y14" s="56">
        <f>IF(F14=$U$2,0,IFERROR(VLOOKUP(N14,Stats!$B$24:$B$27,1,FALSE),"Company"))</f>
        <v>0</v>
      </c>
      <c r="Z14" s="56">
        <f t="shared" si="12"/>
        <v>0</v>
      </c>
      <c r="AC14" s="56" t="s">
        <v>182</v>
      </c>
      <c r="AD14" s="56">
        <f>Stats!T2</f>
        <v>0</v>
      </c>
      <c r="AM14" s="73">
        <f t="shared" si="22"/>
        <v>0</v>
      </c>
      <c r="AN14" s="73">
        <f t="shared" si="22"/>
        <v>0</v>
      </c>
      <c r="AO14" s="73">
        <f t="shared" si="22"/>
        <v>0</v>
      </c>
      <c r="AP14" s="73">
        <f t="shared" si="23"/>
        <v>0</v>
      </c>
      <c r="AQ14" s="73">
        <f t="shared" si="13"/>
        <v>0</v>
      </c>
      <c r="AR14" s="73">
        <f t="shared" si="14"/>
        <v>0</v>
      </c>
      <c r="AS14" s="73">
        <f t="shared" si="14"/>
        <v>0</v>
      </c>
      <c r="BC14" s="56">
        <f t="shared" si="15"/>
        <v>0</v>
      </c>
      <c r="BD14" s="56">
        <f t="shared" si="15"/>
        <v>0</v>
      </c>
      <c r="BG14" s="56">
        <f t="shared" ref="BG14:BO14" si="61">IFERROR(VLOOKUP($C12,stats,BG$2,FALSE),0)</f>
        <v>0</v>
      </c>
      <c r="BH14" s="56">
        <f t="shared" si="61"/>
        <v>0</v>
      </c>
      <c r="BI14" s="56">
        <f t="shared" si="61"/>
        <v>0</v>
      </c>
      <c r="BJ14" s="56">
        <f t="shared" si="61"/>
        <v>0</v>
      </c>
      <c r="BK14" s="56">
        <f t="shared" si="61"/>
        <v>0</v>
      </c>
      <c r="BL14" s="56">
        <f t="shared" si="61"/>
        <v>0</v>
      </c>
      <c r="BM14" s="56">
        <f t="shared" si="61"/>
        <v>0</v>
      </c>
      <c r="BN14" s="56">
        <f t="shared" si="61"/>
        <v>0</v>
      </c>
      <c r="BO14" s="56">
        <f t="shared" si="61"/>
        <v>0</v>
      </c>
      <c r="BQ14" s="56">
        <f t="shared" ref="BQ14:BY14" si="62">IFERROR(VLOOKUP($K12,traits,BQ$2,FALSE),0)</f>
        <v>0</v>
      </c>
      <c r="BR14" s="56">
        <f t="shared" si="62"/>
        <v>0</v>
      </c>
      <c r="BS14" s="56">
        <f t="shared" si="62"/>
        <v>0</v>
      </c>
      <c r="BT14" s="56">
        <f t="shared" si="62"/>
        <v>0</v>
      </c>
      <c r="BU14" s="56">
        <f t="shared" si="62"/>
        <v>0</v>
      </c>
      <c r="BV14" s="56">
        <f t="shared" si="62"/>
        <v>0</v>
      </c>
      <c r="BW14" s="56">
        <f t="shared" si="62"/>
        <v>0</v>
      </c>
      <c r="BX14" s="56">
        <f t="shared" si="62"/>
        <v>0</v>
      </c>
      <c r="BY14" s="56">
        <f t="shared" si="62"/>
        <v>0</v>
      </c>
      <c r="CA14" s="56">
        <f t="shared" ref="CA14:CI14" si="63">IFERROR(VLOOKUP($L12,traits,CA$2,FALSE),0)</f>
        <v>0</v>
      </c>
      <c r="CB14" s="56">
        <f t="shared" si="63"/>
        <v>0</v>
      </c>
      <c r="CC14" s="56">
        <f t="shared" si="63"/>
        <v>0</v>
      </c>
      <c r="CD14" s="56">
        <f t="shared" si="63"/>
        <v>0</v>
      </c>
      <c r="CE14" s="56">
        <f t="shared" si="63"/>
        <v>0</v>
      </c>
      <c r="CF14" s="56">
        <f t="shared" si="63"/>
        <v>0</v>
      </c>
      <c r="CG14" s="56">
        <f t="shared" si="63"/>
        <v>0</v>
      </c>
      <c r="CH14" s="56">
        <f t="shared" si="63"/>
        <v>0</v>
      </c>
      <c r="CI14" s="56">
        <f t="shared" si="63"/>
        <v>0</v>
      </c>
      <c r="CK14" s="56">
        <f t="shared" ref="CK14:CS14" si="64">IFERROR(VLOOKUP($M12,traits,CK$2,FALSE),0)</f>
        <v>0</v>
      </c>
      <c r="CL14" s="56">
        <f t="shared" si="64"/>
        <v>0</v>
      </c>
      <c r="CM14" s="56">
        <f t="shared" si="64"/>
        <v>0</v>
      </c>
      <c r="CN14" s="56">
        <f t="shared" si="64"/>
        <v>0</v>
      </c>
      <c r="CO14" s="56">
        <f t="shared" si="64"/>
        <v>0</v>
      </c>
      <c r="CP14" s="56">
        <f t="shared" si="64"/>
        <v>0</v>
      </c>
      <c r="CQ14" s="56">
        <f t="shared" si="64"/>
        <v>0</v>
      </c>
      <c r="CR14" s="56">
        <f t="shared" si="64"/>
        <v>0</v>
      </c>
      <c r="CS14" s="56">
        <f t="shared" si="64"/>
        <v>0</v>
      </c>
      <c r="CU14" s="56">
        <f t="shared" ref="CU14:DC14" si="65">IFERROR(VLOOKUP($N12,traits,CU$2,FALSE),0)</f>
        <v>0</v>
      </c>
      <c r="CV14" s="56">
        <f t="shared" si="65"/>
        <v>0</v>
      </c>
      <c r="CW14" s="56">
        <f t="shared" si="65"/>
        <v>0</v>
      </c>
      <c r="CX14" s="56">
        <f t="shared" si="65"/>
        <v>0</v>
      </c>
      <c r="CY14" s="56">
        <f t="shared" si="65"/>
        <v>0</v>
      </c>
      <c r="CZ14" s="56">
        <f t="shared" si="65"/>
        <v>0</v>
      </c>
      <c r="DA14" s="56">
        <f t="shared" si="65"/>
        <v>0</v>
      </c>
      <c r="DB14" s="56">
        <f t="shared" si="65"/>
        <v>0</v>
      </c>
      <c r="DC14" s="56">
        <f t="shared" si="65"/>
        <v>0</v>
      </c>
      <c r="DF14" s="56">
        <f t="shared" ref="DF14:DN14" si="66">IFERROR(VLOOKUP($O12,Relics,DF$2,FALSE),0)</f>
        <v>0</v>
      </c>
      <c r="DG14" s="56">
        <f t="shared" si="66"/>
        <v>0</v>
      </c>
      <c r="DH14" s="56">
        <f t="shared" si="66"/>
        <v>0</v>
      </c>
      <c r="DI14" s="56">
        <f t="shared" si="66"/>
        <v>0</v>
      </c>
      <c r="DJ14" s="56">
        <f t="shared" si="66"/>
        <v>0</v>
      </c>
      <c r="DK14" s="56">
        <f t="shared" si="66"/>
        <v>0</v>
      </c>
      <c r="DL14" s="56">
        <f t="shared" si="66"/>
        <v>0</v>
      </c>
      <c r="DM14" s="56">
        <f t="shared" si="66"/>
        <v>0</v>
      </c>
      <c r="DN14" s="56">
        <f t="shared" si="66"/>
        <v>0</v>
      </c>
    </row>
    <row r="15" spans="1:118" x14ac:dyDescent="0.35">
      <c r="A15" s="83">
        <v>11</v>
      </c>
      <c r="B15" s="48"/>
      <c r="C15" s="49"/>
      <c r="D15" s="53">
        <f t="shared" si="3"/>
        <v>0</v>
      </c>
      <c r="E15" s="53">
        <f t="shared" si="4"/>
        <v>0</v>
      </c>
      <c r="F15" s="53">
        <f t="shared" si="5"/>
        <v>0</v>
      </c>
      <c r="G15" s="53">
        <f t="shared" si="6"/>
        <v>0</v>
      </c>
      <c r="H15" s="53">
        <f t="shared" si="7"/>
        <v>0</v>
      </c>
      <c r="I15" s="53">
        <f t="shared" si="8"/>
        <v>0</v>
      </c>
      <c r="J15" s="53">
        <f t="shared" si="9"/>
        <v>0</v>
      </c>
      <c r="K15" s="50"/>
      <c r="L15" s="50"/>
      <c r="M15" s="50"/>
      <c r="N15" s="50"/>
      <c r="O15" s="50"/>
      <c r="P15" s="54">
        <f t="shared" si="10"/>
        <v>0</v>
      </c>
      <c r="Q15" s="51"/>
      <c r="R15" s="54">
        <f t="shared" si="11"/>
        <v>0</v>
      </c>
      <c r="U15" s="56">
        <f>IF(C15=$U$2,0,IFERROR(VLOOKUP($C15,Stats!$B$4:$B$8,1,FALSE),"Company"))</f>
        <v>0</v>
      </c>
      <c r="V15" s="56">
        <f>IF(C15=$U$2,0,IFERROR(VLOOKUP(K15,Stats!$B$24:$B$27,1,FALSE),"Company"))</f>
        <v>0</v>
      </c>
      <c r="W15" s="56">
        <f>IF(D15=$U$2,0,IFERROR(VLOOKUP(L15,Stats!$B$24:$B$27,1,FALSE),"Company"))</f>
        <v>0</v>
      </c>
      <c r="X15" s="56">
        <f>IF(E15=$U$2,0,IFERROR(VLOOKUP(M15,Stats!$B$24:$B$27,1,FALSE),"Company"))</f>
        <v>0</v>
      </c>
      <c r="Y15" s="56">
        <f>IF(F15=$U$2,0,IFERROR(VLOOKUP(N15,Stats!$B$24:$B$27,1,FALSE),"Company"))</f>
        <v>0</v>
      </c>
      <c r="Z15" s="56">
        <f t="shared" si="12"/>
        <v>0</v>
      </c>
      <c r="AB15" s="71" t="s">
        <v>181</v>
      </c>
      <c r="AC15" s="56">
        <f>Stats!R4</f>
        <v>1</v>
      </c>
      <c r="AD15" s="56">
        <f>Stats!T4</f>
        <v>1</v>
      </c>
      <c r="AE15" s="56">
        <f>AJ4+AJ5+AJ9+AJ10</f>
        <v>0</v>
      </c>
      <c r="AM15" s="73">
        <f t="shared" si="22"/>
        <v>0</v>
      </c>
      <c r="AN15" s="73">
        <f t="shared" si="22"/>
        <v>0</v>
      </c>
      <c r="AO15" s="73">
        <f t="shared" si="22"/>
        <v>0</v>
      </c>
      <c r="AP15" s="73">
        <f t="shared" si="23"/>
        <v>0</v>
      </c>
      <c r="AQ15" s="73">
        <f>IF(AND(C13="Ordnance battery",(OR(K13="Shooting (mixed)",L13="Shooting (mixed)",M13="Shooting (mixed)",N13="Shooting (mixed)"))),1,IF(MAX(BL15,BV15,CF15,CP15,CZ15,DK15)&gt;1,MAX(BL15,BV15,CF15,CP15,CZ15,DK15),BL15+BV15+CF15+CP15+CZ15+DK15))</f>
        <v>0</v>
      </c>
      <c r="AR15" s="73">
        <f t="shared" si="14"/>
        <v>0</v>
      </c>
      <c r="AS15" s="73">
        <f t="shared" si="14"/>
        <v>0</v>
      </c>
      <c r="BC15" s="56">
        <f t="shared" si="15"/>
        <v>0</v>
      </c>
      <c r="BD15" s="56">
        <f t="shared" si="15"/>
        <v>0</v>
      </c>
      <c r="BG15" s="56">
        <f t="shared" ref="BG15:BO15" si="67">IFERROR(VLOOKUP($C13,stats,BG$2,FALSE),0)</f>
        <v>0</v>
      </c>
      <c r="BH15" s="56">
        <f t="shared" si="67"/>
        <v>0</v>
      </c>
      <c r="BI15" s="56">
        <f t="shared" si="67"/>
        <v>0</v>
      </c>
      <c r="BJ15" s="56">
        <f t="shared" si="67"/>
        <v>0</v>
      </c>
      <c r="BK15" s="56">
        <f t="shared" si="67"/>
        <v>0</v>
      </c>
      <c r="BL15" s="56">
        <f t="shared" si="67"/>
        <v>0</v>
      </c>
      <c r="BM15" s="56">
        <f t="shared" si="67"/>
        <v>0</v>
      </c>
      <c r="BN15" s="56">
        <f t="shared" si="67"/>
        <v>0</v>
      </c>
      <c r="BO15" s="56">
        <f t="shared" si="67"/>
        <v>0</v>
      </c>
      <c r="BQ15" s="56">
        <f t="shared" ref="BQ15:BY15" si="68">IFERROR(VLOOKUP($K13,traits,BQ$2,FALSE),0)</f>
        <v>0</v>
      </c>
      <c r="BR15" s="56">
        <f t="shared" si="68"/>
        <v>0</v>
      </c>
      <c r="BS15" s="56">
        <f t="shared" si="68"/>
        <v>0</v>
      </c>
      <c r="BT15" s="56">
        <f t="shared" si="68"/>
        <v>0</v>
      </c>
      <c r="BU15" s="56">
        <f t="shared" si="68"/>
        <v>0</v>
      </c>
      <c r="BV15" s="56">
        <f t="shared" si="68"/>
        <v>0</v>
      </c>
      <c r="BW15" s="56">
        <f t="shared" si="68"/>
        <v>0</v>
      </c>
      <c r="BX15" s="56">
        <f t="shared" si="68"/>
        <v>0</v>
      </c>
      <c r="BY15" s="56">
        <f t="shared" si="68"/>
        <v>0</v>
      </c>
      <c r="CA15" s="56">
        <f t="shared" ref="CA15:CI15" si="69">IFERROR(VLOOKUP($L13,traits,CA$2,FALSE),0)</f>
        <v>0</v>
      </c>
      <c r="CB15" s="56">
        <f t="shared" si="69"/>
        <v>0</v>
      </c>
      <c r="CC15" s="56">
        <f t="shared" si="69"/>
        <v>0</v>
      </c>
      <c r="CD15" s="56">
        <f t="shared" si="69"/>
        <v>0</v>
      </c>
      <c r="CE15" s="56">
        <f t="shared" si="69"/>
        <v>0</v>
      </c>
      <c r="CF15" s="56">
        <f t="shared" si="69"/>
        <v>0</v>
      </c>
      <c r="CG15" s="56">
        <f t="shared" si="69"/>
        <v>0</v>
      </c>
      <c r="CH15" s="56">
        <f t="shared" si="69"/>
        <v>0</v>
      </c>
      <c r="CI15" s="56">
        <f t="shared" si="69"/>
        <v>0</v>
      </c>
      <c r="CK15" s="56">
        <f t="shared" ref="CK15:CS15" si="70">IFERROR(VLOOKUP($M13,traits,CK$2,FALSE),0)</f>
        <v>0</v>
      </c>
      <c r="CL15" s="56">
        <f t="shared" si="70"/>
        <v>0</v>
      </c>
      <c r="CM15" s="56">
        <f t="shared" si="70"/>
        <v>0</v>
      </c>
      <c r="CN15" s="56">
        <f t="shared" si="70"/>
        <v>0</v>
      </c>
      <c r="CO15" s="56">
        <f t="shared" si="70"/>
        <v>0</v>
      </c>
      <c r="CP15" s="56">
        <f t="shared" si="70"/>
        <v>0</v>
      </c>
      <c r="CQ15" s="56">
        <f t="shared" si="70"/>
        <v>0</v>
      </c>
      <c r="CR15" s="56">
        <f t="shared" si="70"/>
        <v>0</v>
      </c>
      <c r="CS15" s="56">
        <f t="shared" si="70"/>
        <v>0</v>
      </c>
      <c r="CU15" s="56">
        <f t="shared" ref="CU15:DC15" si="71">IFERROR(VLOOKUP($N13,traits,CU$2,FALSE),0)</f>
        <v>0</v>
      </c>
      <c r="CV15" s="56">
        <f t="shared" si="71"/>
        <v>0</v>
      </c>
      <c r="CW15" s="56">
        <f t="shared" si="71"/>
        <v>0</v>
      </c>
      <c r="CX15" s="56">
        <f t="shared" si="71"/>
        <v>0</v>
      </c>
      <c r="CY15" s="56">
        <f t="shared" si="71"/>
        <v>0</v>
      </c>
      <c r="CZ15" s="56">
        <f t="shared" si="71"/>
        <v>0</v>
      </c>
      <c r="DA15" s="56">
        <f t="shared" si="71"/>
        <v>0</v>
      </c>
      <c r="DB15" s="56">
        <f t="shared" si="71"/>
        <v>0</v>
      </c>
      <c r="DC15" s="56">
        <f t="shared" si="71"/>
        <v>0</v>
      </c>
      <c r="DF15" s="56">
        <f t="shared" ref="DF15:DN15" si="72">IFERROR(VLOOKUP($O13,Relics,DF$2,FALSE),0)</f>
        <v>0</v>
      </c>
      <c r="DG15" s="56">
        <f t="shared" si="72"/>
        <v>0</v>
      </c>
      <c r="DH15" s="56">
        <f t="shared" si="72"/>
        <v>0</v>
      </c>
      <c r="DI15" s="56">
        <f t="shared" si="72"/>
        <v>0</v>
      </c>
      <c r="DJ15" s="56">
        <f t="shared" si="72"/>
        <v>0</v>
      </c>
      <c r="DK15" s="56">
        <f t="shared" si="72"/>
        <v>0</v>
      </c>
      <c r="DL15" s="56">
        <f t="shared" si="72"/>
        <v>0</v>
      </c>
      <c r="DM15" s="56">
        <f t="shared" si="72"/>
        <v>0</v>
      </c>
      <c r="DN15" s="56">
        <f t="shared" si="72"/>
        <v>0</v>
      </c>
    </row>
    <row r="16" spans="1:118" x14ac:dyDescent="0.35">
      <c r="A16" s="83">
        <v>12</v>
      </c>
      <c r="B16" s="48"/>
      <c r="C16" s="49"/>
      <c r="D16" s="53">
        <f t="shared" si="3"/>
        <v>0</v>
      </c>
      <c r="E16" s="53">
        <f t="shared" si="4"/>
        <v>0</v>
      </c>
      <c r="F16" s="53">
        <f t="shared" si="5"/>
        <v>0</v>
      </c>
      <c r="G16" s="53">
        <f t="shared" si="6"/>
        <v>0</v>
      </c>
      <c r="H16" s="53">
        <f t="shared" si="7"/>
        <v>0</v>
      </c>
      <c r="I16" s="53">
        <f t="shared" si="8"/>
        <v>0</v>
      </c>
      <c r="J16" s="53">
        <f t="shared" si="9"/>
        <v>0</v>
      </c>
      <c r="K16" s="50"/>
      <c r="L16" s="50"/>
      <c r="M16" s="50"/>
      <c r="N16" s="50"/>
      <c r="O16" s="50"/>
      <c r="P16" s="54">
        <f t="shared" si="10"/>
        <v>0</v>
      </c>
      <c r="Q16" s="51"/>
      <c r="R16" s="54">
        <f t="shared" si="11"/>
        <v>0</v>
      </c>
      <c r="U16" s="56">
        <f>IF(C16=$U$2,0,IFERROR(VLOOKUP($C16,Stats!$B$4:$B$8,1,FALSE),"Company"))</f>
        <v>0</v>
      </c>
      <c r="V16" s="56">
        <f>IF(C16=$U$2,0,IFERROR(VLOOKUP(K16,Stats!$B$24:$B$27,1,FALSE),"Company"))</f>
        <v>0</v>
      </c>
      <c r="W16" s="56">
        <f>IF(D16=$U$2,0,IFERROR(VLOOKUP(L16,Stats!$B$24:$B$27,1,FALSE),"Company"))</f>
        <v>0</v>
      </c>
      <c r="X16" s="56">
        <f>IF(E16=$U$2,0,IFERROR(VLOOKUP(M16,Stats!$B$24:$B$27,1,FALSE),"Company"))</f>
        <v>0</v>
      </c>
      <c r="Y16" s="56">
        <f>IF(F16=$U$2,0,IFERROR(VLOOKUP(N16,Stats!$B$24:$B$27,1,FALSE),"Company"))</f>
        <v>0</v>
      </c>
      <c r="Z16" s="56">
        <f t="shared" si="12"/>
        <v>0</v>
      </c>
      <c r="AB16" s="71" t="s">
        <v>7</v>
      </c>
      <c r="AC16" s="56">
        <f>Stats!R6</f>
        <v>3</v>
      </c>
      <c r="AD16" s="56">
        <f>Stats!T6</f>
        <v>0</v>
      </c>
      <c r="AE16" s="56">
        <f>AJ6+AJ11</f>
        <v>0</v>
      </c>
      <c r="AM16" s="73">
        <f t="shared" si="22"/>
        <v>0</v>
      </c>
      <c r="AN16" s="73">
        <f t="shared" si="22"/>
        <v>0</v>
      </c>
      <c r="AO16" s="73">
        <f t="shared" si="22"/>
        <v>0</v>
      </c>
      <c r="AP16" s="73">
        <f t="shared" si="23"/>
        <v>0</v>
      </c>
      <c r="AQ16" s="73">
        <f>IF(AND(C14="Ordnance battery",(OR(K14="Shooting (mixed)",L14="Shooting (mixed)",M14="Shooting (mixed)",N14="Shooting (mixed)"))),1,IF(MAX(BL16,BV16,CF16,CP16,CZ16,DK16)&gt;1,MAX(BL16,BV16,CF16,CP16,CZ16,DK16),BL16+BV16+CF16+CP16+CZ16+DK16))</f>
        <v>0</v>
      </c>
      <c r="AR16" s="73">
        <f t="shared" si="14"/>
        <v>0</v>
      </c>
      <c r="AS16" s="73">
        <f t="shared" si="14"/>
        <v>0</v>
      </c>
      <c r="BC16" s="56">
        <f t="shared" si="15"/>
        <v>0</v>
      </c>
      <c r="BD16" s="56">
        <f t="shared" si="15"/>
        <v>0</v>
      </c>
      <c r="BG16" s="56">
        <f t="shared" ref="BG16:BO16" si="73">IFERROR(VLOOKUP($C14,stats,BG$2,FALSE),0)</f>
        <v>0</v>
      </c>
      <c r="BH16" s="56">
        <f t="shared" si="73"/>
        <v>0</v>
      </c>
      <c r="BI16" s="56">
        <f t="shared" si="73"/>
        <v>0</v>
      </c>
      <c r="BJ16" s="56">
        <f t="shared" si="73"/>
        <v>0</v>
      </c>
      <c r="BK16" s="56">
        <f t="shared" si="73"/>
        <v>0</v>
      </c>
      <c r="BL16" s="56">
        <f t="shared" si="73"/>
        <v>0</v>
      </c>
      <c r="BM16" s="56">
        <f t="shared" si="73"/>
        <v>0</v>
      </c>
      <c r="BN16" s="56">
        <f t="shared" si="73"/>
        <v>0</v>
      </c>
      <c r="BO16" s="56">
        <f t="shared" si="73"/>
        <v>0</v>
      </c>
      <c r="BQ16" s="56">
        <f t="shared" ref="BQ16:BY16" si="74">IFERROR(VLOOKUP($K14,traits,BQ$2,FALSE),0)</f>
        <v>0</v>
      </c>
      <c r="BR16" s="56">
        <f t="shared" si="74"/>
        <v>0</v>
      </c>
      <c r="BS16" s="56">
        <f t="shared" si="74"/>
        <v>0</v>
      </c>
      <c r="BT16" s="56">
        <f t="shared" si="74"/>
        <v>0</v>
      </c>
      <c r="BU16" s="56">
        <f t="shared" si="74"/>
        <v>0</v>
      </c>
      <c r="BV16" s="56">
        <f t="shared" si="74"/>
        <v>0</v>
      </c>
      <c r="BW16" s="56">
        <f t="shared" si="74"/>
        <v>0</v>
      </c>
      <c r="BX16" s="56">
        <f t="shared" si="74"/>
        <v>0</v>
      </c>
      <c r="BY16" s="56">
        <f t="shared" si="74"/>
        <v>0</v>
      </c>
      <c r="CA16" s="56">
        <f t="shared" ref="CA16:CI16" si="75">IFERROR(VLOOKUP($L14,traits,CA$2,FALSE),0)</f>
        <v>0</v>
      </c>
      <c r="CB16" s="56">
        <f t="shared" si="75"/>
        <v>0</v>
      </c>
      <c r="CC16" s="56">
        <f t="shared" si="75"/>
        <v>0</v>
      </c>
      <c r="CD16" s="56">
        <f t="shared" si="75"/>
        <v>0</v>
      </c>
      <c r="CE16" s="56">
        <f t="shared" si="75"/>
        <v>0</v>
      </c>
      <c r="CF16" s="56">
        <f t="shared" si="75"/>
        <v>0</v>
      </c>
      <c r="CG16" s="56">
        <f t="shared" si="75"/>
        <v>0</v>
      </c>
      <c r="CH16" s="56">
        <f t="shared" si="75"/>
        <v>0</v>
      </c>
      <c r="CI16" s="56">
        <f t="shared" si="75"/>
        <v>0</v>
      </c>
      <c r="CK16" s="56">
        <f t="shared" ref="CK16:CS16" si="76">IFERROR(VLOOKUP($M14,traits,CK$2,FALSE),0)</f>
        <v>0</v>
      </c>
      <c r="CL16" s="56">
        <f t="shared" si="76"/>
        <v>0</v>
      </c>
      <c r="CM16" s="56">
        <f t="shared" si="76"/>
        <v>0</v>
      </c>
      <c r="CN16" s="56">
        <f t="shared" si="76"/>
        <v>0</v>
      </c>
      <c r="CO16" s="56">
        <f t="shared" si="76"/>
        <v>0</v>
      </c>
      <c r="CP16" s="56">
        <f t="shared" si="76"/>
        <v>0</v>
      </c>
      <c r="CQ16" s="56">
        <f t="shared" si="76"/>
        <v>0</v>
      </c>
      <c r="CR16" s="56">
        <f t="shared" si="76"/>
        <v>0</v>
      </c>
      <c r="CS16" s="56">
        <f t="shared" si="76"/>
        <v>0</v>
      </c>
      <c r="CU16" s="56">
        <f t="shared" ref="CU16:DC16" si="77">IFERROR(VLOOKUP($N14,traits,CU$2,FALSE),0)</f>
        <v>0</v>
      </c>
      <c r="CV16" s="56">
        <f t="shared" si="77"/>
        <v>0</v>
      </c>
      <c r="CW16" s="56">
        <f t="shared" si="77"/>
        <v>0</v>
      </c>
      <c r="CX16" s="56">
        <f t="shared" si="77"/>
        <v>0</v>
      </c>
      <c r="CY16" s="56">
        <f t="shared" si="77"/>
        <v>0</v>
      </c>
      <c r="CZ16" s="56">
        <f t="shared" si="77"/>
        <v>0</v>
      </c>
      <c r="DA16" s="56">
        <f t="shared" si="77"/>
        <v>0</v>
      </c>
      <c r="DB16" s="56">
        <f t="shared" si="77"/>
        <v>0</v>
      </c>
      <c r="DC16" s="56">
        <f t="shared" si="77"/>
        <v>0</v>
      </c>
      <c r="DF16" s="56">
        <f t="shared" ref="DF16:DN16" si="78">IFERROR(VLOOKUP($O14,Relics,DF$2,FALSE),0)</f>
        <v>0</v>
      </c>
      <c r="DG16" s="56">
        <f t="shared" si="78"/>
        <v>0</v>
      </c>
      <c r="DH16" s="56">
        <f t="shared" si="78"/>
        <v>0</v>
      </c>
      <c r="DI16" s="56">
        <f t="shared" si="78"/>
        <v>0</v>
      </c>
      <c r="DJ16" s="56">
        <f t="shared" si="78"/>
        <v>0</v>
      </c>
      <c r="DK16" s="56">
        <f t="shared" si="78"/>
        <v>0</v>
      </c>
      <c r="DL16" s="56">
        <f t="shared" si="78"/>
        <v>0</v>
      </c>
      <c r="DM16" s="56">
        <f t="shared" si="78"/>
        <v>0</v>
      </c>
      <c r="DN16" s="56">
        <f t="shared" si="78"/>
        <v>0</v>
      </c>
    </row>
    <row r="17" spans="1:118" x14ac:dyDescent="0.35">
      <c r="A17" s="83">
        <v>13</v>
      </c>
      <c r="B17" s="48"/>
      <c r="C17" s="49"/>
      <c r="D17" s="53">
        <f t="shared" si="3"/>
        <v>0</v>
      </c>
      <c r="E17" s="53">
        <f t="shared" si="4"/>
        <v>0</v>
      </c>
      <c r="F17" s="53">
        <f t="shared" si="5"/>
        <v>0</v>
      </c>
      <c r="G17" s="53">
        <f t="shared" si="6"/>
        <v>0</v>
      </c>
      <c r="H17" s="53">
        <f t="shared" si="7"/>
        <v>0</v>
      </c>
      <c r="I17" s="53">
        <f t="shared" si="8"/>
        <v>0</v>
      </c>
      <c r="J17" s="53">
        <f t="shared" si="9"/>
        <v>0</v>
      </c>
      <c r="K17" s="50"/>
      <c r="L17" s="50"/>
      <c r="M17" s="50"/>
      <c r="N17" s="50"/>
      <c r="O17" s="50"/>
      <c r="P17" s="54">
        <f t="shared" si="10"/>
        <v>0</v>
      </c>
      <c r="Q17" s="51"/>
      <c r="R17" s="54">
        <f t="shared" si="11"/>
        <v>0</v>
      </c>
      <c r="U17" s="56">
        <f>IF(C17=$U$2,0,IFERROR(VLOOKUP($C17,Stats!$B$4:$B$8,1,FALSE),"Company"))</f>
        <v>0</v>
      </c>
      <c r="V17" s="56">
        <f>IF(C17=$U$2,0,IFERROR(VLOOKUP(K17,Stats!$B$24:$B$27,1,FALSE),"Company"))</f>
        <v>0</v>
      </c>
      <c r="W17" s="56">
        <f>IF(D17=$U$2,0,IFERROR(VLOOKUP(L17,Stats!$B$24:$B$27,1,FALSE),"Company"))</f>
        <v>0</v>
      </c>
      <c r="X17" s="56">
        <f>IF(E17=$U$2,0,IFERROR(VLOOKUP(M17,Stats!$B$24:$B$27,1,FALSE),"Company"))</f>
        <v>0</v>
      </c>
      <c r="Y17" s="56">
        <f>IF(F17=$U$2,0,IFERROR(VLOOKUP(N17,Stats!$B$24:$B$27,1,FALSE),"Company"))</f>
        <v>0</v>
      </c>
      <c r="Z17" s="56">
        <f t="shared" si="12"/>
        <v>0</v>
      </c>
      <c r="AB17" s="71" t="s">
        <v>128</v>
      </c>
      <c r="AC17" s="56">
        <f>Stats!R7</f>
        <v>1</v>
      </c>
      <c r="AD17" s="56">
        <f>Stats!T7</f>
        <v>0</v>
      </c>
      <c r="AE17" s="56">
        <f>AJ7+AJ12</f>
        <v>0</v>
      </c>
      <c r="AM17" s="73">
        <f t="shared" si="22"/>
        <v>0</v>
      </c>
      <c r="AN17" s="73">
        <f t="shared" si="22"/>
        <v>0</v>
      </c>
      <c r="AO17" s="73">
        <f t="shared" si="22"/>
        <v>0</v>
      </c>
      <c r="AP17" s="73">
        <f t="shared" si="23"/>
        <v>0</v>
      </c>
      <c r="AQ17" s="73">
        <f>IF(AND(C15="Ordnance battery",(OR(K15="Shooting (mixed)",L15="Shooting (mixed)",M15="Shooting (mixed)",N15="Shooting (mixed)"))),1,IF(MAX(BL17,BV17,CF17,CP17,CZ17,DK17)&gt;1,MAX(BL17,BV17,CF17,CP17,CZ17,DK17),BL17+BV17+CF17+CP17+CZ17+DK17))</f>
        <v>0</v>
      </c>
      <c r="AR17" s="73">
        <f t="shared" si="14"/>
        <v>0</v>
      </c>
      <c r="AS17" s="73">
        <f t="shared" si="14"/>
        <v>0</v>
      </c>
      <c r="BC17" s="56">
        <f t="shared" si="15"/>
        <v>0</v>
      </c>
      <c r="BD17" s="56">
        <f t="shared" si="15"/>
        <v>0</v>
      </c>
      <c r="BG17" s="56">
        <f t="shared" ref="BG17:BO17" si="79">IFERROR(VLOOKUP($C15,stats,BG$2,FALSE),0)</f>
        <v>0</v>
      </c>
      <c r="BH17" s="56">
        <f t="shared" si="79"/>
        <v>0</v>
      </c>
      <c r="BI17" s="56">
        <f t="shared" si="79"/>
        <v>0</v>
      </c>
      <c r="BJ17" s="56">
        <f t="shared" si="79"/>
        <v>0</v>
      </c>
      <c r="BK17" s="56">
        <f t="shared" si="79"/>
        <v>0</v>
      </c>
      <c r="BL17" s="56">
        <f t="shared" si="79"/>
        <v>0</v>
      </c>
      <c r="BM17" s="56">
        <f t="shared" si="79"/>
        <v>0</v>
      </c>
      <c r="BN17" s="56">
        <f t="shared" si="79"/>
        <v>0</v>
      </c>
      <c r="BO17" s="56">
        <f t="shared" si="79"/>
        <v>0</v>
      </c>
      <c r="BQ17" s="56">
        <f t="shared" ref="BQ17:BY17" si="80">IFERROR(VLOOKUP($K15,traits,BQ$2,FALSE),0)</f>
        <v>0</v>
      </c>
      <c r="BR17" s="56">
        <f t="shared" si="80"/>
        <v>0</v>
      </c>
      <c r="BS17" s="56">
        <f t="shared" si="80"/>
        <v>0</v>
      </c>
      <c r="BT17" s="56">
        <f t="shared" si="80"/>
        <v>0</v>
      </c>
      <c r="BU17" s="56">
        <f t="shared" si="80"/>
        <v>0</v>
      </c>
      <c r="BV17" s="56">
        <f t="shared" si="80"/>
        <v>0</v>
      </c>
      <c r="BW17" s="56">
        <f t="shared" si="80"/>
        <v>0</v>
      </c>
      <c r="BX17" s="56">
        <f t="shared" si="80"/>
        <v>0</v>
      </c>
      <c r="BY17" s="56">
        <f t="shared" si="80"/>
        <v>0</v>
      </c>
      <c r="CA17" s="56">
        <f t="shared" ref="CA17:CI17" si="81">IFERROR(VLOOKUP($L15,traits,CA$2,FALSE),0)</f>
        <v>0</v>
      </c>
      <c r="CB17" s="56">
        <f t="shared" si="81"/>
        <v>0</v>
      </c>
      <c r="CC17" s="56">
        <f t="shared" si="81"/>
        <v>0</v>
      </c>
      <c r="CD17" s="56">
        <f t="shared" si="81"/>
        <v>0</v>
      </c>
      <c r="CE17" s="56">
        <f t="shared" si="81"/>
        <v>0</v>
      </c>
      <c r="CF17" s="56">
        <f t="shared" si="81"/>
        <v>0</v>
      </c>
      <c r="CG17" s="56">
        <f t="shared" si="81"/>
        <v>0</v>
      </c>
      <c r="CH17" s="56">
        <f t="shared" si="81"/>
        <v>0</v>
      </c>
      <c r="CI17" s="56">
        <f t="shared" si="81"/>
        <v>0</v>
      </c>
      <c r="CK17" s="56">
        <f t="shared" ref="CK17:CS17" si="82">IFERROR(VLOOKUP($M15,traits,CK$2,FALSE),0)</f>
        <v>0</v>
      </c>
      <c r="CL17" s="56">
        <f t="shared" si="82"/>
        <v>0</v>
      </c>
      <c r="CM17" s="56">
        <f t="shared" si="82"/>
        <v>0</v>
      </c>
      <c r="CN17" s="56">
        <f t="shared" si="82"/>
        <v>0</v>
      </c>
      <c r="CO17" s="56">
        <f t="shared" si="82"/>
        <v>0</v>
      </c>
      <c r="CP17" s="56">
        <f t="shared" si="82"/>
        <v>0</v>
      </c>
      <c r="CQ17" s="56">
        <f t="shared" si="82"/>
        <v>0</v>
      </c>
      <c r="CR17" s="56">
        <f t="shared" si="82"/>
        <v>0</v>
      </c>
      <c r="CS17" s="56">
        <f t="shared" si="82"/>
        <v>0</v>
      </c>
      <c r="CU17" s="56">
        <f t="shared" ref="CU17:DC17" si="83">IFERROR(VLOOKUP($N15,traits,CU$2,FALSE),0)</f>
        <v>0</v>
      </c>
      <c r="CV17" s="56">
        <f t="shared" si="83"/>
        <v>0</v>
      </c>
      <c r="CW17" s="56">
        <f t="shared" si="83"/>
        <v>0</v>
      </c>
      <c r="CX17" s="56">
        <f t="shared" si="83"/>
        <v>0</v>
      </c>
      <c r="CY17" s="56">
        <f t="shared" si="83"/>
        <v>0</v>
      </c>
      <c r="CZ17" s="56">
        <f t="shared" si="83"/>
        <v>0</v>
      </c>
      <c r="DA17" s="56">
        <f t="shared" si="83"/>
        <v>0</v>
      </c>
      <c r="DB17" s="56">
        <f t="shared" si="83"/>
        <v>0</v>
      </c>
      <c r="DC17" s="56">
        <f t="shared" si="83"/>
        <v>0</v>
      </c>
      <c r="DF17" s="56">
        <f t="shared" ref="DF17:DN17" si="84">IFERROR(VLOOKUP($O15,Relics,DF$2,FALSE),0)</f>
        <v>0</v>
      </c>
      <c r="DG17" s="56">
        <f t="shared" si="84"/>
        <v>0</v>
      </c>
      <c r="DH17" s="56">
        <f t="shared" si="84"/>
        <v>0</v>
      </c>
      <c r="DI17" s="56">
        <f t="shared" si="84"/>
        <v>0</v>
      </c>
      <c r="DJ17" s="56">
        <f t="shared" si="84"/>
        <v>0</v>
      </c>
      <c r="DK17" s="56">
        <f t="shared" si="84"/>
        <v>0</v>
      </c>
      <c r="DL17" s="56">
        <f t="shared" si="84"/>
        <v>0</v>
      </c>
      <c r="DM17" s="56">
        <f t="shared" si="84"/>
        <v>0</v>
      </c>
      <c r="DN17" s="56">
        <f t="shared" si="84"/>
        <v>0</v>
      </c>
    </row>
    <row r="18" spans="1:118" x14ac:dyDescent="0.35">
      <c r="A18" s="83">
        <v>14</v>
      </c>
      <c r="B18" s="48"/>
      <c r="C18" s="49"/>
      <c r="D18" s="53">
        <f t="shared" si="3"/>
        <v>0</v>
      </c>
      <c r="E18" s="53">
        <f t="shared" si="4"/>
        <v>0</v>
      </c>
      <c r="F18" s="53">
        <f t="shared" si="5"/>
        <v>0</v>
      </c>
      <c r="G18" s="53">
        <f t="shared" si="6"/>
        <v>0</v>
      </c>
      <c r="H18" s="53">
        <f t="shared" si="7"/>
        <v>0</v>
      </c>
      <c r="I18" s="53">
        <f t="shared" si="8"/>
        <v>0</v>
      </c>
      <c r="J18" s="53">
        <f t="shared" si="9"/>
        <v>0</v>
      </c>
      <c r="K18" s="50"/>
      <c r="L18" s="50"/>
      <c r="M18" s="50"/>
      <c r="N18" s="50"/>
      <c r="O18" s="50"/>
      <c r="P18" s="54">
        <f t="shared" si="10"/>
        <v>0</v>
      </c>
      <c r="Q18" s="51"/>
      <c r="R18" s="54">
        <f t="shared" si="11"/>
        <v>0</v>
      </c>
      <c r="U18" s="56">
        <f>IF(C18=$U$2,0,IFERROR(VLOOKUP($C18,Stats!$B$4:$B$8,1,FALSE),"Company"))</f>
        <v>0</v>
      </c>
      <c r="V18" s="56">
        <f>IF(C18=$U$2,0,IFERROR(VLOOKUP(K18,Stats!$B$24:$B$27,1,FALSE),"Company"))</f>
        <v>0</v>
      </c>
      <c r="W18" s="56">
        <f>IF(D18=$U$2,0,IFERROR(VLOOKUP(L18,Stats!$B$24:$B$27,1,FALSE),"Company"))</f>
        <v>0</v>
      </c>
      <c r="X18" s="56">
        <f>IF(E18=$U$2,0,IFERROR(VLOOKUP(M18,Stats!$B$24:$B$27,1,FALSE),"Company"))</f>
        <v>0</v>
      </c>
      <c r="Y18" s="56">
        <f>IF(F18=$U$2,0,IFERROR(VLOOKUP(N18,Stats!$B$24:$B$27,1,FALSE),"Company"))</f>
        <v>0</v>
      </c>
      <c r="Z18" s="56">
        <f t="shared" si="12"/>
        <v>0</v>
      </c>
      <c r="AB18" s="71" t="s">
        <v>8</v>
      </c>
      <c r="AC18" s="56">
        <f>Stats!R8</f>
        <v>1</v>
      </c>
      <c r="AD18" s="56">
        <f>Stats!T8</f>
        <v>1</v>
      </c>
      <c r="AE18" s="56">
        <f>AJ8+AJ12</f>
        <v>0</v>
      </c>
      <c r="AM18" s="73">
        <f t="shared" si="22"/>
        <v>0</v>
      </c>
      <c r="AN18" s="73">
        <f t="shared" si="22"/>
        <v>0</v>
      </c>
      <c r="AO18" s="73">
        <f t="shared" si="22"/>
        <v>0</v>
      </c>
      <c r="AP18" s="73">
        <f t="shared" si="23"/>
        <v>0</v>
      </c>
      <c r="AQ18" s="73">
        <f t="shared" si="13"/>
        <v>0</v>
      </c>
      <c r="AR18" s="73">
        <f t="shared" si="14"/>
        <v>0</v>
      </c>
      <c r="AS18" s="73">
        <f t="shared" si="14"/>
        <v>0</v>
      </c>
      <c r="BC18" s="56">
        <f t="shared" si="15"/>
        <v>0</v>
      </c>
      <c r="BD18" s="56">
        <f t="shared" si="15"/>
        <v>0</v>
      </c>
      <c r="BG18" s="56">
        <f t="shared" ref="BG18:BO18" si="85">IFERROR(VLOOKUP($C16,stats,BG$2,FALSE),0)</f>
        <v>0</v>
      </c>
      <c r="BH18" s="56">
        <f t="shared" si="85"/>
        <v>0</v>
      </c>
      <c r="BI18" s="56">
        <f t="shared" si="85"/>
        <v>0</v>
      </c>
      <c r="BJ18" s="56">
        <f t="shared" si="85"/>
        <v>0</v>
      </c>
      <c r="BK18" s="56">
        <f t="shared" si="85"/>
        <v>0</v>
      </c>
      <c r="BL18" s="56">
        <f t="shared" si="85"/>
        <v>0</v>
      </c>
      <c r="BM18" s="56">
        <f t="shared" si="85"/>
        <v>0</v>
      </c>
      <c r="BN18" s="56">
        <f t="shared" si="85"/>
        <v>0</v>
      </c>
      <c r="BO18" s="56">
        <f t="shared" si="85"/>
        <v>0</v>
      </c>
      <c r="BQ18" s="56">
        <f t="shared" ref="BQ18:BY18" si="86">IFERROR(VLOOKUP($K16,traits,BQ$2,FALSE),0)</f>
        <v>0</v>
      </c>
      <c r="BR18" s="56">
        <f t="shared" si="86"/>
        <v>0</v>
      </c>
      <c r="BS18" s="56">
        <f t="shared" si="86"/>
        <v>0</v>
      </c>
      <c r="BT18" s="56">
        <f t="shared" si="86"/>
        <v>0</v>
      </c>
      <c r="BU18" s="56">
        <f t="shared" si="86"/>
        <v>0</v>
      </c>
      <c r="BV18" s="56">
        <f t="shared" si="86"/>
        <v>0</v>
      </c>
      <c r="BW18" s="56">
        <f t="shared" si="86"/>
        <v>0</v>
      </c>
      <c r="BX18" s="56">
        <f t="shared" si="86"/>
        <v>0</v>
      </c>
      <c r="BY18" s="56">
        <f t="shared" si="86"/>
        <v>0</v>
      </c>
      <c r="CA18" s="56">
        <f t="shared" ref="CA18:CI18" si="87">IFERROR(VLOOKUP($L16,traits,CA$2,FALSE),0)</f>
        <v>0</v>
      </c>
      <c r="CB18" s="56">
        <f t="shared" si="87"/>
        <v>0</v>
      </c>
      <c r="CC18" s="56">
        <f t="shared" si="87"/>
        <v>0</v>
      </c>
      <c r="CD18" s="56">
        <f t="shared" si="87"/>
        <v>0</v>
      </c>
      <c r="CE18" s="56">
        <f t="shared" si="87"/>
        <v>0</v>
      </c>
      <c r="CF18" s="56">
        <f t="shared" si="87"/>
        <v>0</v>
      </c>
      <c r="CG18" s="56">
        <f t="shared" si="87"/>
        <v>0</v>
      </c>
      <c r="CH18" s="56">
        <f t="shared" si="87"/>
        <v>0</v>
      </c>
      <c r="CI18" s="56">
        <f t="shared" si="87"/>
        <v>0</v>
      </c>
      <c r="CK18" s="56">
        <f t="shared" ref="CK18:CS18" si="88">IFERROR(VLOOKUP($M16,traits,CK$2,FALSE),0)</f>
        <v>0</v>
      </c>
      <c r="CL18" s="56">
        <f t="shared" si="88"/>
        <v>0</v>
      </c>
      <c r="CM18" s="56">
        <f t="shared" si="88"/>
        <v>0</v>
      </c>
      <c r="CN18" s="56">
        <f t="shared" si="88"/>
        <v>0</v>
      </c>
      <c r="CO18" s="56">
        <f t="shared" si="88"/>
        <v>0</v>
      </c>
      <c r="CP18" s="56">
        <f t="shared" si="88"/>
        <v>0</v>
      </c>
      <c r="CQ18" s="56">
        <f t="shared" si="88"/>
        <v>0</v>
      </c>
      <c r="CR18" s="56">
        <f t="shared" si="88"/>
        <v>0</v>
      </c>
      <c r="CS18" s="56">
        <f t="shared" si="88"/>
        <v>0</v>
      </c>
      <c r="CU18" s="56">
        <f t="shared" ref="CU18:DC18" si="89">IFERROR(VLOOKUP($N16,traits,CU$2,FALSE),0)</f>
        <v>0</v>
      </c>
      <c r="CV18" s="56">
        <f t="shared" si="89"/>
        <v>0</v>
      </c>
      <c r="CW18" s="56">
        <f t="shared" si="89"/>
        <v>0</v>
      </c>
      <c r="CX18" s="56">
        <f t="shared" si="89"/>
        <v>0</v>
      </c>
      <c r="CY18" s="56">
        <f t="shared" si="89"/>
        <v>0</v>
      </c>
      <c r="CZ18" s="56">
        <f t="shared" si="89"/>
        <v>0</v>
      </c>
      <c r="DA18" s="56">
        <f t="shared" si="89"/>
        <v>0</v>
      </c>
      <c r="DB18" s="56">
        <f t="shared" si="89"/>
        <v>0</v>
      </c>
      <c r="DC18" s="56">
        <f t="shared" si="89"/>
        <v>0</v>
      </c>
      <c r="DF18" s="56">
        <f t="shared" ref="DF18:DN18" si="90">IFERROR(VLOOKUP($O16,Relics,DF$2,FALSE),0)</f>
        <v>0</v>
      </c>
      <c r="DG18" s="56">
        <f t="shared" si="90"/>
        <v>0</v>
      </c>
      <c r="DH18" s="56">
        <f t="shared" si="90"/>
        <v>0</v>
      </c>
      <c r="DI18" s="56">
        <f t="shared" si="90"/>
        <v>0</v>
      </c>
      <c r="DJ18" s="56">
        <f t="shared" si="90"/>
        <v>0</v>
      </c>
      <c r="DK18" s="56">
        <f t="shared" si="90"/>
        <v>0</v>
      </c>
      <c r="DL18" s="56">
        <f t="shared" si="90"/>
        <v>0</v>
      </c>
      <c r="DM18" s="56">
        <f t="shared" si="90"/>
        <v>0</v>
      </c>
      <c r="DN18" s="56">
        <f t="shared" si="90"/>
        <v>0</v>
      </c>
    </row>
    <row r="19" spans="1:118" x14ac:dyDescent="0.35">
      <c r="A19" s="83">
        <v>15</v>
      </c>
      <c r="B19" s="48"/>
      <c r="C19" s="49"/>
      <c r="D19" s="53">
        <f t="shared" si="3"/>
        <v>0</v>
      </c>
      <c r="E19" s="53">
        <f t="shared" si="4"/>
        <v>0</v>
      </c>
      <c r="F19" s="53">
        <f t="shared" si="5"/>
        <v>0</v>
      </c>
      <c r="G19" s="53">
        <f t="shared" si="6"/>
        <v>0</v>
      </c>
      <c r="H19" s="53">
        <f t="shared" si="7"/>
        <v>0</v>
      </c>
      <c r="I19" s="53">
        <f t="shared" si="8"/>
        <v>0</v>
      </c>
      <c r="J19" s="53">
        <f t="shared" si="9"/>
        <v>0</v>
      </c>
      <c r="K19" s="50"/>
      <c r="L19" s="50"/>
      <c r="M19" s="50"/>
      <c r="N19" s="50"/>
      <c r="O19" s="50"/>
      <c r="P19" s="54">
        <f t="shared" si="10"/>
        <v>0</v>
      </c>
      <c r="Q19" s="51"/>
      <c r="R19" s="54">
        <f t="shared" si="11"/>
        <v>0</v>
      </c>
      <c r="U19" s="56">
        <f>IF(C19=$U$2,0,IFERROR(VLOOKUP($C19,Stats!$B$4:$B$8,1,FALSE),"Company"))</f>
        <v>0</v>
      </c>
      <c r="V19" s="56">
        <f>IF(C19=$U$2,0,IFERROR(VLOOKUP(K19,Stats!$B$24:$B$27,1,FALSE),"Company"))</f>
        <v>0</v>
      </c>
      <c r="W19" s="56">
        <f>IF(D19=$U$2,0,IFERROR(VLOOKUP(L19,Stats!$B$24:$B$27,1,FALSE),"Company"))</f>
        <v>0</v>
      </c>
      <c r="X19" s="56">
        <f>IF(E19=$U$2,0,IFERROR(VLOOKUP(M19,Stats!$B$24:$B$27,1,FALSE),"Company"))</f>
        <v>0</v>
      </c>
      <c r="Y19" s="56">
        <f>IF(F19=$U$2,0,IFERROR(VLOOKUP(N19,Stats!$B$24:$B$27,1,FALSE),"Company"))</f>
        <v>0</v>
      </c>
      <c r="Z19" s="56">
        <f t="shared" si="12"/>
        <v>0</v>
      </c>
      <c r="AM19" s="73">
        <f t="shared" si="22"/>
        <v>0</v>
      </c>
      <c r="AN19" s="73">
        <f t="shared" si="22"/>
        <v>0</v>
      </c>
      <c r="AO19" s="73">
        <f t="shared" si="22"/>
        <v>0</v>
      </c>
      <c r="AP19" s="73">
        <f t="shared" si="23"/>
        <v>0</v>
      </c>
      <c r="AQ19" s="73">
        <f>IF(AND(C17="Ordnance battery",(OR(K17="Shooting (mixed)",L17="Shooting (mixed)",M17="Shooting (mixed)",N17="Shooting (mixed)"))),1,IF(MAX(BL19,BV19,CF19,CP19,CZ19,DK19)&gt;1,MAX(BL19,BV19,CF19,CP19,CZ19,DK19),BL19+BV19+CF19+CP19+CZ19+DK19))</f>
        <v>0</v>
      </c>
      <c r="AR19" s="73">
        <f t="shared" si="14"/>
        <v>0</v>
      </c>
      <c r="AS19" s="73">
        <f t="shared" si="14"/>
        <v>0</v>
      </c>
      <c r="BC19" s="56">
        <f t="shared" si="15"/>
        <v>0</v>
      </c>
      <c r="BD19" s="56">
        <f t="shared" si="15"/>
        <v>0</v>
      </c>
      <c r="BG19" s="56">
        <f t="shared" ref="BG19:BO19" si="91">IFERROR(VLOOKUP($C17,stats,BG$2,FALSE),0)</f>
        <v>0</v>
      </c>
      <c r="BH19" s="56">
        <f t="shared" si="91"/>
        <v>0</v>
      </c>
      <c r="BI19" s="56">
        <f t="shared" si="91"/>
        <v>0</v>
      </c>
      <c r="BJ19" s="56">
        <f t="shared" si="91"/>
        <v>0</v>
      </c>
      <c r="BK19" s="56">
        <f t="shared" si="91"/>
        <v>0</v>
      </c>
      <c r="BL19" s="56">
        <f t="shared" si="91"/>
        <v>0</v>
      </c>
      <c r="BM19" s="56">
        <f t="shared" si="91"/>
        <v>0</v>
      </c>
      <c r="BN19" s="56">
        <f t="shared" si="91"/>
        <v>0</v>
      </c>
      <c r="BO19" s="56">
        <f t="shared" si="91"/>
        <v>0</v>
      </c>
      <c r="BQ19" s="56">
        <f t="shared" ref="BQ19:BY19" si="92">IFERROR(VLOOKUP($K17,traits,BQ$2,FALSE),0)</f>
        <v>0</v>
      </c>
      <c r="BR19" s="56">
        <f t="shared" si="92"/>
        <v>0</v>
      </c>
      <c r="BS19" s="56">
        <f t="shared" si="92"/>
        <v>0</v>
      </c>
      <c r="BT19" s="56">
        <f t="shared" si="92"/>
        <v>0</v>
      </c>
      <c r="BU19" s="56">
        <f t="shared" si="92"/>
        <v>0</v>
      </c>
      <c r="BV19" s="56">
        <f t="shared" si="92"/>
        <v>0</v>
      </c>
      <c r="BW19" s="56">
        <f t="shared" si="92"/>
        <v>0</v>
      </c>
      <c r="BX19" s="56">
        <f t="shared" si="92"/>
        <v>0</v>
      </c>
      <c r="BY19" s="56">
        <f t="shared" si="92"/>
        <v>0</v>
      </c>
      <c r="CA19" s="56">
        <f t="shared" ref="CA19:CI19" si="93">IFERROR(VLOOKUP($L17,traits,CA$2,FALSE),0)</f>
        <v>0</v>
      </c>
      <c r="CB19" s="56">
        <f t="shared" si="93"/>
        <v>0</v>
      </c>
      <c r="CC19" s="56">
        <f t="shared" si="93"/>
        <v>0</v>
      </c>
      <c r="CD19" s="56">
        <f t="shared" si="93"/>
        <v>0</v>
      </c>
      <c r="CE19" s="56">
        <f t="shared" si="93"/>
        <v>0</v>
      </c>
      <c r="CF19" s="56">
        <f t="shared" si="93"/>
        <v>0</v>
      </c>
      <c r="CG19" s="56">
        <f t="shared" si="93"/>
        <v>0</v>
      </c>
      <c r="CH19" s="56">
        <f t="shared" si="93"/>
        <v>0</v>
      </c>
      <c r="CI19" s="56">
        <f t="shared" si="93"/>
        <v>0</v>
      </c>
      <c r="CK19" s="56">
        <f t="shared" ref="CK19:CS19" si="94">IFERROR(VLOOKUP($M17,traits,CK$2,FALSE),0)</f>
        <v>0</v>
      </c>
      <c r="CL19" s="56">
        <f t="shared" si="94"/>
        <v>0</v>
      </c>
      <c r="CM19" s="56">
        <f t="shared" si="94"/>
        <v>0</v>
      </c>
      <c r="CN19" s="56">
        <f t="shared" si="94"/>
        <v>0</v>
      </c>
      <c r="CO19" s="56">
        <f t="shared" si="94"/>
        <v>0</v>
      </c>
      <c r="CP19" s="56">
        <f t="shared" si="94"/>
        <v>0</v>
      </c>
      <c r="CQ19" s="56">
        <f t="shared" si="94"/>
        <v>0</v>
      </c>
      <c r="CR19" s="56">
        <f t="shared" si="94"/>
        <v>0</v>
      </c>
      <c r="CS19" s="56">
        <f t="shared" si="94"/>
        <v>0</v>
      </c>
      <c r="CU19" s="56">
        <f t="shared" ref="CU19:DC19" si="95">IFERROR(VLOOKUP($N17,traits,CU$2,FALSE),0)</f>
        <v>0</v>
      </c>
      <c r="CV19" s="56">
        <f t="shared" si="95"/>
        <v>0</v>
      </c>
      <c r="CW19" s="56">
        <f t="shared" si="95"/>
        <v>0</v>
      </c>
      <c r="CX19" s="56">
        <f t="shared" si="95"/>
        <v>0</v>
      </c>
      <c r="CY19" s="56">
        <f t="shared" si="95"/>
        <v>0</v>
      </c>
      <c r="CZ19" s="56">
        <f t="shared" si="95"/>
        <v>0</v>
      </c>
      <c r="DA19" s="56">
        <f t="shared" si="95"/>
        <v>0</v>
      </c>
      <c r="DB19" s="56">
        <f t="shared" si="95"/>
        <v>0</v>
      </c>
      <c r="DC19" s="56">
        <f t="shared" si="95"/>
        <v>0</v>
      </c>
      <c r="DF19" s="56">
        <f t="shared" ref="DF19:DN19" si="96">IFERROR(VLOOKUP($O17,Relics,DF$2,FALSE),0)</f>
        <v>0</v>
      </c>
      <c r="DG19" s="56">
        <f t="shared" si="96"/>
        <v>0</v>
      </c>
      <c r="DH19" s="56">
        <f t="shared" si="96"/>
        <v>0</v>
      </c>
      <c r="DI19" s="56">
        <f t="shared" si="96"/>
        <v>0</v>
      </c>
      <c r="DJ19" s="56">
        <f t="shared" si="96"/>
        <v>0</v>
      </c>
      <c r="DK19" s="56">
        <f t="shared" si="96"/>
        <v>0</v>
      </c>
      <c r="DL19" s="56">
        <f t="shared" si="96"/>
        <v>0</v>
      </c>
      <c r="DM19" s="56">
        <f t="shared" si="96"/>
        <v>0</v>
      </c>
      <c r="DN19" s="56">
        <f t="shared" si="96"/>
        <v>0</v>
      </c>
    </row>
    <row r="20" spans="1:118" x14ac:dyDescent="0.35">
      <c r="A20" s="83">
        <v>16</v>
      </c>
      <c r="B20" s="48"/>
      <c r="C20" s="49"/>
      <c r="D20" s="53">
        <f t="shared" si="3"/>
        <v>0</v>
      </c>
      <c r="E20" s="53">
        <f t="shared" si="4"/>
        <v>0</v>
      </c>
      <c r="F20" s="53">
        <f t="shared" si="5"/>
        <v>0</v>
      </c>
      <c r="G20" s="53">
        <f t="shared" si="6"/>
        <v>0</v>
      </c>
      <c r="H20" s="53">
        <f t="shared" si="7"/>
        <v>0</v>
      </c>
      <c r="I20" s="53">
        <f t="shared" si="8"/>
        <v>0</v>
      </c>
      <c r="J20" s="53">
        <f t="shared" si="9"/>
        <v>0</v>
      </c>
      <c r="K20" s="50"/>
      <c r="L20" s="50"/>
      <c r="M20" s="50"/>
      <c r="N20" s="50"/>
      <c r="O20" s="50"/>
      <c r="P20" s="54">
        <f t="shared" si="10"/>
        <v>0</v>
      </c>
      <c r="Q20" s="51"/>
      <c r="R20" s="54">
        <f t="shared" si="11"/>
        <v>0</v>
      </c>
      <c r="U20" s="56">
        <f>IF(C20=$U$2,0,IFERROR(VLOOKUP($C20,Stats!$B$4:$B$8,1,FALSE),"Company"))</f>
        <v>0</v>
      </c>
      <c r="V20" s="56">
        <f>IF(C20=$U$2,0,IFERROR(VLOOKUP(K20,Stats!$B$24:$B$27,1,FALSE),"Company"))</f>
        <v>0</v>
      </c>
      <c r="W20" s="56">
        <f>IF(D20=$U$2,0,IFERROR(VLOOKUP(L20,Stats!$B$24:$B$27,1,FALSE),"Company"))</f>
        <v>0</v>
      </c>
      <c r="X20" s="56">
        <f>IF(E20=$U$2,0,IFERROR(VLOOKUP(M20,Stats!$B$24:$B$27,1,FALSE),"Company"))</f>
        <v>0</v>
      </c>
      <c r="Y20" s="56">
        <f>IF(F20=$U$2,0,IFERROR(VLOOKUP(N20,Stats!$B$24:$B$27,1,FALSE),"Company"))</f>
        <v>0</v>
      </c>
      <c r="Z20" s="56">
        <f t="shared" si="12"/>
        <v>0</v>
      </c>
      <c r="AM20" s="73">
        <f t="shared" si="22"/>
        <v>0</v>
      </c>
      <c r="AN20" s="73">
        <f t="shared" si="22"/>
        <v>0</v>
      </c>
      <c r="AO20" s="73">
        <f t="shared" si="22"/>
        <v>0</v>
      </c>
      <c r="AP20" s="73">
        <f t="shared" si="23"/>
        <v>0</v>
      </c>
      <c r="AQ20" s="73">
        <f t="shared" si="13"/>
        <v>0</v>
      </c>
      <c r="AR20" s="73">
        <f t="shared" si="14"/>
        <v>0</v>
      </c>
      <c r="AS20" s="73">
        <f t="shared" si="14"/>
        <v>0</v>
      </c>
      <c r="BC20" s="56">
        <f t="shared" si="15"/>
        <v>0</v>
      </c>
      <c r="BD20" s="56">
        <f t="shared" si="15"/>
        <v>0</v>
      </c>
      <c r="BG20" s="56">
        <f t="shared" ref="BG20:BO20" si="97">IFERROR(VLOOKUP($C18,stats,BG$2,FALSE),0)</f>
        <v>0</v>
      </c>
      <c r="BH20" s="56">
        <f t="shared" si="97"/>
        <v>0</v>
      </c>
      <c r="BI20" s="56">
        <f t="shared" si="97"/>
        <v>0</v>
      </c>
      <c r="BJ20" s="56">
        <f t="shared" si="97"/>
        <v>0</v>
      </c>
      <c r="BK20" s="56">
        <f t="shared" si="97"/>
        <v>0</v>
      </c>
      <c r="BL20" s="56">
        <f t="shared" si="97"/>
        <v>0</v>
      </c>
      <c r="BM20" s="56">
        <f t="shared" si="97"/>
        <v>0</v>
      </c>
      <c r="BN20" s="56">
        <f t="shared" si="97"/>
        <v>0</v>
      </c>
      <c r="BO20" s="56">
        <f t="shared" si="97"/>
        <v>0</v>
      </c>
      <c r="BQ20" s="56">
        <f t="shared" ref="BQ20:BY20" si="98">IFERROR(VLOOKUP($K18,traits,BQ$2,FALSE),0)</f>
        <v>0</v>
      </c>
      <c r="BR20" s="56">
        <f t="shared" si="98"/>
        <v>0</v>
      </c>
      <c r="BS20" s="56">
        <f t="shared" si="98"/>
        <v>0</v>
      </c>
      <c r="BT20" s="56">
        <f t="shared" si="98"/>
        <v>0</v>
      </c>
      <c r="BU20" s="56">
        <f t="shared" si="98"/>
        <v>0</v>
      </c>
      <c r="BV20" s="56">
        <f t="shared" si="98"/>
        <v>0</v>
      </c>
      <c r="BW20" s="56">
        <f t="shared" si="98"/>
        <v>0</v>
      </c>
      <c r="BX20" s="56">
        <f t="shared" si="98"/>
        <v>0</v>
      </c>
      <c r="BY20" s="56">
        <f t="shared" si="98"/>
        <v>0</v>
      </c>
      <c r="CA20" s="56">
        <f t="shared" ref="CA20:CI20" si="99">IFERROR(VLOOKUP($L18,traits,CA$2,FALSE),0)</f>
        <v>0</v>
      </c>
      <c r="CB20" s="56">
        <f t="shared" si="99"/>
        <v>0</v>
      </c>
      <c r="CC20" s="56">
        <f t="shared" si="99"/>
        <v>0</v>
      </c>
      <c r="CD20" s="56">
        <f t="shared" si="99"/>
        <v>0</v>
      </c>
      <c r="CE20" s="56">
        <f t="shared" si="99"/>
        <v>0</v>
      </c>
      <c r="CF20" s="56">
        <f t="shared" si="99"/>
        <v>0</v>
      </c>
      <c r="CG20" s="56">
        <f t="shared" si="99"/>
        <v>0</v>
      </c>
      <c r="CH20" s="56">
        <f t="shared" si="99"/>
        <v>0</v>
      </c>
      <c r="CI20" s="56">
        <f t="shared" si="99"/>
        <v>0</v>
      </c>
      <c r="CK20" s="56">
        <f t="shared" ref="CK20:CS20" si="100">IFERROR(VLOOKUP($M18,traits,CK$2,FALSE),0)</f>
        <v>0</v>
      </c>
      <c r="CL20" s="56">
        <f t="shared" si="100"/>
        <v>0</v>
      </c>
      <c r="CM20" s="56">
        <f t="shared" si="100"/>
        <v>0</v>
      </c>
      <c r="CN20" s="56">
        <f t="shared" si="100"/>
        <v>0</v>
      </c>
      <c r="CO20" s="56">
        <f t="shared" si="100"/>
        <v>0</v>
      </c>
      <c r="CP20" s="56">
        <f t="shared" si="100"/>
        <v>0</v>
      </c>
      <c r="CQ20" s="56">
        <f t="shared" si="100"/>
        <v>0</v>
      </c>
      <c r="CR20" s="56">
        <f t="shared" si="100"/>
        <v>0</v>
      </c>
      <c r="CS20" s="56">
        <f t="shared" si="100"/>
        <v>0</v>
      </c>
      <c r="CU20" s="56">
        <f t="shared" ref="CU20:DC20" si="101">IFERROR(VLOOKUP($N18,traits,CU$2,FALSE),0)</f>
        <v>0</v>
      </c>
      <c r="CV20" s="56">
        <f t="shared" si="101"/>
        <v>0</v>
      </c>
      <c r="CW20" s="56">
        <f t="shared" si="101"/>
        <v>0</v>
      </c>
      <c r="CX20" s="56">
        <f t="shared" si="101"/>
        <v>0</v>
      </c>
      <c r="CY20" s="56">
        <f t="shared" si="101"/>
        <v>0</v>
      </c>
      <c r="CZ20" s="56">
        <f t="shared" si="101"/>
        <v>0</v>
      </c>
      <c r="DA20" s="56">
        <f t="shared" si="101"/>
        <v>0</v>
      </c>
      <c r="DB20" s="56">
        <f t="shared" si="101"/>
        <v>0</v>
      </c>
      <c r="DC20" s="56">
        <f t="shared" si="101"/>
        <v>0</v>
      </c>
      <c r="DF20" s="56">
        <f t="shared" ref="DF20:DN20" si="102">IFERROR(VLOOKUP($O18,Relics,DF$2,FALSE),0)</f>
        <v>0</v>
      </c>
      <c r="DG20" s="56">
        <f t="shared" si="102"/>
        <v>0</v>
      </c>
      <c r="DH20" s="56">
        <f t="shared" si="102"/>
        <v>0</v>
      </c>
      <c r="DI20" s="56">
        <f t="shared" si="102"/>
        <v>0</v>
      </c>
      <c r="DJ20" s="56">
        <f t="shared" si="102"/>
        <v>0</v>
      </c>
      <c r="DK20" s="56">
        <f t="shared" si="102"/>
        <v>0</v>
      </c>
      <c r="DL20" s="56">
        <f t="shared" si="102"/>
        <v>0</v>
      </c>
      <c r="DM20" s="56">
        <f t="shared" si="102"/>
        <v>0</v>
      </c>
      <c r="DN20" s="56">
        <f t="shared" si="102"/>
        <v>0</v>
      </c>
    </row>
    <row r="21" spans="1:118" x14ac:dyDescent="0.35">
      <c r="A21" s="83">
        <v>17</v>
      </c>
      <c r="B21" s="48"/>
      <c r="C21" s="49"/>
      <c r="D21" s="53">
        <f t="shared" si="3"/>
        <v>0</v>
      </c>
      <c r="E21" s="53">
        <f t="shared" ref="E21:E29" si="103">AN23</f>
        <v>0</v>
      </c>
      <c r="F21" s="53">
        <f t="shared" ref="F21:F29" si="104">AO23</f>
        <v>0</v>
      </c>
      <c r="G21" s="53">
        <f t="shared" ref="G21:G29" si="105">AP23</f>
        <v>0</v>
      </c>
      <c r="H21" s="53">
        <f t="shared" ref="H21:H29" si="106">AQ23</f>
        <v>0</v>
      </c>
      <c r="I21" s="53">
        <f t="shared" ref="I21:I29" si="107">AR23</f>
        <v>0</v>
      </c>
      <c r="J21" s="53">
        <f t="shared" ref="J21:J29" si="108">AS23</f>
        <v>0</v>
      </c>
      <c r="K21" s="50"/>
      <c r="L21" s="50"/>
      <c r="M21" s="50"/>
      <c r="N21" s="50"/>
      <c r="O21" s="50"/>
      <c r="P21" s="54">
        <f t="shared" si="10"/>
        <v>0</v>
      </c>
      <c r="Q21" s="51"/>
      <c r="R21" s="54">
        <f t="shared" si="11"/>
        <v>0</v>
      </c>
      <c r="U21" s="56">
        <f>IF(C21=$U$2,0,IFERROR(VLOOKUP($C21,Stats!$B$4:$B$8,1,FALSE),"Company"))</f>
        <v>0</v>
      </c>
      <c r="V21" s="56">
        <f>IF(C21=$U$2,0,IFERROR(VLOOKUP(K21,Stats!$B$24:$B$27,1,FALSE),"Company"))</f>
        <v>0</v>
      </c>
      <c r="W21" s="56">
        <f>IF(D21=$U$2,0,IFERROR(VLOOKUP(L21,Stats!$B$24:$B$27,1,FALSE),"Company"))</f>
        <v>0</v>
      </c>
      <c r="X21" s="56">
        <f>IF(E21=$U$2,0,IFERROR(VLOOKUP(M21,Stats!$B$24:$B$27,1,FALSE),"Company"))</f>
        <v>0</v>
      </c>
      <c r="Y21" s="56">
        <f>IF(F21=$U$2,0,IFERROR(VLOOKUP(N21,Stats!$B$24:$B$27,1,FALSE),"Company"))</f>
        <v>0</v>
      </c>
      <c r="Z21" s="56">
        <f t="shared" si="12"/>
        <v>0</v>
      </c>
      <c r="AM21" s="73">
        <f t="shared" si="22"/>
        <v>0</v>
      </c>
      <c r="AN21" s="73">
        <f t="shared" si="22"/>
        <v>0</v>
      </c>
      <c r="AO21" s="73">
        <f t="shared" si="22"/>
        <v>0</v>
      </c>
      <c r="AP21" s="73">
        <f t="shared" si="23"/>
        <v>0</v>
      </c>
      <c r="AQ21" s="73">
        <f t="shared" si="13"/>
        <v>0</v>
      </c>
      <c r="AR21" s="73">
        <f t="shared" si="14"/>
        <v>0</v>
      </c>
      <c r="AS21" s="73">
        <f t="shared" si="14"/>
        <v>0</v>
      </c>
      <c r="BC21" s="56">
        <f t="shared" si="15"/>
        <v>0</v>
      </c>
      <c r="BD21" s="56">
        <f t="shared" si="15"/>
        <v>0</v>
      </c>
      <c r="BG21" s="56">
        <f t="shared" ref="BG21:BO21" si="109">IFERROR(VLOOKUP($C19,stats,BG$2,FALSE),0)</f>
        <v>0</v>
      </c>
      <c r="BH21" s="56">
        <f t="shared" si="109"/>
        <v>0</v>
      </c>
      <c r="BI21" s="56">
        <f t="shared" si="109"/>
        <v>0</v>
      </c>
      <c r="BJ21" s="56">
        <f t="shared" si="109"/>
        <v>0</v>
      </c>
      <c r="BK21" s="56">
        <f t="shared" si="109"/>
        <v>0</v>
      </c>
      <c r="BL21" s="56">
        <f t="shared" si="109"/>
        <v>0</v>
      </c>
      <c r="BM21" s="56">
        <f t="shared" si="109"/>
        <v>0</v>
      </c>
      <c r="BN21" s="56">
        <f t="shared" si="109"/>
        <v>0</v>
      </c>
      <c r="BO21" s="56">
        <f t="shared" si="109"/>
        <v>0</v>
      </c>
      <c r="BQ21" s="56">
        <f t="shared" ref="BQ21:BY21" si="110">IFERROR(VLOOKUP($K19,traits,BQ$2,FALSE),0)</f>
        <v>0</v>
      </c>
      <c r="BR21" s="56">
        <f t="shared" si="110"/>
        <v>0</v>
      </c>
      <c r="BS21" s="56">
        <f t="shared" si="110"/>
        <v>0</v>
      </c>
      <c r="BT21" s="56">
        <f t="shared" si="110"/>
        <v>0</v>
      </c>
      <c r="BU21" s="56">
        <f t="shared" si="110"/>
        <v>0</v>
      </c>
      <c r="BV21" s="56">
        <f t="shared" si="110"/>
        <v>0</v>
      </c>
      <c r="BW21" s="56">
        <f t="shared" si="110"/>
        <v>0</v>
      </c>
      <c r="BX21" s="56">
        <f t="shared" si="110"/>
        <v>0</v>
      </c>
      <c r="BY21" s="56">
        <f t="shared" si="110"/>
        <v>0</v>
      </c>
      <c r="CA21" s="56">
        <f t="shared" ref="CA21:CI21" si="111">IFERROR(VLOOKUP($L19,traits,CA$2,FALSE),0)</f>
        <v>0</v>
      </c>
      <c r="CB21" s="56">
        <f t="shared" si="111"/>
        <v>0</v>
      </c>
      <c r="CC21" s="56">
        <f t="shared" si="111"/>
        <v>0</v>
      </c>
      <c r="CD21" s="56">
        <f t="shared" si="111"/>
        <v>0</v>
      </c>
      <c r="CE21" s="56">
        <f t="shared" si="111"/>
        <v>0</v>
      </c>
      <c r="CF21" s="56">
        <f t="shared" si="111"/>
        <v>0</v>
      </c>
      <c r="CG21" s="56">
        <f t="shared" si="111"/>
        <v>0</v>
      </c>
      <c r="CH21" s="56">
        <f t="shared" si="111"/>
        <v>0</v>
      </c>
      <c r="CI21" s="56">
        <f t="shared" si="111"/>
        <v>0</v>
      </c>
      <c r="CK21" s="56">
        <f t="shared" ref="CK21:CS21" si="112">IFERROR(VLOOKUP($M19,traits,CK$2,FALSE),0)</f>
        <v>0</v>
      </c>
      <c r="CL21" s="56">
        <f t="shared" si="112"/>
        <v>0</v>
      </c>
      <c r="CM21" s="56">
        <f t="shared" si="112"/>
        <v>0</v>
      </c>
      <c r="CN21" s="56">
        <f t="shared" si="112"/>
        <v>0</v>
      </c>
      <c r="CO21" s="56">
        <f t="shared" si="112"/>
        <v>0</v>
      </c>
      <c r="CP21" s="56">
        <f t="shared" si="112"/>
        <v>0</v>
      </c>
      <c r="CQ21" s="56">
        <f t="shared" si="112"/>
        <v>0</v>
      </c>
      <c r="CR21" s="56">
        <f t="shared" si="112"/>
        <v>0</v>
      </c>
      <c r="CS21" s="56">
        <f t="shared" si="112"/>
        <v>0</v>
      </c>
      <c r="CU21" s="56">
        <f t="shared" ref="CU21:DC21" si="113">IFERROR(VLOOKUP($N19,traits,CU$2,FALSE),0)</f>
        <v>0</v>
      </c>
      <c r="CV21" s="56">
        <f t="shared" si="113"/>
        <v>0</v>
      </c>
      <c r="CW21" s="56">
        <f t="shared" si="113"/>
        <v>0</v>
      </c>
      <c r="CX21" s="56">
        <f t="shared" si="113"/>
        <v>0</v>
      </c>
      <c r="CY21" s="56">
        <f t="shared" si="113"/>
        <v>0</v>
      </c>
      <c r="CZ21" s="56">
        <f t="shared" si="113"/>
        <v>0</v>
      </c>
      <c r="DA21" s="56">
        <f t="shared" si="113"/>
        <v>0</v>
      </c>
      <c r="DB21" s="56">
        <f t="shared" si="113"/>
        <v>0</v>
      </c>
      <c r="DC21" s="56">
        <f t="shared" si="113"/>
        <v>0</v>
      </c>
      <c r="DF21" s="56">
        <f t="shared" ref="DF21:DN21" si="114">IFERROR(VLOOKUP($O19,Relics,DF$2,FALSE),0)</f>
        <v>0</v>
      </c>
      <c r="DG21" s="56">
        <f t="shared" si="114"/>
        <v>0</v>
      </c>
      <c r="DH21" s="56">
        <f t="shared" si="114"/>
        <v>0</v>
      </c>
      <c r="DI21" s="56">
        <f t="shared" si="114"/>
        <v>0</v>
      </c>
      <c r="DJ21" s="56">
        <f t="shared" si="114"/>
        <v>0</v>
      </c>
      <c r="DK21" s="56">
        <f t="shared" si="114"/>
        <v>0</v>
      </c>
      <c r="DL21" s="56">
        <f t="shared" si="114"/>
        <v>0</v>
      </c>
      <c r="DM21" s="56">
        <f t="shared" si="114"/>
        <v>0</v>
      </c>
      <c r="DN21" s="56">
        <f t="shared" si="114"/>
        <v>0</v>
      </c>
    </row>
    <row r="22" spans="1:118" x14ac:dyDescent="0.35">
      <c r="A22" s="83">
        <v>18</v>
      </c>
      <c r="B22" s="48"/>
      <c r="C22" s="49"/>
      <c r="D22" s="53">
        <f t="shared" si="3"/>
        <v>0</v>
      </c>
      <c r="E22" s="53">
        <f t="shared" si="103"/>
        <v>0</v>
      </c>
      <c r="F22" s="53">
        <f t="shared" si="104"/>
        <v>0</v>
      </c>
      <c r="G22" s="53">
        <f t="shared" si="105"/>
        <v>0</v>
      </c>
      <c r="H22" s="53">
        <f t="shared" si="106"/>
        <v>0</v>
      </c>
      <c r="I22" s="53">
        <f t="shared" si="107"/>
        <v>0</v>
      </c>
      <c r="J22" s="53">
        <f t="shared" si="108"/>
        <v>0</v>
      </c>
      <c r="K22" s="50"/>
      <c r="L22" s="50"/>
      <c r="M22" s="50"/>
      <c r="N22" s="50"/>
      <c r="O22" s="50"/>
      <c r="P22" s="54">
        <f t="shared" si="10"/>
        <v>0</v>
      </c>
      <c r="Q22" s="51"/>
      <c r="R22" s="54">
        <f t="shared" si="11"/>
        <v>0</v>
      </c>
      <c r="U22" s="56">
        <f>IF(C22=$U$2,0,IFERROR(VLOOKUP($C22,Stats!$B$4:$B$8,1,FALSE),"Company"))</f>
        <v>0</v>
      </c>
      <c r="V22" s="56">
        <f>IF(C22=$U$2,0,IFERROR(VLOOKUP(K22,Stats!$B$24:$B$27,1,FALSE),"Company"))</f>
        <v>0</v>
      </c>
      <c r="W22" s="56">
        <f>IF(D22=$U$2,0,IFERROR(VLOOKUP(L22,Stats!$B$24:$B$27,1,FALSE),"Company"))</f>
        <v>0</v>
      </c>
      <c r="X22" s="56">
        <f>IF(E22=$U$2,0,IFERROR(VLOOKUP(M22,Stats!$B$24:$B$27,1,FALSE),"Company"))</f>
        <v>0</v>
      </c>
      <c r="Y22" s="56">
        <f>IF(F22=$U$2,0,IFERROR(VLOOKUP(N22,Stats!$B$24:$B$27,1,FALSE),"Company"))</f>
        <v>0</v>
      </c>
      <c r="Z22" s="56">
        <f t="shared" si="12"/>
        <v>0</v>
      </c>
      <c r="AM22" s="73">
        <f t="shared" si="22"/>
        <v>0</v>
      </c>
      <c r="AN22" s="73">
        <f t="shared" si="22"/>
        <v>0</v>
      </c>
      <c r="AO22" s="73">
        <f t="shared" si="22"/>
        <v>0</v>
      </c>
      <c r="AP22" s="73">
        <f t="shared" si="23"/>
        <v>0</v>
      </c>
      <c r="AQ22" s="73">
        <f t="shared" si="13"/>
        <v>0</v>
      </c>
      <c r="AR22" s="73">
        <f t="shared" si="14"/>
        <v>0</v>
      </c>
      <c r="AS22" s="73">
        <f t="shared" si="14"/>
        <v>0</v>
      </c>
      <c r="BC22" s="56">
        <f t="shared" si="15"/>
        <v>0</v>
      </c>
      <c r="BD22" s="56">
        <f t="shared" si="15"/>
        <v>0</v>
      </c>
      <c r="BG22" s="56">
        <f t="shared" ref="BG22:BO22" si="115">IFERROR(VLOOKUP($C20,stats,BG$2,FALSE),0)</f>
        <v>0</v>
      </c>
      <c r="BH22" s="56">
        <f t="shared" si="115"/>
        <v>0</v>
      </c>
      <c r="BI22" s="56">
        <f t="shared" si="115"/>
        <v>0</v>
      </c>
      <c r="BJ22" s="56">
        <f t="shared" si="115"/>
        <v>0</v>
      </c>
      <c r="BK22" s="56">
        <f t="shared" si="115"/>
        <v>0</v>
      </c>
      <c r="BL22" s="56">
        <f t="shared" si="115"/>
        <v>0</v>
      </c>
      <c r="BM22" s="56">
        <f t="shared" si="115"/>
        <v>0</v>
      </c>
      <c r="BN22" s="56">
        <f t="shared" si="115"/>
        <v>0</v>
      </c>
      <c r="BO22" s="56">
        <f t="shared" si="115"/>
        <v>0</v>
      </c>
      <c r="BQ22" s="56">
        <f t="shared" ref="BQ22:BY22" si="116">IFERROR(VLOOKUP($K20,traits,BQ$2,FALSE),0)</f>
        <v>0</v>
      </c>
      <c r="BR22" s="56">
        <f t="shared" si="116"/>
        <v>0</v>
      </c>
      <c r="BS22" s="56">
        <f t="shared" si="116"/>
        <v>0</v>
      </c>
      <c r="BT22" s="56">
        <f t="shared" si="116"/>
        <v>0</v>
      </c>
      <c r="BU22" s="56">
        <f t="shared" si="116"/>
        <v>0</v>
      </c>
      <c r="BV22" s="56">
        <f t="shared" si="116"/>
        <v>0</v>
      </c>
      <c r="BW22" s="56">
        <f t="shared" si="116"/>
        <v>0</v>
      </c>
      <c r="BX22" s="56">
        <f t="shared" si="116"/>
        <v>0</v>
      </c>
      <c r="BY22" s="56">
        <f t="shared" si="116"/>
        <v>0</v>
      </c>
      <c r="CA22" s="56">
        <f t="shared" ref="CA22:CI22" si="117">IFERROR(VLOOKUP($L20,traits,CA$2,FALSE),0)</f>
        <v>0</v>
      </c>
      <c r="CB22" s="56">
        <f t="shared" si="117"/>
        <v>0</v>
      </c>
      <c r="CC22" s="56">
        <f t="shared" si="117"/>
        <v>0</v>
      </c>
      <c r="CD22" s="56">
        <f t="shared" si="117"/>
        <v>0</v>
      </c>
      <c r="CE22" s="56">
        <f t="shared" si="117"/>
        <v>0</v>
      </c>
      <c r="CF22" s="56">
        <f t="shared" si="117"/>
        <v>0</v>
      </c>
      <c r="CG22" s="56">
        <f t="shared" si="117"/>
        <v>0</v>
      </c>
      <c r="CH22" s="56">
        <f t="shared" si="117"/>
        <v>0</v>
      </c>
      <c r="CI22" s="56">
        <f t="shared" si="117"/>
        <v>0</v>
      </c>
      <c r="CK22" s="56">
        <f t="shared" ref="CK22:CS22" si="118">IFERROR(VLOOKUP($M20,traits,CK$2,FALSE),0)</f>
        <v>0</v>
      </c>
      <c r="CL22" s="56">
        <f t="shared" si="118"/>
        <v>0</v>
      </c>
      <c r="CM22" s="56">
        <f t="shared" si="118"/>
        <v>0</v>
      </c>
      <c r="CN22" s="56">
        <f t="shared" si="118"/>
        <v>0</v>
      </c>
      <c r="CO22" s="56">
        <f t="shared" si="118"/>
        <v>0</v>
      </c>
      <c r="CP22" s="56">
        <f t="shared" si="118"/>
        <v>0</v>
      </c>
      <c r="CQ22" s="56">
        <f t="shared" si="118"/>
        <v>0</v>
      </c>
      <c r="CR22" s="56">
        <f t="shared" si="118"/>
        <v>0</v>
      </c>
      <c r="CS22" s="56">
        <f t="shared" si="118"/>
        <v>0</v>
      </c>
      <c r="CU22" s="56">
        <f t="shared" ref="CU22:DC22" si="119">IFERROR(VLOOKUP($N20,traits,CU$2,FALSE),0)</f>
        <v>0</v>
      </c>
      <c r="CV22" s="56">
        <f t="shared" si="119"/>
        <v>0</v>
      </c>
      <c r="CW22" s="56">
        <f t="shared" si="119"/>
        <v>0</v>
      </c>
      <c r="CX22" s="56">
        <f t="shared" si="119"/>
        <v>0</v>
      </c>
      <c r="CY22" s="56">
        <f t="shared" si="119"/>
        <v>0</v>
      </c>
      <c r="CZ22" s="56">
        <f t="shared" si="119"/>
        <v>0</v>
      </c>
      <c r="DA22" s="56">
        <f t="shared" si="119"/>
        <v>0</v>
      </c>
      <c r="DB22" s="56">
        <f t="shared" si="119"/>
        <v>0</v>
      </c>
      <c r="DC22" s="56">
        <f t="shared" si="119"/>
        <v>0</v>
      </c>
      <c r="DF22" s="56">
        <f t="shared" ref="DF22:DN22" si="120">IFERROR(VLOOKUP($O20,Relics,DF$2,FALSE),0)</f>
        <v>0</v>
      </c>
      <c r="DG22" s="56">
        <f t="shared" si="120"/>
        <v>0</v>
      </c>
      <c r="DH22" s="56">
        <f t="shared" si="120"/>
        <v>0</v>
      </c>
      <c r="DI22" s="56">
        <f t="shared" si="120"/>
        <v>0</v>
      </c>
      <c r="DJ22" s="56">
        <f t="shared" si="120"/>
        <v>0</v>
      </c>
      <c r="DK22" s="56">
        <f t="shared" si="120"/>
        <v>0</v>
      </c>
      <c r="DL22" s="56">
        <f t="shared" si="120"/>
        <v>0</v>
      </c>
      <c r="DM22" s="56">
        <f t="shared" si="120"/>
        <v>0</v>
      </c>
      <c r="DN22" s="56">
        <f t="shared" si="120"/>
        <v>0</v>
      </c>
    </row>
    <row r="23" spans="1:118" x14ac:dyDescent="0.35">
      <c r="A23" s="83">
        <v>19</v>
      </c>
      <c r="B23" s="48"/>
      <c r="C23" s="49"/>
      <c r="D23" s="53">
        <f t="shared" si="3"/>
        <v>0</v>
      </c>
      <c r="E23" s="53">
        <f t="shared" si="103"/>
        <v>0</v>
      </c>
      <c r="F23" s="53">
        <f t="shared" si="104"/>
        <v>0</v>
      </c>
      <c r="G23" s="53">
        <f t="shared" si="105"/>
        <v>0</v>
      </c>
      <c r="H23" s="53">
        <f t="shared" si="106"/>
        <v>0</v>
      </c>
      <c r="I23" s="53">
        <f t="shared" si="107"/>
        <v>0</v>
      </c>
      <c r="J23" s="53">
        <f t="shared" si="108"/>
        <v>0</v>
      </c>
      <c r="K23" s="50"/>
      <c r="L23" s="50"/>
      <c r="M23" s="50"/>
      <c r="N23" s="50"/>
      <c r="O23" s="50"/>
      <c r="P23" s="54">
        <f t="shared" si="10"/>
        <v>0</v>
      </c>
      <c r="Q23" s="51"/>
      <c r="R23" s="54">
        <f t="shared" si="11"/>
        <v>0</v>
      </c>
      <c r="U23" s="56">
        <f>IF(C23=$U$2,0,IFERROR(VLOOKUP($C23,Stats!$B$4:$B$8,1,FALSE),"Company"))</f>
        <v>0</v>
      </c>
      <c r="V23" s="56">
        <f>IF(C23=$U$2,0,IFERROR(VLOOKUP(K23,Stats!$B$24:$B$27,1,FALSE),"Company"))</f>
        <v>0</v>
      </c>
      <c r="W23" s="56">
        <f>IF(D23=$U$2,0,IFERROR(VLOOKUP(L23,Stats!$B$24:$B$27,1,FALSE),"Company"))</f>
        <v>0</v>
      </c>
      <c r="X23" s="56">
        <f>IF(E23=$U$2,0,IFERROR(VLOOKUP(M23,Stats!$B$24:$B$27,1,FALSE),"Company"))</f>
        <v>0</v>
      </c>
      <c r="Y23" s="56">
        <f>IF(F23=$U$2,0,IFERROR(VLOOKUP(N23,Stats!$B$24:$B$27,1,FALSE),"Company"))</f>
        <v>0</v>
      </c>
      <c r="Z23" s="56">
        <f t="shared" si="12"/>
        <v>0</v>
      </c>
      <c r="AM23" s="73">
        <f t="shared" si="22"/>
        <v>0</v>
      </c>
      <c r="AN23" s="73">
        <f t="shared" si="22"/>
        <v>0</v>
      </c>
      <c r="AO23" s="73">
        <f t="shared" si="22"/>
        <v>0</v>
      </c>
      <c r="AP23" s="73">
        <f t="shared" si="23"/>
        <v>0</v>
      </c>
      <c r="AQ23" s="73">
        <f t="shared" si="13"/>
        <v>0</v>
      </c>
      <c r="AR23" s="73">
        <f t="shared" ref="AR23:AS31" si="121">BM23+BW23+CG23+CQ23+DA23+DL23</f>
        <v>0</v>
      </c>
      <c r="AS23" s="73">
        <f t="shared" si="121"/>
        <v>0</v>
      </c>
      <c r="BC23" s="56">
        <f t="shared" si="15"/>
        <v>0</v>
      </c>
      <c r="BD23" s="56">
        <f t="shared" si="15"/>
        <v>0</v>
      </c>
      <c r="BG23" s="56">
        <f t="shared" ref="BG23:BO23" si="122">IFERROR(VLOOKUP($C21,stats,BG$2,FALSE),0)</f>
        <v>0</v>
      </c>
      <c r="BH23" s="56">
        <f t="shared" si="122"/>
        <v>0</v>
      </c>
      <c r="BI23" s="56">
        <f t="shared" si="122"/>
        <v>0</v>
      </c>
      <c r="BJ23" s="56">
        <f t="shared" si="122"/>
        <v>0</v>
      </c>
      <c r="BK23" s="56">
        <f t="shared" si="122"/>
        <v>0</v>
      </c>
      <c r="BL23" s="56">
        <f t="shared" si="122"/>
        <v>0</v>
      </c>
      <c r="BM23" s="56">
        <f t="shared" si="122"/>
        <v>0</v>
      </c>
      <c r="BN23" s="56">
        <f t="shared" si="122"/>
        <v>0</v>
      </c>
      <c r="BO23" s="56">
        <f t="shared" si="122"/>
        <v>0</v>
      </c>
      <c r="BQ23" s="56">
        <f t="shared" ref="BQ23:BY23" si="123">IFERROR(VLOOKUP($K21,traits,BQ$2,FALSE),0)</f>
        <v>0</v>
      </c>
      <c r="BR23" s="56">
        <f t="shared" si="123"/>
        <v>0</v>
      </c>
      <c r="BS23" s="56">
        <f t="shared" si="123"/>
        <v>0</v>
      </c>
      <c r="BT23" s="56">
        <f t="shared" si="123"/>
        <v>0</v>
      </c>
      <c r="BU23" s="56">
        <f t="shared" si="123"/>
        <v>0</v>
      </c>
      <c r="BV23" s="56">
        <f t="shared" si="123"/>
        <v>0</v>
      </c>
      <c r="BW23" s="56">
        <f t="shared" si="123"/>
        <v>0</v>
      </c>
      <c r="BX23" s="56">
        <f t="shared" si="123"/>
        <v>0</v>
      </c>
      <c r="BY23" s="56">
        <f t="shared" si="123"/>
        <v>0</v>
      </c>
      <c r="CA23" s="56">
        <f t="shared" ref="CA23:CI23" si="124">IFERROR(VLOOKUP($L21,traits,CA$2,FALSE),0)</f>
        <v>0</v>
      </c>
      <c r="CB23" s="56">
        <f t="shared" si="124"/>
        <v>0</v>
      </c>
      <c r="CC23" s="56">
        <f t="shared" si="124"/>
        <v>0</v>
      </c>
      <c r="CD23" s="56">
        <f t="shared" si="124"/>
        <v>0</v>
      </c>
      <c r="CE23" s="56">
        <f t="shared" si="124"/>
        <v>0</v>
      </c>
      <c r="CF23" s="56">
        <f t="shared" si="124"/>
        <v>0</v>
      </c>
      <c r="CG23" s="56">
        <f t="shared" si="124"/>
        <v>0</v>
      </c>
      <c r="CH23" s="56">
        <f t="shared" si="124"/>
        <v>0</v>
      </c>
      <c r="CI23" s="56">
        <f t="shared" si="124"/>
        <v>0</v>
      </c>
      <c r="CK23" s="56">
        <f t="shared" ref="CK23:CS23" si="125">IFERROR(VLOOKUP($M21,traits,CK$2,FALSE),0)</f>
        <v>0</v>
      </c>
      <c r="CL23" s="56">
        <f t="shared" si="125"/>
        <v>0</v>
      </c>
      <c r="CM23" s="56">
        <f t="shared" si="125"/>
        <v>0</v>
      </c>
      <c r="CN23" s="56">
        <f t="shared" si="125"/>
        <v>0</v>
      </c>
      <c r="CO23" s="56">
        <f t="shared" si="125"/>
        <v>0</v>
      </c>
      <c r="CP23" s="56">
        <f t="shared" si="125"/>
        <v>0</v>
      </c>
      <c r="CQ23" s="56">
        <f t="shared" si="125"/>
        <v>0</v>
      </c>
      <c r="CR23" s="56">
        <f t="shared" si="125"/>
        <v>0</v>
      </c>
      <c r="CS23" s="56">
        <f t="shared" si="125"/>
        <v>0</v>
      </c>
      <c r="CU23" s="56">
        <f t="shared" ref="CU23:DC23" si="126">IFERROR(VLOOKUP($N21,traits,CU$2,FALSE),0)</f>
        <v>0</v>
      </c>
      <c r="CV23" s="56">
        <f t="shared" si="126"/>
        <v>0</v>
      </c>
      <c r="CW23" s="56">
        <f t="shared" si="126"/>
        <v>0</v>
      </c>
      <c r="CX23" s="56">
        <f t="shared" si="126"/>
        <v>0</v>
      </c>
      <c r="CY23" s="56">
        <f t="shared" si="126"/>
        <v>0</v>
      </c>
      <c r="CZ23" s="56">
        <f t="shared" si="126"/>
        <v>0</v>
      </c>
      <c r="DA23" s="56">
        <f t="shared" si="126"/>
        <v>0</v>
      </c>
      <c r="DB23" s="56">
        <f t="shared" si="126"/>
        <v>0</v>
      </c>
      <c r="DC23" s="56">
        <f t="shared" si="126"/>
        <v>0</v>
      </c>
      <c r="DF23" s="56">
        <f t="shared" ref="DF23:DN23" si="127">IFERROR(VLOOKUP($O21,Relics,DF$2,FALSE),0)</f>
        <v>0</v>
      </c>
      <c r="DG23" s="56">
        <f t="shared" si="127"/>
        <v>0</v>
      </c>
      <c r="DH23" s="56">
        <f t="shared" si="127"/>
        <v>0</v>
      </c>
      <c r="DI23" s="56">
        <f t="shared" si="127"/>
        <v>0</v>
      </c>
      <c r="DJ23" s="56">
        <f t="shared" si="127"/>
        <v>0</v>
      </c>
      <c r="DK23" s="56">
        <f t="shared" si="127"/>
        <v>0</v>
      </c>
      <c r="DL23" s="56">
        <f t="shared" si="127"/>
        <v>0</v>
      </c>
      <c r="DM23" s="56">
        <f t="shared" si="127"/>
        <v>0</v>
      </c>
      <c r="DN23" s="56">
        <f t="shared" si="127"/>
        <v>0</v>
      </c>
    </row>
    <row r="24" spans="1:118" x14ac:dyDescent="0.35">
      <c r="A24" s="83">
        <v>20</v>
      </c>
      <c r="B24" s="48"/>
      <c r="C24" s="49"/>
      <c r="D24" s="53">
        <f t="shared" si="3"/>
        <v>0</v>
      </c>
      <c r="E24" s="53">
        <f t="shared" si="103"/>
        <v>0</v>
      </c>
      <c r="F24" s="53">
        <f t="shared" si="104"/>
        <v>0</v>
      </c>
      <c r="G24" s="53">
        <f t="shared" si="105"/>
        <v>0</v>
      </c>
      <c r="H24" s="53">
        <f t="shared" si="106"/>
        <v>0</v>
      </c>
      <c r="I24" s="53">
        <f t="shared" si="107"/>
        <v>0</v>
      </c>
      <c r="J24" s="53">
        <f t="shared" si="108"/>
        <v>0</v>
      </c>
      <c r="K24" s="50"/>
      <c r="L24" s="50"/>
      <c r="M24" s="50"/>
      <c r="N24" s="50"/>
      <c r="O24" s="50"/>
      <c r="P24" s="54">
        <f t="shared" si="10"/>
        <v>0</v>
      </c>
      <c r="Q24" s="51"/>
      <c r="R24" s="54">
        <f t="shared" si="11"/>
        <v>0</v>
      </c>
      <c r="U24" s="56">
        <f>IF(C24=$U$2,0,IFERROR(VLOOKUP($C24,Stats!$B$4:$B$8,1,FALSE),"Company"))</f>
        <v>0</v>
      </c>
      <c r="V24" s="56">
        <f>IF(C24=$U$2,0,IFERROR(VLOOKUP(K24,Stats!$B$24:$B$27,1,FALSE),"Company"))</f>
        <v>0</v>
      </c>
      <c r="W24" s="56">
        <f>IF(D24=$U$2,0,IFERROR(VLOOKUP(L24,Stats!$B$24:$B$27,1,FALSE),"Company"))</f>
        <v>0</v>
      </c>
      <c r="X24" s="56">
        <f>IF(E24=$U$2,0,IFERROR(VLOOKUP(M24,Stats!$B$24:$B$27,1,FALSE),"Company"))</f>
        <v>0</v>
      </c>
      <c r="Y24" s="56">
        <f>IF(F24=$U$2,0,IFERROR(VLOOKUP(N24,Stats!$B$24:$B$27,1,FALSE),"Company"))</f>
        <v>0</v>
      </c>
      <c r="Z24" s="56">
        <f t="shared" si="12"/>
        <v>0</v>
      </c>
      <c r="AM24" s="73">
        <f t="shared" si="22"/>
        <v>0</v>
      </c>
      <c r="AN24" s="73">
        <f t="shared" si="22"/>
        <v>0</v>
      </c>
      <c r="AO24" s="73">
        <f t="shared" si="22"/>
        <v>0</v>
      </c>
      <c r="AP24" s="73">
        <f t="shared" si="23"/>
        <v>0</v>
      </c>
      <c r="AQ24" s="73">
        <f t="shared" si="13"/>
        <v>0</v>
      </c>
      <c r="AR24" s="73">
        <f t="shared" si="121"/>
        <v>0</v>
      </c>
      <c r="AS24" s="73">
        <f t="shared" si="121"/>
        <v>0</v>
      </c>
      <c r="BC24" s="56">
        <f t="shared" si="15"/>
        <v>0</v>
      </c>
      <c r="BD24" s="56">
        <f t="shared" si="15"/>
        <v>0</v>
      </c>
      <c r="BG24" s="56">
        <f t="shared" ref="BG24:BO24" si="128">IFERROR(VLOOKUP($C22,stats,BG$2,FALSE),0)</f>
        <v>0</v>
      </c>
      <c r="BH24" s="56">
        <f t="shared" si="128"/>
        <v>0</v>
      </c>
      <c r="BI24" s="56">
        <f t="shared" si="128"/>
        <v>0</v>
      </c>
      <c r="BJ24" s="56">
        <f t="shared" si="128"/>
        <v>0</v>
      </c>
      <c r="BK24" s="56">
        <f t="shared" si="128"/>
        <v>0</v>
      </c>
      <c r="BL24" s="56">
        <f t="shared" si="128"/>
        <v>0</v>
      </c>
      <c r="BM24" s="56">
        <f t="shared" si="128"/>
        <v>0</v>
      </c>
      <c r="BN24" s="56">
        <f t="shared" si="128"/>
        <v>0</v>
      </c>
      <c r="BO24" s="56">
        <f t="shared" si="128"/>
        <v>0</v>
      </c>
      <c r="BQ24" s="56">
        <f t="shared" ref="BQ24:BY24" si="129">IFERROR(VLOOKUP($K22,traits,BQ$2,FALSE),0)</f>
        <v>0</v>
      </c>
      <c r="BR24" s="56">
        <f t="shared" si="129"/>
        <v>0</v>
      </c>
      <c r="BS24" s="56">
        <f t="shared" si="129"/>
        <v>0</v>
      </c>
      <c r="BT24" s="56">
        <f t="shared" si="129"/>
        <v>0</v>
      </c>
      <c r="BU24" s="56">
        <f t="shared" si="129"/>
        <v>0</v>
      </c>
      <c r="BV24" s="56">
        <f t="shared" si="129"/>
        <v>0</v>
      </c>
      <c r="BW24" s="56">
        <f t="shared" si="129"/>
        <v>0</v>
      </c>
      <c r="BX24" s="56">
        <f t="shared" si="129"/>
        <v>0</v>
      </c>
      <c r="BY24" s="56">
        <f t="shared" si="129"/>
        <v>0</v>
      </c>
      <c r="CA24" s="56">
        <f t="shared" ref="CA24:CI24" si="130">IFERROR(VLOOKUP($L22,traits,CA$2,FALSE),0)</f>
        <v>0</v>
      </c>
      <c r="CB24" s="56">
        <f t="shared" si="130"/>
        <v>0</v>
      </c>
      <c r="CC24" s="56">
        <f t="shared" si="130"/>
        <v>0</v>
      </c>
      <c r="CD24" s="56">
        <f t="shared" si="130"/>
        <v>0</v>
      </c>
      <c r="CE24" s="56">
        <f t="shared" si="130"/>
        <v>0</v>
      </c>
      <c r="CF24" s="56">
        <f t="shared" si="130"/>
        <v>0</v>
      </c>
      <c r="CG24" s="56">
        <f t="shared" si="130"/>
        <v>0</v>
      </c>
      <c r="CH24" s="56">
        <f t="shared" si="130"/>
        <v>0</v>
      </c>
      <c r="CI24" s="56">
        <f t="shared" si="130"/>
        <v>0</v>
      </c>
      <c r="CK24" s="56">
        <f t="shared" ref="CK24:CS24" si="131">IFERROR(VLOOKUP($M22,traits,CK$2,FALSE),0)</f>
        <v>0</v>
      </c>
      <c r="CL24" s="56">
        <f t="shared" si="131"/>
        <v>0</v>
      </c>
      <c r="CM24" s="56">
        <f t="shared" si="131"/>
        <v>0</v>
      </c>
      <c r="CN24" s="56">
        <f t="shared" si="131"/>
        <v>0</v>
      </c>
      <c r="CO24" s="56">
        <f t="shared" si="131"/>
        <v>0</v>
      </c>
      <c r="CP24" s="56">
        <f t="shared" si="131"/>
        <v>0</v>
      </c>
      <c r="CQ24" s="56">
        <f t="shared" si="131"/>
        <v>0</v>
      </c>
      <c r="CR24" s="56">
        <f t="shared" si="131"/>
        <v>0</v>
      </c>
      <c r="CS24" s="56">
        <f t="shared" si="131"/>
        <v>0</v>
      </c>
      <c r="CU24" s="56">
        <f t="shared" ref="CU24:DC24" si="132">IFERROR(VLOOKUP($N22,traits,CU$2,FALSE),0)</f>
        <v>0</v>
      </c>
      <c r="CV24" s="56">
        <f t="shared" si="132"/>
        <v>0</v>
      </c>
      <c r="CW24" s="56">
        <f t="shared" si="132"/>
        <v>0</v>
      </c>
      <c r="CX24" s="56">
        <f t="shared" si="132"/>
        <v>0</v>
      </c>
      <c r="CY24" s="56">
        <f t="shared" si="132"/>
        <v>0</v>
      </c>
      <c r="CZ24" s="56">
        <f t="shared" si="132"/>
        <v>0</v>
      </c>
      <c r="DA24" s="56">
        <f t="shared" si="132"/>
        <v>0</v>
      </c>
      <c r="DB24" s="56">
        <f t="shared" si="132"/>
        <v>0</v>
      </c>
      <c r="DC24" s="56">
        <f t="shared" si="132"/>
        <v>0</v>
      </c>
      <c r="DF24" s="56">
        <f t="shared" ref="DF24:DN24" si="133">IFERROR(VLOOKUP($O22,Relics,DF$2,FALSE),0)</f>
        <v>0</v>
      </c>
      <c r="DG24" s="56">
        <f t="shared" si="133"/>
        <v>0</v>
      </c>
      <c r="DH24" s="56">
        <f t="shared" si="133"/>
        <v>0</v>
      </c>
      <c r="DI24" s="56">
        <f t="shared" si="133"/>
        <v>0</v>
      </c>
      <c r="DJ24" s="56">
        <f t="shared" si="133"/>
        <v>0</v>
      </c>
      <c r="DK24" s="56">
        <f t="shared" si="133"/>
        <v>0</v>
      </c>
      <c r="DL24" s="56">
        <f t="shared" si="133"/>
        <v>0</v>
      </c>
      <c r="DM24" s="56">
        <f t="shared" si="133"/>
        <v>0</v>
      </c>
      <c r="DN24" s="56">
        <f t="shared" si="133"/>
        <v>0</v>
      </c>
    </row>
    <row r="25" spans="1:118" x14ac:dyDescent="0.35">
      <c r="A25" s="83">
        <v>21</v>
      </c>
      <c r="B25" s="48"/>
      <c r="C25" s="49"/>
      <c r="D25" s="53">
        <f t="shared" si="3"/>
        <v>0</v>
      </c>
      <c r="E25" s="53">
        <f t="shared" si="103"/>
        <v>0</v>
      </c>
      <c r="F25" s="53">
        <f t="shared" si="104"/>
        <v>0</v>
      </c>
      <c r="G25" s="53">
        <f t="shared" si="105"/>
        <v>0</v>
      </c>
      <c r="H25" s="53">
        <f t="shared" si="106"/>
        <v>0</v>
      </c>
      <c r="I25" s="53">
        <f t="shared" si="107"/>
        <v>0</v>
      </c>
      <c r="J25" s="53">
        <f t="shared" si="108"/>
        <v>0</v>
      </c>
      <c r="K25" s="50"/>
      <c r="L25" s="50"/>
      <c r="M25" s="50"/>
      <c r="N25" s="50"/>
      <c r="O25" s="50"/>
      <c r="P25" s="54">
        <f t="shared" si="10"/>
        <v>0</v>
      </c>
      <c r="Q25" s="51"/>
      <c r="R25" s="54">
        <f t="shared" si="11"/>
        <v>0</v>
      </c>
      <c r="U25" s="56">
        <f>IF(C25=$U$2,0,IFERROR(VLOOKUP($C25,Stats!$B$4:$B$8,1,FALSE),"Company"))</f>
        <v>0</v>
      </c>
      <c r="V25" s="56">
        <f>IF(C25=$U$2,0,IFERROR(VLOOKUP(K25,Stats!$B$24:$B$27,1,FALSE),"Company"))</f>
        <v>0</v>
      </c>
      <c r="W25" s="56">
        <f>IF(D25=$U$2,0,IFERROR(VLOOKUP(L25,Stats!$B$24:$B$27,1,FALSE),"Company"))</f>
        <v>0</v>
      </c>
      <c r="X25" s="56">
        <f>IF(E25=$U$2,0,IFERROR(VLOOKUP(M25,Stats!$B$24:$B$27,1,FALSE),"Company"))</f>
        <v>0</v>
      </c>
      <c r="Y25" s="56">
        <f>IF(F25=$U$2,0,IFERROR(VLOOKUP(N25,Stats!$B$24:$B$27,1,FALSE),"Company"))</f>
        <v>0</v>
      </c>
      <c r="Z25" s="56">
        <f t="shared" si="12"/>
        <v>0</v>
      </c>
      <c r="AM25" s="73">
        <f t="shared" si="22"/>
        <v>0</v>
      </c>
      <c r="AN25" s="73">
        <f t="shared" si="22"/>
        <v>0</v>
      </c>
      <c r="AO25" s="73">
        <f t="shared" si="22"/>
        <v>0</v>
      </c>
      <c r="AP25" s="73">
        <f t="shared" si="23"/>
        <v>0</v>
      </c>
      <c r="AQ25" s="73">
        <f t="shared" si="13"/>
        <v>0</v>
      </c>
      <c r="AR25" s="73">
        <f t="shared" si="121"/>
        <v>0</v>
      </c>
      <c r="AS25" s="73">
        <f t="shared" si="121"/>
        <v>0</v>
      </c>
      <c r="BC25" s="56">
        <f t="shared" si="15"/>
        <v>0</v>
      </c>
      <c r="BD25" s="56">
        <f t="shared" si="15"/>
        <v>0</v>
      </c>
      <c r="BG25" s="56">
        <f t="shared" ref="BG25:BO25" si="134">IFERROR(VLOOKUP($C23,stats,BG$2,FALSE),0)</f>
        <v>0</v>
      </c>
      <c r="BH25" s="56">
        <f t="shared" si="134"/>
        <v>0</v>
      </c>
      <c r="BI25" s="56">
        <f t="shared" si="134"/>
        <v>0</v>
      </c>
      <c r="BJ25" s="56">
        <f t="shared" si="134"/>
        <v>0</v>
      </c>
      <c r="BK25" s="56">
        <f t="shared" si="134"/>
        <v>0</v>
      </c>
      <c r="BL25" s="56">
        <f t="shared" si="134"/>
        <v>0</v>
      </c>
      <c r="BM25" s="56">
        <f t="shared" si="134"/>
        <v>0</v>
      </c>
      <c r="BN25" s="56">
        <f t="shared" si="134"/>
        <v>0</v>
      </c>
      <c r="BO25" s="56">
        <f t="shared" si="134"/>
        <v>0</v>
      </c>
      <c r="BQ25" s="56">
        <f t="shared" ref="BQ25:BY25" si="135">IFERROR(VLOOKUP($K23,traits,BQ$2,FALSE),0)</f>
        <v>0</v>
      </c>
      <c r="BR25" s="56">
        <f t="shared" si="135"/>
        <v>0</v>
      </c>
      <c r="BS25" s="56">
        <f t="shared" si="135"/>
        <v>0</v>
      </c>
      <c r="BT25" s="56">
        <f t="shared" si="135"/>
        <v>0</v>
      </c>
      <c r="BU25" s="56">
        <f t="shared" si="135"/>
        <v>0</v>
      </c>
      <c r="BV25" s="56">
        <f t="shared" si="135"/>
        <v>0</v>
      </c>
      <c r="BW25" s="56">
        <f t="shared" si="135"/>
        <v>0</v>
      </c>
      <c r="BX25" s="56">
        <f t="shared" si="135"/>
        <v>0</v>
      </c>
      <c r="BY25" s="56">
        <f t="shared" si="135"/>
        <v>0</v>
      </c>
      <c r="CA25" s="56">
        <f t="shared" ref="CA25:CI25" si="136">IFERROR(VLOOKUP($L23,traits,CA$2,FALSE),0)</f>
        <v>0</v>
      </c>
      <c r="CB25" s="56">
        <f t="shared" si="136"/>
        <v>0</v>
      </c>
      <c r="CC25" s="56">
        <f t="shared" si="136"/>
        <v>0</v>
      </c>
      <c r="CD25" s="56">
        <f t="shared" si="136"/>
        <v>0</v>
      </c>
      <c r="CE25" s="56">
        <f t="shared" si="136"/>
        <v>0</v>
      </c>
      <c r="CF25" s="56">
        <f t="shared" si="136"/>
        <v>0</v>
      </c>
      <c r="CG25" s="56">
        <f t="shared" si="136"/>
        <v>0</v>
      </c>
      <c r="CH25" s="56">
        <f t="shared" si="136"/>
        <v>0</v>
      </c>
      <c r="CI25" s="56">
        <f t="shared" si="136"/>
        <v>0</v>
      </c>
      <c r="CK25" s="56">
        <f t="shared" ref="CK25:CS25" si="137">IFERROR(VLOOKUP($M23,traits,CK$2,FALSE),0)</f>
        <v>0</v>
      </c>
      <c r="CL25" s="56">
        <f t="shared" si="137"/>
        <v>0</v>
      </c>
      <c r="CM25" s="56">
        <f t="shared" si="137"/>
        <v>0</v>
      </c>
      <c r="CN25" s="56">
        <f t="shared" si="137"/>
        <v>0</v>
      </c>
      <c r="CO25" s="56">
        <f t="shared" si="137"/>
        <v>0</v>
      </c>
      <c r="CP25" s="56">
        <f t="shared" si="137"/>
        <v>0</v>
      </c>
      <c r="CQ25" s="56">
        <f t="shared" si="137"/>
        <v>0</v>
      </c>
      <c r="CR25" s="56">
        <f t="shared" si="137"/>
        <v>0</v>
      </c>
      <c r="CS25" s="56">
        <f t="shared" si="137"/>
        <v>0</v>
      </c>
      <c r="CU25" s="56">
        <f t="shared" ref="CU25:DC25" si="138">IFERROR(VLOOKUP($N23,traits,CU$2,FALSE),0)</f>
        <v>0</v>
      </c>
      <c r="CV25" s="56">
        <f t="shared" si="138"/>
        <v>0</v>
      </c>
      <c r="CW25" s="56">
        <f t="shared" si="138"/>
        <v>0</v>
      </c>
      <c r="CX25" s="56">
        <f t="shared" si="138"/>
        <v>0</v>
      </c>
      <c r="CY25" s="56">
        <f t="shared" si="138"/>
        <v>0</v>
      </c>
      <c r="CZ25" s="56">
        <f t="shared" si="138"/>
        <v>0</v>
      </c>
      <c r="DA25" s="56">
        <f t="shared" si="138"/>
        <v>0</v>
      </c>
      <c r="DB25" s="56">
        <f t="shared" si="138"/>
        <v>0</v>
      </c>
      <c r="DC25" s="56">
        <f t="shared" si="138"/>
        <v>0</v>
      </c>
      <c r="DF25" s="56">
        <f t="shared" ref="DF25:DN25" si="139">IFERROR(VLOOKUP($O23,Relics,DF$2,FALSE),0)</f>
        <v>0</v>
      </c>
      <c r="DG25" s="56">
        <f t="shared" si="139"/>
        <v>0</v>
      </c>
      <c r="DH25" s="56">
        <f t="shared" si="139"/>
        <v>0</v>
      </c>
      <c r="DI25" s="56">
        <f t="shared" si="139"/>
        <v>0</v>
      </c>
      <c r="DJ25" s="56">
        <f t="shared" si="139"/>
        <v>0</v>
      </c>
      <c r="DK25" s="56">
        <f t="shared" si="139"/>
        <v>0</v>
      </c>
      <c r="DL25" s="56">
        <f t="shared" si="139"/>
        <v>0</v>
      </c>
      <c r="DM25" s="56">
        <f t="shared" si="139"/>
        <v>0</v>
      </c>
      <c r="DN25" s="56">
        <f t="shared" si="139"/>
        <v>0</v>
      </c>
    </row>
    <row r="26" spans="1:118" x14ac:dyDescent="0.35">
      <c r="A26" s="83">
        <v>22</v>
      </c>
      <c r="B26" s="48"/>
      <c r="C26" s="49"/>
      <c r="D26" s="53">
        <f t="shared" si="3"/>
        <v>0</v>
      </c>
      <c r="E26" s="53">
        <f t="shared" si="103"/>
        <v>0</v>
      </c>
      <c r="F26" s="53">
        <f t="shared" si="104"/>
        <v>0</v>
      </c>
      <c r="G26" s="53">
        <f t="shared" si="105"/>
        <v>0</v>
      </c>
      <c r="H26" s="53">
        <f t="shared" si="106"/>
        <v>0</v>
      </c>
      <c r="I26" s="53">
        <f t="shared" si="107"/>
        <v>0</v>
      </c>
      <c r="J26" s="53">
        <f t="shared" si="108"/>
        <v>0</v>
      </c>
      <c r="K26" s="50"/>
      <c r="L26" s="50"/>
      <c r="M26" s="50"/>
      <c r="N26" s="50"/>
      <c r="O26" s="50"/>
      <c r="P26" s="54">
        <f t="shared" si="10"/>
        <v>0</v>
      </c>
      <c r="Q26" s="51"/>
      <c r="R26" s="54">
        <f t="shared" si="11"/>
        <v>0</v>
      </c>
      <c r="U26" s="56">
        <f>IF(C26=$U$2,0,IFERROR(VLOOKUP($C26,Stats!$B$4:$B$8,1,FALSE),"Company"))</f>
        <v>0</v>
      </c>
      <c r="V26" s="56">
        <f>IF(C26=$U$2,0,IFERROR(VLOOKUP(K26,Stats!$B$24:$B$27,1,FALSE),"Company"))</f>
        <v>0</v>
      </c>
      <c r="W26" s="56">
        <f>IF(D26=$U$2,0,IFERROR(VLOOKUP(L26,Stats!$B$24:$B$27,1,FALSE),"Company"))</f>
        <v>0</v>
      </c>
      <c r="X26" s="56">
        <f>IF(E26=$U$2,0,IFERROR(VLOOKUP(M26,Stats!$B$24:$B$27,1,FALSE),"Company"))</f>
        <v>0</v>
      </c>
      <c r="Y26" s="56">
        <f>IF(F26=$U$2,0,IFERROR(VLOOKUP(N26,Stats!$B$24:$B$27,1,FALSE),"Company"))</f>
        <v>0</v>
      </c>
      <c r="Z26" s="56">
        <f t="shared" si="12"/>
        <v>0</v>
      </c>
      <c r="AM26" s="73">
        <f t="shared" si="22"/>
        <v>0</v>
      </c>
      <c r="AN26" s="73">
        <f t="shared" si="22"/>
        <v>0</v>
      </c>
      <c r="AO26" s="73">
        <f t="shared" si="22"/>
        <v>0</v>
      </c>
      <c r="AP26" s="73">
        <f t="shared" si="23"/>
        <v>0</v>
      </c>
      <c r="AQ26" s="73">
        <f t="shared" si="13"/>
        <v>0</v>
      </c>
      <c r="AR26" s="73">
        <f t="shared" si="121"/>
        <v>0</v>
      </c>
      <c r="AS26" s="73">
        <f t="shared" si="121"/>
        <v>0</v>
      </c>
      <c r="BC26" s="56">
        <f t="shared" si="15"/>
        <v>0</v>
      </c>
      <c r="BD26" s="56">
        <f t="shared" si="15"/>
        <v>0</v>
      </c>
      <c r="BG26" s="56">
        <f t="shared" ref="BG26:BO26" si="140">IFERROR(VLOOKUP($C24,stats,BG$2,FALSE),0)</f>
        <v>0</v>
      </c>
      <c r="BH26" s="56">
        <f t="shared" si="140"/>
        <v>0</v>
      </c>
      <c r="BI26" s="56">
        <f t="shared" si="140"/>
        <v>0</v>
      </c>
      <c r="BJ26" s="56">
        <f t="shared" si="140"/>
        <v>0</v>
      </c>
      <c r="BK26" s="56">
        <f t="shared" si="140"/>
        <v>0</v>
      </c>
      <c r="BL26" s="56">
        <f t="shared" si="140"/>
        <v>0</v>
      </c>
      <c r="BM26" s="56">
        <f t="shared" si="140"/>
        <v>0</v>
      </c>
      <c r="BN26" s="56">
        <f t="shared" si="140"/>
        <v>0</v>
      </c>
      <c r="BO26" s="56">
        <f t="shared" si="140"/>
        <v>0</v>
      </c>
      <c r="BQ26" s="56">
        <f t="shared" ref="BQ26:BY26" si="141">IFERROR(VLOOKUP($K24,traits,BQ$2,FALSE),0)</f>
        <v>0</v>
      </c>
      <c r="BR26" s="56">
        <f t="shared" si="141"/>
        <v>0</v>
      </c>
      <c r="BS26" s="56">
        <f t="shared" si="141"/>
        <v>0</v>
      </c>
      <c r="BT26" s="56">
        <f t="shared" si="141"/>
        <v>0</v>
      </c>
      <c r="BU26" s="56">
        <f t="shared" si="141"/>
        <v>0</v>
      </c>
      <c r="BV26" s="56">
        <f t="shared" si="141"/>
        <v>0</v>
      </c>
      <c r="BW26" s="56">
        <f t="shared" si="141"/>
        <v>0</v>
      </c>
      <c r="BX26" s="56">
        <f t="shared" si="141"/>
        <v>0</v>
      </c>
      <c r="BY26" s="56">
        <f t="shared" si="141"/>
        <v>0</v>
      </c>
      <c r="CA26" s="56">
        <f t="shared" ref="CA26:CI26" si="142">IFERROR(VLOOKUP($L24,traits,CA$2,FALSE),0)</f>
        <v>0</v>
      </c>
      <c r="CB26" s="56">
        <f t="shared" si="142"/>
        <v>0</v>
      </c>
      <c r="CC26" s="56">
        <f t="shared" si="142"/>
        <v>0</v>
      </c>
      <c r="CD26" s="56">
        <f t="shared" si="142"/>
        <v>0</v>
      </c>
      <c r="CE26" s="56">
        <f t="shared" si="142"/>
        <v>0</v>
      </c>
      <c r="CF26" s="56">
        <f t="shared" si="142"/>
        <v>0</v>
      </c>
      <c r="CG26" s="56">
        <f t="shared" si="142"/>
        <v>0</v>
      </c>
      <c r="CH26" s="56">
        <f t="shared" si="142"/>
        <v>0</v>
      </c>
      <c r="CI26" s="56">
        <f t="shared" si="142"/>
        <v>0</v>
      </c>
      <c r="CK26" s="56">
        <f t="shared" ref="CK26:CS26" si="143">IFERROR(VLOOKUP($M24,traits,CK$2,FALSE),0)</f>
        <v>0</v>
      </c>
      <c r="CL26" s="56">
        <f t="shared" si="143"/>
        <v>0</v>
      </c>
      <c r="CM26" s="56">
        <f t="shared" si="143"/>
        <v>0</v>
      </c>
      <c r="CN26" s="56">
        <f t="shared" si="143"/>
        <v>0</v>
      </c>
      <c r="CO26" s="56">
        <f t="shared" si="143"/>
        <v>0</v>
      </c>
      <c r="CP26" s="56">
        <f t="shared" si="143"/>
        <v>0</v>
      </c>
      <c r="CQ26" s="56">
        <f t="shared" si="143"/>
        <v>0</v>
      </c>
      <c r="CR26" s="56">
        <f t="shared" si="143"/>
        <v>0</v>
      </c>
      <c r="CS26" s="56">
        <f t="shared" si="143"/>
        <v>0</v>
      </c>
      <c r="CU26" s="56">
        <f t="shared" ref="CU26:DC26" si="144">IFERROR(VLOOKUP($N24,traits,CU$2,FALSE),0)</f>
        <v>0</v>
      </c>
      <c r="CV26" s="56">
        <f t="shared" si="144"/>
        <v>0</v>
      </c>
      <c r="CW26" s="56">
        <f t="shared" si="144"/>
        <v>0</v>
      </c>
      <c r="CX26" s="56">
        <f t="shared" si="144"/>
        <v>0</v>
      </c>
      <c r="CY26" s="56">
        <f t="shared" si="144"/>
        <v>0</v>
      </c>
      <c r="CZ26" s="56">
        <f t="shared" si="144"/>
        <v>0</v>
      </c>
      <c r="DA26" s="56">
        <f t="shared" si="144"/>
        <v>0</v>
      </c>
      <c r="DB26" s="56">
        <f t="shared" si="144"/>
        <v>0</v>
      </c>
      <c r="DC26" s="56">
        <f t="shared" si="144"/>
        <v>0</v>
      </c>
      <c r="DF26" s="56">
        <f t="shared" ref="DF26:DN26" si="145">IFERROR(VLOOKUP($O24,Relics,DF$2,FALSE),0)</f>
        <v>0</v>
      </c>
      <c r="DG26" s="56">
        <f t="shared" si="145"/>
        <v>0</v>
      </c>
      <c r="DH26" s="56">
        <f t="shared" si="145"/>
        <v>0</v>
      </c>
      <c r="DI26" s="56">
        <f t="shared" si="145"/>
        <v>0</v>
      </c>
      <c r="DJ26" s="56">
        <f t="shared" si="145"/>
        <v>0</v>
      </c>
      <c r="DK26" s="56">
        <f t="shared" si="145"/>
        <v>0</v>
      </c>
      <c r="DL26" s="56">
        <f t="shared" si="145"/>
        <v>0</v>
      </c>
      <c r="DM26" s="56">
        <f t="shared" si="145"/>
        <v>0</v>
      </c>
      <c r="DN26" s="56">
        <f t="shared" si="145"/>
        <v>0</v>
      </c>
    </row>
    <row r="27" spans="1:118" x14ac:dyDescent="0.35">
      <c r="A27" s="83">
        <v>23</v>
      </c>
      <c r="B27" s="48"/>
      <c r="C27" s="49"/>
      <c r="D27" s="53">
        <f t="shared" si="3"/>
        <v>0</v>
      </c>
      <c r="E27" s="53">
        <f t="shared" si="103"/>
        <v>0</v>
      </c>
      <c r="F27" s="53">
        <f t="shared" si="104"/>
        <v>0</v>
      </c>
      <c r="G27" s="53">
        <f t="shared" si="105"/>
        <v>0</v>
      </c>
      <c r="H27" s="53">
        <f t="shared" si="106"/>
        <v>0</v>
      </c>
      <c r="I27" s="53">
        <f t="shared" si="107"/>
        <v>0</v>
      </c>
      <c r="J27" s="53">
        <f t="shared" si="108"/>
        <v>0</v>
      </c>
      <c r="K27" s="50"/>
      <c r="L27" s="50"/>
      <c r="M27" s="50"/>
      <c r="N27" s="50"/>
      <c r="O27" s="50"/>
      <c r="P27" s="54">
        <f t="shared" si="10"/>
        <v>0</v>
      </c>
      <c r="Q27" s="51"/>
      <c r="R27" s="54">
        <f t="shared" si="11"/>
        <v>0</v>
      </c>
      <c r="U27" s="56">
        <f>IF(C27=$U$2,0,IFERROR(VLOOKUP($C27,Stats!$B$4:$B$8,1,FALSE),"Company"))</f>
        <v>0</v>
      </c>
      <c r="V27" s="56">
        <f>IF(C27=$U$2,0,IFERROR(VLOOKUP(K27,Stats!$B$24:$B$27,1,FALSE),"Company"))</f>
        <v>0</v>
      </c>
      <c r="W27" s="56">
        <f>IF(D27=$U$2,0,IFERROR(VLOOKUP(L27,Stats!$B$24:$B$27,1,FALSE),"Company"))</f>
        <v>0</v>
      </c>
      <c r="X27" s="56">
        <f>IF(E27=$U$2,0,IFERROR(VLOOKUP(M27,Stats!$B$24:$B$27,1,FALSE),"Company"))</f>
        <v>0</v>
      </c>
      <c r="Y27" s="56">
        <f>IF(F27=$U$2,0,IFERROR(VLOOKUP(N27,Stats!$B$24:$B$27,1,FALSE),"Company"))</f>
        <v>0</v>
      </c>
      <c r="Z27" s="56">
        <f t="shared" si="12"/>
        <v>0</v>
      </c>
      <c r="AM27" s="73">
        <f t="shared" si="22"/>
        <v>0</v>
      </c>
      <c r="AN27" s="73">
        <f t="shared" si="22"/>
        <v>0</v>
      </c>
      <c r="AO27" s="73">
        <f t="shared" si="22"/>
        <v>0</v>
      </c>
      <c r="AP27" s="73">
        <f t="shared" si="23"/>
        <v>0</v>
      </c>
      <c r="AQ27" s="73">
        <f t="shared" si="13"/>
        <v>0</v>
      </c>
      <c r="AR27" s="73">
        <f t="shared" si="121"/>
        <v>0</v>
      </c>
      <c r="AS27" s="73">
        <f t="shared" si="121"/>
        <v>0</v>
      </c>
      <c r="BC27" s="56">
        <f t="shared" si="15"/>
        <v>0</v>
      </c>
      <c r="BD27" s="56">
        <f t="shared" si="15"/>
        <v>0</v>
      </c>
      <c r="BG27" s="56">
        <f t="shared" ref="BG27:BO27" si="146">IFERROR(VLOOKUP($C25,stats,BG$2,FALSE),0)</f>
        <v>0</v>
      </c>
      <c r="BH27" s="56">
        <f t="shared" si="146"/>
        <v>0</v>
      </c>
      <c r="BI27" s="56">
        <f t="shared" si="146"/>
        <v>0</v>
      </c>
      <c r="BJ27" s="56">
        <f t="shared" si="146"/>
        <v>0</v>
      </c>
      <c r="BK27" s="56">
        <f t="shared" si="146"/>
        <v>0</v>
      </c>
      <c r="BL27" s="56">
        <f t="shared" si="146"/>
        <v>0</v>
      </c>
      <c r="BM27" s="56">
        <f t="shared" si="146"/>
        <v>0</v>
      </c>
      <c r="BN27" s="56">
        <f t="shared" si="146"/>
        <v>0</v>
      </c>
      <c r="BO27" s="56">
        <f t="shared" si="146"/>
        <v>0</v>
      </c>
      <c r="BQ27" s="56">
        <f t="shared" ref="BQ27:BY27" si="147">IFERROR(VLOOKUP($K25,traits,BQ$2,FALSE),0)</f>
        <v>0</v>
      </c>
      <c r="BR27" s="56">
        <f t="shared" si="147"/>
        <v>0</v>
      </c>
      <c r="BS27" s="56">
        <f t="shared" si="147"/>
        <v>0</v>
      </c>
      <c r="BT27" s="56">
        <f t="shared" si="147"/>
        <v>0</v>
      </c>
      <c r="BU27" s="56">
        <f t="shared" si="147"/>
        <v>0</v>
      </c>
      <c r="BV27" s="56">
        <f t="shared" si="147"/>
        <v>0</v>
      </c>
      <c r="BW27" s="56">
        <f t="shared" si="147"/>
        <v>0</v>
      </c>
      <c r="BX27" s="56">
        <f t="shared" si="147"/>
        <v>0</v>
      </c>
      <c r="BY27" s="56">
        <f t="shared" si="147"/>
        <v>0</v>
      </c>
      <c r="CA27" s="56">
        <f t="shared" ref="CA27:CI27" si="148">IFERROR(VLOOKUP($L25,traits,CA$2,FALSE),0)</f>
        <v>0</v>
      </c>
      <c r="CB27" s="56">
        <f t="shared" si="148"/>
        <v>0</v>
      </c>
      <c r="CC27" s="56">
        <f t="shared" si="148"/>
        <v>0</v>
      </c>
      <c r="CD27" s="56">
        <f t="shared" si="148"/>
        <v>0</v>
      </c>
      <c r="CE27" s="56">
        <f t="shared" si="148"/>
        <v>0</v>
      </c>
      <c r="CF27" s="56">
        <f t="shared" si="148"/>
        <v>0</v>
      </c>
      <c r="CG27" s="56">
        <f t="shared" si="148"/>
        <v>0</v>
      </c>
      <c r="CH27" s="56">
        <f t="shared" si="148"/>
        <v>0</v>
      </c>
      <c r="CI27" s="56">
        <f t="shared" si="148"/>
        <v>0</v>
      </c>
      <c r="CK27" s="56">
        <f t="shared" ref="CK27:CS27" si="149">IFERROR(VLOOKUP($M25,traits,CK$2,FALSE),0)</f>
        <v>0</v>
      </c>
      <c r="CL27" s="56">
        <f t="shared" si="149"/>
        <v>0</v>
      </c>
      <c r="CM27" s="56">
        <f t="shared" si="149"/>
        <v>0</v>
      </c>
      <c r="CN27" s="56">
        <f t="shared" si="149"/>
        <v>0</v>
      </c>
      <c r="CO27" s="56">
        <f t="shared" si="149"/>
        <v>0</v>
      </c>
      <c r="CP27" s="56">
        <f t="shared" si="149"/>
        <v>0</v>
      </c>
      <c r="CQ27" s="56">
        <f t="shared" si="149"/>
        <v>0</v>
      </c>
      <c r="CR27" s="56">
        <f t="shared" si="149"/>
        <v>0</v>
      </c>
      <c r="CS27" s="56">
        <f t="shared" si="149"/>
        <v>0</v>
      </c>
      <c r="CU27" s="56">
        <f t="shared" ref="CU27:DC27" si="150">IFERROR(VLOOKUP($N25,traits,CU$2,FALSE),0)</f>
        <v>0</v>
      </c>
      <c r="CV27" s="56">
        <f t="shared" si="150"/>
        <v>0</v>
      </c>
      <c r="CW27" s="56">
        <f t="shared" si="150"/>
        <v>0</v>
      </c>
      <c r="CX27" s="56">
        <f t="shared" si="150"/>
        <v>0</v>
      </c>
      <c r="CY27" s="56">
        <f t="shared" si="150"/>
        <v>0</v>
      </c>
      <c r="CZ27" s="56">
        <f t="shared" si="150"/>
        <v>0</v>
      </c>
      <c r="DA27" s="56">
        <f t="shared" si="150"/>
        <v>0</v>
      </c>
      <c r="DB27" s="56">
        <f t="shared" si="150"/>
        <v>0</v>
      </c>
      <c r="DC27" s="56">
        <f t="shared" si="150"/>
        <v>0</v>
      </c>
      <c r="DF27" s="56">
        <f t="shared" ref="DF27:DN27" si="151">IFERROR(VLOOKUP($O25,Relics,DF$2,FALSE),0)</f>
        <v>0</v>
      </c>
      <c r="DG27" s="56">
        <f t="shared" si="151"/>
        <v>0</v>
      </c>
      <c r="DH27" s="56">
        <f t="shared" si="151"/>
        <v>0</v>
      </c>
      <c r="DI27" s="56">
        <f t="shared" si="151"/>
        <v>0</v>
      </c>
      <c r="DJ27" s="56">
        <f t="shared" si="151"/>
        <v>0</v>
      </c>
      <c r="DK27" s="56">
        <f t="shared" si="151"/>
        <v>0</v>
      </c>
      <c r="DL27" s="56">
        <f t="shared" si="151"/>
        <v>0</v>
      </c>
      <c r="DM27" s="56">
        <f t="shared" si="151"/>
        <v>0</v>
      </c>
      <c r="DN27" s="56">
        <f t="shared" si="151"/>
        <v>0</v>
      </c>
    </row>
    <row r="28" spans="1:118" x14ac:dyDescent="0.35">
      <c r="A28" s="83">
        <v>24</v>
      </c>
      <c r="B28" s="48"/>
      <c r="C28" s="49"/>
      <c r="D28" s="53">
        <f t="shared" si="3"/>
        <v>0</v>
      </c>
      <c r="E28" s="53">
        <f t="shared" si="103"/>
        <v>0</v>
      </c>
      <c r="F28" s="53">
        <f t="shared" si="104"/>
        <v>0</v>
      </c>
      <c r="G28" s="53">
        <f t="shared" si="105"/>
        <v>0</v>
      </c>
      <c r="H28" s="53">
        <f t="shared" si="106"/>
        <v>0</v>
      </c>
      <c r="I28" s="53">
        <f t="shared" si="107"/>
        <v>0</v>
      </c>
      <c r="J28" s="53">
        <f t="shared" si="108"/>
        <v>0</v>
      </c>
      <c r="K28" s="50"/>
      <c r="L28" s="50"/>
      <c r="M28" s="50"/>
      <c r="N28" s="50"/>
      <c r="O28" s="50"/>
      <c r="P28" s="54">
        <f t="shared" si="10"/>
        <v>0</v>
      </c>
      <c r="Q28" s="51"/>
      <c r="R28" s="54">
        <f t="shared" si="11"/>
        <v>0</v>
      </c>
      <c r="U28" s="56">
        <f>IF(C28=$U$2,0,IFERROR(VLOOKUP($C28,Stats!$B$4:$B$8,1,FALSE),"Company"))</f>
        <v>0</v>
      </c>
      <c r="V28" s="56">
        <f>IF(C28=$U$2,0,IFERROR(VLOOKUP(K28,Stats!$B$24:$B$27,1,FALSE),"Company"))</f>
        <v>0</v>
      </c>
      <c r="W28" s="56">
        <f>IF(D28=$U$2,0,IFERROR(VLOOKUP(L28,Stats!$B$24:$B$27,1,FALSE),"Company"))</f>
        <v>0</v>
      </c>
      <c r="X28" s="56">
        <f>IF(E28=$U$2,0,IFERROR(VLOOKUP(M28,Stats!$B$24:$B$27,1,FALSE),"Company"))</f>
        <v>0</v>
      </c>
      <c r="Y28" s="56">
        <f>IF(F28=$U$2,0,IFERROR(VLOOKUP(N28,Stats!$B$24:$B$27,1,FALSE),"Company"))</f>
        <v>0</v>
      </c>
      <c r="Z28" s="56">
        <f t="shared" si="12"/>
        <v>0</v>
      </c>
      <c r="AM28" s="73">
        <f t="shared" si="22"/>
        <v>0</v>
      </c>
      <c r="AN28" s="73">
        <f t="shared" si="22"/>
        <v>0</v>
      </c>
      <c r="AO28" s="73">
        <f t="shared" si="22"/>
        <v>0</v>
      </c>
      <c r="AP28" s="73">
        <f t="shared" si="23"/>
        <v>0</v>
      </c>
      <c r="AQ28" s="73">
        <f t="shared" si="13"/>
        <v>0</v>
      </c>
      <c r="AR28" s="73">
        <f t="shared" si="121"/>
        <v>0</v>
      </c>
      <c r="AS28" s="73">
        <f t="shared" si="121"/>
        <v>0</v>
      </c>
      <c r="BC28" s="56">
        <f t="shared" si="15"/>
        <v>0</v>
      </c>
      <c r="BD28" s="56">
        <f t="shared" si="15"/>
        <v>0</v>
      </c>
      <c r="BG28" s="56">
        <f t="shared" ref="BG28:BO28" si="152">IFERROR(VLOOKUP($C26,stats,BG$2,FALSE),0)</f>
        <v>0</v>
      </c>
      <c r="BH28" s="56">
        <f t="shared" si="152"/>
        <v>0</v>
      </c>
      <c r="BI28" s="56">
        <f t="shared" si="152"/>
        <v>0</v>
      </c>
      <c r="BJ28" s="56">
        <f t="shared" si="152"/>
        <v>0</v>
      </c>
      <c r="BK28" s="56">
        <f t="shared" si="152"/>
        <v>0</v>
      </c>
      <c r="BL28" s="56">
        <f t="shared" si="152"/>
        <v>0</v>
      </c>
      <c r="BM28" s="56">
        <f t="shared" si="152"/>
        <v>0</v>
      </c>
      <c r="BN28" s="56">
        <f t="shared" si="152"/>
        <v>0</v>
      </c>
      <c r="BO28" s="56">
        <f t="shared" si="152"/>
        <v>0</v>
      </c>
      <c r="BQ28" s="56">
        <f t="shared" ref="BQ28:BY28" si="153">IFERROR(VLOOKUP($K26,traits,BQ$2,FALSE),0)</f>
        <v>0</v>
      </c>
      <c r="BR28" s="56">
        <f t="shared" si="153"/>
        <v>0</v>
      </c>
      <c r="BS28" s="56">
        <f t="shared" si="153"/>
        <v>0</v>
      </c>
      <c r="BT28" s="56">
        <f t="shared" si="153"/>
        <v>0</v>
      </c>
      <c r="BU28" s="56">
        <f t="shared" si="153"/>
        <v>0</v>
      </c>
      <c r="BV28" s="56">
        <f t="shared" si="153"/>
        <v>0</v>
      </c>
      <c r="BW28" s="56">
        <f t="shared" si="153"/>
        <v>0</v>
      </c>
      <c r="BX28" s="56">
        <f t="shared" si="153"/>
        <v>0</v>
      </c>
      <c r="BY28" s="56">
        <f t="shared" si="153"/>
        <v>0</v>
      </c>
      <c r="CA28" s="56">
        <f t="shared" ref="CA28:CI28" si="154">IFERROR(VLOOKUP($L26,traits,CA$2,FALSE),0)</f>
        <v>0</v>
      </c>
      <c r="CB28" s="56">
        <f t="shared" si="154"/>
        <v>0</v>
      </c>
      <c r="CC28" s="56">
        <f t="shared" si="154"/>
        <v>0</v>
      </c>
      <c r="CD28" s="56">
        <f t="shared" si="154"/>
        <v>0</v>
      </c>
      <c r="CE28" s="56">
        <f t="shared" si="154"/>
        <v>0</v>
      </c>
      <c r="CF28" s="56">
        <f t="shared" si="154"/>
        <v>0</v>
      </c>
      <c r="CG28" s="56">
        <f t="shared" si="154"/>
        <v>0</v>
      </c>
      <c r="CH28" s="56">
        <f t="shared" si="154"/>
        <v>0</v>
      </c>
      <c r="CI28" s="56">
        <f t="shared" si="154"/>
        <v>0</v>
      </c>
      <c r="CK28" s="56">
        <f t="shared" ref="CK28:CS28" si="155">IFERROR(VLOOKUP($M26,traits,CK$2,FALSE),0)</f>
        <v>0</v>
      </c>
      <c r="CL28" s="56">
        <f t="shared" si="155"/>
        <v>0</v>
      </c>
      <c r="CM28" s="56">
        <f t="shared" si="155"/>
        <v>0</v>
      </c>
      <c r="CN28" s="56">
        <f t="shared" si="155"/>
        <v>0</v>
      </c>
      <c r="CO28" s="56">
        <f t="shared" si="155"/>
        <v>0</v>
      </c>
      <c r="CP28" s="56">
        <f t="shared" si="155"/>
        <v>0</v>
      </c>
      <c r="CQ28" s="56">
        <f t="shared" si="155"/>
        <v>0</v>
      </c>
      <c r="CR28" s="56">
        <f t="shared" si="155"/>
        <v>0</v>
      </c>
      <c r="CS28" s="56">
        <f t="shared" si="155"/>
        <v>0</v>
      </c>
      <c r="CU28" s="56">
        <f t="shared" ref="CU28:DC28" si="156">IFERROR(VLOOKUP($N26,traits,CU$2,FALSE),0)</f>
        <v>0</v>
      </c>
      <c r="CV28" s="56">
        <f t="shared" si="156"/>
        <v>0</v>
      </c>
      <c r="CW28" s="56">
        <f t="shared" si="156"/>
        <v>0</v>
      </c>
      <c r="CX28" s="56">
        <f t="shared" si="156"/>
        <v>0</v>
      </c>
      <c r="CY28" s="56">
        <f t="shared" si="156"/>
        <v>0</v>
      </c>
      <c r="CZ28" s="56">
        <f t="shared" si="156"/>
        <v>0</v>
      </c>
      <c r="DA28" s="56">
        <f t="shared" si="156"/>
        <v>0</v>
      </c>
      <c r="DB28" s="56">
        <f t="shared" si="156"/>
        <v>0</v>
      </c>
      <c r="DC28" s="56">
        <f t="shared" si="156"/>
        <v>0</v>
      </c>
      <c r="DF28" s="56">
        <f t="shared" ref="DF28:DN28" si="157">IFERROR(VLOOKUP($O26,Relics,DF$2,FALSE),0)</f>
        <v>0</v>
      </c>
      <c r="DG28" s="56">
        <f t="shared" si="157"/>
        <v>0</v>
      </c>
      <c r="DH28" s="56">
        <f t="shared" si="157"/>
        <v>0</v>
      </c>
      <c r="DI28" s="56">
        <f t="shared" si="157"/>
        <v>0</v>
      </c>
      <c r="DJ28" s="56">
        <f t="shared" si="157"/>
        <v>0</v>
      </c>
      <c r="DK28" s="56">
        <f t="shared" si="157"/>
        <v>0</v>
      </c>
      <c r="DL28" s="56">
        <f t="shared" si="157"/>
        <v>0</v>
      </c>
      <c r="DM28" s="56">
        <f t="shared" si="157"/>
        <v>0</v>
      </c>
      <c r="DN28" s="56">
        <f t="shared" si="157"/>
        <v>0</v>
      </c>
    </row>
    <row r="29" spans="1:118" x14ac:dyDescent="0.35">
      <c r="A29" s="83">
        <v>25</v>
      </c>
      <c r="B29" s="48"/>
      <c r="C29" s="49"/>
      <c r="D29" s="53">
        <f>AM31</f>
        <v>0</v>
      </c>
      <c r="E29" s="53">
        <f t="shared" si="103"/>
        <v>0</v>
      </c>
      <c r="F29" s="53">
        <f t="shared" si="104"/>
        <v>0</v>
      </c>
      <c r="G29" s="53">
        <f t="shared" si="105"/>
        <v>0</v>
      </c>
      <c r="H29" s="53">
        <f t="shared" si="106"/>
        <v>0</v>
      </c>
      <c r="I29" s="53">
        <f t="shared" si="107"/>
        <v>0</v>
      </c>
      <c r="J29" s="53">
        <f t="shared" si="108"/>
        <v>0</v>
      </c>
      <c r="K29" s="50"/>
      <c r="L29" s="50"/>
      <c r="M29" s="50"/>
      <c r="N29" s="50"/>
      <c r="O29" s="50"/>
      <c r="P29" s="54">
        <f t="shared" si="10"/>
        <v>0</v>
      </c>
      <c r="Q29" s="51"/>
      <c r="R29" s="54">
        <f t="shared" si="11"/>
        <v>0</v>
      </c>
      <c r="U29" s="56">
        <f>IF(C29=$U$2,0,IFERROR(VLOOKUP($C29,Stats!$B$4:$B$8,1,FALSE),"Company"))</f>
        <v>0</v>
      </c>
      <c r="V29" s="56">
        <f>IF(C29=$U$2,0,IFERROR(VLOOKUP(K29,Stats!$B$24:$B$27,1,FALSE),"Company"))</f>
        <v>0</v>
      </c>
      <c r="W29" s="56">
        <f>IF(D29=$U$2,0,IFERROR(VLOOKUP(L29,Stats!$B$24:$B$27,1,FALSE),"Company"))</f>
        <v>0</v>
      </c>
      <c r="X29" s="56">
        <f>IF(E29=$U$2,0,IFERROR(VLOOKUP(M29,Stats!$B$24:$B$27,1,FALSE),"Company"))</f>
        <v>0</v>
      </c>
      <c r="Y29" s="56">
        <f>IF(F29=$U$2,0,IFERROR(VLOOKUP(N29,Stats!$B$24:$B$27,1,FALSE),"Company"))</f>
        <v>0</v>
      </c>
      <c r="Z29" s="56">
        <f t="shared" si="12"/>
        <v>0</v>
      </c>
      <c r="AM29" s="73">
        <f t="shared" si="22"/>
        <v>0</v>
      </c>
      <c r="AN29" s="73">
        <f t="shared" si="22"/>
        <v>0</v>
      </c>
      <c r="AO29" s="73">
        <f t="shared" si="22"/>
        <v>0</v>
      </c>
      <c r="AP29" s="73">
        <f t="shared" si="23"/>
        <v>0</v>
      </c>
      <c r="AQ29" s="73">
        <f t="shared" si="13"/>
        <v>0</v>
      </c>
      <c r="AR29" s="73">
        <f t="shared" si="121"/>
        <v>0</v>
      </c>
      <c r="AS29" s="73">
        <f t="shared" si="121"/>
        <v>0</v>
      </c>
      <c r="BC29" s="56">
        <f t="shared" si="15"/>
        <v>0</v>
      </c>
      <c r="BD29" s="56">
        <f t="shared" si="15"/>
        <v>0</v>
      </c>
      <c r="BG29" s="56">
        <f t="shared" ref="BG29:BO29" si="158">IFERROR(VLOOKUP($C27,stats,BG$2,FALSE),0)</f>
        <v>0</v>
      </c>
      <c r="BH29" s="56">
        <f t="shared" si="158"/>
        <v>0</v>
      </c>
      <c r="BI29" s="56">
        <f t="shared" si="158"/>
        <v>0</v>
      </c>
      <c r="BJ29" s="56">
        <f t="shared" si="158"/>
        <v>0</v>
      </c>
      <c r="BK29" s="56">
        <f t="shared" si="158"/>
        <v>0</v>
      </c>
      <c r="BL29" s="56">
        <f t="shared" si="158"/>
        <v>0</v>
      </c>
      <c r="BM29" s="56">
        <f t="shared" si="158"/>
        <v>0</v>
      </c>
      <c r="BN29" s="56">
        <f t="shared" si="158"/>
        <v>0</v>
      </c>
      <c r="BO29" s="56">
        <f t="shared" si="158"/>
        <v>0</v>
      </c>
      <c r="BQ29" s="56">
        <f t="shared" ref="BQ29:BY29" si="159">IFERROR(VLOOKUP($K27,traits,BQ$2,FALSE),0)</f>
        <v>0</v>
      </c>
      <c r="BR29" s="56">
        <f t="shared" si="159"/>
        <v>0</v>
      </c>
      <c r="BS29" s="56">
        <f t="shared" si="159"/>
        <v>0</v>
      </c>
      <c r="BT29" s="56">
        <f t="shared" si="159"/>
        <v>0</v>
      </c>
      <c r="BU29" s="56">
        <f t="shared" si="159"/>
        <v>0</v>
      </c>
      <c r="BV29" s="56">
        <f t="shared" si="159"/>
        <v>0</v>
      </c>
      <c r="BW29" s="56">
        <f t="shared" si="159"/>
        <v>0</v>
      </c>
      <c r="BX29" s="56">
        <f t="shared" si="159"/>
        <v>0</v>
      </c>
      <c r="BY29" s="56">
        <f t="shared" si="159"/>
        <v>0</v>
      </c>
      <c r="CA29" s="56">
        <f t="shared" ref="CA29:CI29" si="160">IFERROR(VLOOKUP($L27,traits,CA$2,FALSE),0)</f>
        <v>0</v>
      </c>
      <c r="CB29" s="56">
        <f t="shared" si="160"/>
        <v>0</v>
      </c>
      <c r="CC29" s="56">
        <f t="shared" si="160"/>
        <v>0</v>
      </c>
      <c r="CD29" s="56">
        <f t="shared" si="160"/>
        <v>0</v>
      </c>
      <c r="CE29" s="56">
        <f t="shared" si="160"/>
        <v>0</v>
      </c>
      <c r="CF29" s="56">
        <f t="shared" si="160"/>
        <v>0</v>
      </c>
      <c r="CG29" s="56">
        <f t="shared" si="160"/>
        <v>0</v>
      </c>
      <c r="CH29" s="56">
        <f t="shared" si="160"/>
        <v>0</v>
      </c>
      <c r="CI29" s="56">
        <f t="shared" si="160"/>
        <v>0</v>
      </c>
      <c r="CK29" s="56">
        <f t="shared" ref="CK29:CS29" si="161">IFERROR(VLOOKUP($M27,traits,CK$2,FALSE),0)</f>
        <v>0</v>
      </c>
      <c r="CL29" s="56">
        <f t="shared" si="161"/>
        <v>0</v>
      </c>
      <c r="CM29" s="56">
        <f t="shared" si="161"/>
        <v>0</v>
      </c>
      <c r="CN29" s="56">
        <f t="shared" si="161"/>
        <v>0</v>
      </c>
      <c r="CO29" s="56">
        <f t="shared" si="161"/>
        <v>0</v>
      </c>
      <c r="CP29" s="56">
        <f t="shared" si="161"/>
        <v>0</v>
      </c>
      <c r="CQ29" s="56">
        <f t="shared" si="161"/>
        <v>0</v>
      </c>
      <c r="CR29" s="56">
        <f t="shared" si="161"/>
        <v>0</v>
      </c>
      <c r="CS29" s="56">
        <f t="shared" si="161"/>
        <v>0</v>
      </c>
      <c r="CU29" s="56">
        <f t="shared" ref="CU29:DC29" si="162">IFERROR(VLOOKUP($N27,traits,CU$2,FALSE),0)</f>
        <v>0</v>
      </c>
      <c r="CV29" s="56">
        <f t="shared" si="162"/>
        <v>0</v>
      </c>
      <c r="CW29" s="56">
        <f t="shared" si="162"/>
        <v>0</v>
      </c>
      <c r="CX29" s="56">
        <f t="shared" si="162"/>
        <v>0</v>
      </c>
      <c r="CY29" s="56">
        <f t="shared" si="162"/>
        <v>0</v>
      </c>
      <c r="CZ29" s="56">
        <f t="shared" si="162"/>
        <v>0</v>
      </c>
      <c r="DA29" s="56">
        <f t="shared" si="162"/>
        <v>0</v>
      </c>
      <c r="DB29" s="56">
        <f t="shared" si="162"/>
        <v>0</v>
      </c>
      <c r="DC29" s="56">
        <f t="shared" si="162"/>
        <v>0</v>
      </c>
      <c r="DF29" s="56">
        <f t="shared" ref="DF29:DN29" si="163">IFERROR(VLOOKUP($O27,Relics,DF$2,FALSE),0)</f>
        <v>0</v>
      </c>
      <c r="DG29" s="56">
        <f t="shared" si="163"/>
        <v>0</v>
      </c>
      <c r="DH29" s="56">
        <f t="shared" si="163"/>
        <v>0</v>
      </c>
      <c r="DI29" s="56">
        <f t="shared" si="163"/>
        <v>0</v>
      </c>
      <c r="DJ29" s="56">
        <f t="shared" si="163"/>
        <v>0</v>
      </c>
      <c r="DK29" s="56">
        <f t="shared" si="163"/>
        <v>0</v>
      </c>
      <c r="DL29" s="56">
        <f t="shared" si="163"/>
        <v>0</v>
      </c>
      <c r="DM29" s="56">
        <f t="shared" si="163"/>
        <v>0</v>
      </c>
      <c r="DN29" s="56">
        <f t="shared" si="163"/>
        <v>0</v>
      </c>
    </row>
    <row r="30" spans="1:118" x14ac:dyDescent="0.35">
      <c r="B30" s="89"/>
      <c r="C30" s="85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5"/>
      <c r="Q30" s="85"/>
      <c r="R30" s="90"/>
      <c r="AM30" s="73">
        <f t="shared" si="22"/>
        <v>0</v>
      </c>
      <c r="AN30" s="73">
        <f t="shared" si="22"/>
        <v>0</v>
      </c>
      <c r="AO30" s="73">
        <f t="shared" si="22"/>
        <v>0</v>
      </c>
      <c r="AP30" s="73">
        <f t="shared" si="23"/>
        <v>0</v>
      </c>
      <c r="AQ30" s="73">
        <f t="shared" si="13"/>
        <v>0</v>
      </c>
      <c r="AR30" s="73">
        <f t="shared" si="121"/>
        <v>0</v>
      </c>
      <c r="AS30" s="73">
        <f t="shared" si="121"/>
        <v>0</v>
      </c>
      <c r="BC30" s="56">
        <f t="shared" si="15"/>
        <v>0</v>
      </c>
      <c r="BD30" s="56">
        <f t="shared" si="15"/>
        <v>0</v>
      </c>
      <c r="BG30" s="56">
        <f t="shared" ref="BG30:BO30" si="164">IFERROR(VLOOKUP($C28,stats,BG$2,FALSE),0)</f>
        <v>0</v>
      </c>
      <c r="BH30" s="56">
        <f t="shared" si="164"/>
        <v>0</v>
      </c>
      <c r="BI30" s="56">
        <f t="shared" si="164"/>
        <v>0</v>
      </c>
      <c r="BJ30" s="56">
        <f t="shared" si="164"/>
        <v>0</v>
      </c>
      <c r="BK30" s="56">
        <f t="shared" si="164"/>
        <v>0</v>
      </c>
      <c r="BL30" s="56">
        <f t="shared" si="164"/>
        <v>0</v>
      </c>
      <c r="BM30" s="56">
        <f t="shared" si="164"/>
        <v>0</v>
      </c>
      <c r="BN30" s="56">
        <f t="shared" si="164"/>
        <v>0</v>
      </c>
      <c r="BO30" s="56">
        <f t="shared" si="164"/>
        <v>0</v>
      </c>
      <c r="BQ30" s="56">
        <f t="shared" ref="BQ30:BY30" si="165">IFERROR(VLOOKUP($K28,traits,BQ$2,FALSE),0)</f>
        <v>0</v>
      </c>
      <c r="BR30" s="56">
        <f t="shared" si="165"/>
        <v>0</v>
      </c>
      <c r="BS30" s="56">
        <f t="shared" si="165"/>
        <v>0</v>
      </c>
      <c r="BT30" s="56">
        <f t="shared" si="165"/>
        <v>0</v>
      </c>
      <c r="BU30" s="56">
        <f t="shared" si="165"/>
        <v>0</v>
      </c>
      <c r="BV30" s="56">
        <f t="shared" si="165"/>
        <v>0</v>
      </c>
      <c r="BW30" s="56">
        <f t="shared" si="165"/>
        <v>0</v>
      </c>
      <c r="BX30" s="56">
        <f t="shared" si="165"/>
        <v>0</v>
      </c>
      <c r="BY30" s="56">
        <f t="shared" si="165"/>
        <v>0</v>
      </c>
      <c r="CA30" s="56">
        <f t="shared" ref="CA30:CI30" si="166">IFERROR(VLOOKUP($L28,traits,CA$2,FALSE),0)</f>
        <v>0</v>
      </c>
      <c r="CB30" s="56">
        <f t="shared" si="166"/>
        <v>0</v>
      </c>
      <c r="CC30" s="56">
        <f t="shared" si="166"/>
        <v>0</v>
      </c>
      <c r="CD30" s="56">
        <f t="shared" si="166"/>
        <v>0</v>
      </c>
      <c r="CE30" s="56">
        <f t="shared" si="166"/>
        <v>0</v>
      </c>
      <c r="CF30" s="56">
        <f t="shared" si="166"/>
        <v>0</v>
      </c>
      <c r="CG30" s="56">
        <f t="shared" si="166"/>
        <v>0</v>
      </c>
      <c r="CH30" s="56">
        <f t="shared" si="166"/>
        <v>0</v>
      </c>
      <c r="CI30" s="56">
        <f t="shared" si="166"/>
        <v>0</v>
      </c>
      <c r="CK30" s="56">
        <f t="shared" ref="CK30:CS30" si="167">IFERROR(VLOOKUP($M28,traits,CK$2,FALSE),0)</f>
        <v>0</v>
      </c>
      <c r="CL30" s="56">
        <f t="shared" si="167"/>
        <v>0</v>
      </c>
      <c r="CM30" s="56">
        <f t="shared" si="167"/>
        <v>0</v>
      </c>
      <c r="CN30" s="56">
        <f t="shared" si="167"/>
        <v>0</v>
      </c>
      <c r="CO30" s="56">
        <f t="shared" si="167"/>
        <v>0</v>
      </c>
      <c r="CP30" s="56">
        <f t="shared" si="167"/>
        <v>0</v>
      </c>
      <c r="CQ30" s="56">
        <f t="shared" si="167"/>
        <v>0</v>
      </c>
      <c r="CR30" s="56">
        <f t="shared" si="167"/>
        <v>0</v>
      </c>
      <c r="CS30" s="56">
        <f t="shared" si="167"/>
        <v>0</v>
      </c>
      <c r="CU30" s="56">
        <f t="shared" ref="CU30:DC30" si="168">IFERROR(VLOOKUP($N28,traits,CU$2,FALSE),0)</f>
        <v>0</v>
      </c>
      <c r="CV30" s="56">
        <f t="shared" si="168"/>
        <v>0</v>
      </c>
      <c r="CW30" s="56">
        <f t="shared" si="168"/>
        <v>0</v>
      </c>
      <c r="CX30" s="56">
        <f t="shared" si="168"/>
        <v>0</v>
      </c>
      <c r="CY30" s="56">
        <f t="shared" si="168"/>
        <v>0</v>
      </c>
      <c r="CZ30" s="56">
        <f t="shared" si="168"/>
        <v>0</v>
      </c>
      <c r="DA30" s="56">
        <f t="shared" si="168"/>
        <v>0</v>
      </c>
      <c r="DB30" s="56">
        <f t="shared" si="168"/>
        <v>0</v>
      </c>
      <c r="DC30" s="56">
        <f t="shared" si="168"/>
        <v>0</v>
      </c>
      <c r="DF30" s="56">
        <f t="shared" ref="DF30:DN30" si="169">IFERROR(VLOOKUP($O28,Relics,DF$2,FALSE),0)</f>
        <v>0</v>
      </c>
      <c r="DG30" s="56">
        <f t="shared" si="169"/>
        <v>0</v>
      </c>
      <c r="DH30" s="56">
        <f t="shared" si="169"/>
        <v>0</v>
      </c>
      <c r="DI30" s="56">
        <f t="shared" si="169"/>
        <v>0</v>
      </c>
      <c r="DJ30" s="56">
        <f t="shared" si="169"/>
        <v>0</v>
      </c>
      <c r="DK30" s="56">
        <f t="shared" si="169"/>
        <v>0</v>
      </c>
      <c r="DL30" s="56">
        <f t="shared" si="169"/>
        <v>0</v>
      </c>
      <c r="DM30" s="56">
        <f t="shared" si="169"/>
        <v>0</v>
      </c>
      <c r="DN30" s="56">
        <f t="shared" si="169"/>
        <v>0</v>
      </c>
    </row>
    <row r="31" spans="1:118" x14ac:dyDescent="0.35">
      <c r="B31" s="38"/>
      <c r="C31" s="87" t="s">
        <v>134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87"/>
      <c r="Q31" s="87"/>
      <c r="R31" s="91"/>
      <c r="AM31" s="73">
        <f t="shared" si="22"/>
        <v>0</v>
      </c>
      <c r="AN31" s="73">
        <f t="shared" si="22"/>
        <v>0</v>
      </c>
      <c r="AO31" s="73">
        <f t="shared" si="22"/>
        <v>0</v>
      </c>
      <c r="AP31" s="73">
        <f t="shared" si="23"/>
        <v>0</v>
      </c>
      <c r="AQ31" s="73">
        <f t="shared" si="13"/>
        <v>0</v>
      </c>
      <c r="AR31" s="73">
        <f t="shared" si="121"/>
        <v>0</v>
      </c>
      <c r="AS31" s="73">
        <f t="shared" si="121"/>
        <v>0</v>
      </c>
      <c r="BC31" s="56">
        <f t="shared" si="15"/>
        <v>0</v>
      </c>
      <c r="BD31" s="56">
        <f t="shared" si="15"/>
        <v>0</v>
      </c>
      <c r="BQ31" s="56">
        <f t="shared" ref="BQ31:BY31" si="170">IFERROR(VLOOKUP($K29,traits,BQ$2,FALSE),0)</f>
        <v>0</v>
      </c>
      <c r="BR31" s="56">
        <f t="shared" si="170"/>
        <v>0</v>
      </c>
      <c r="BS31" s="56">
        <f t="shared" si="170"/>
        <v>0</v>
      </c>
      <c r="BT31" s="56">
        <f t="shared" si="170"/>
        <v>0</v>
      </c>
      <c r="BU31" s="56">
        <f t="shared" si="170"/>
        <v>0</v>
      </c>
      <c r="BV31" s="56">
        <f t="shared" si="170"/>
        <v>0</v>
      </c>
      <c r="BW31" s="56">
        <f t="shared" si="170"/>
        <v>0</v>
      </c>
      <c r="BX31" s="56">
        <f t="shared" si="170"/>
        <v>0</v>
      </c>
      <c r="BY31" s="56">
        <f t="shared" si="170"/>
        <v>0</v>
      </c>
      <c r="CA31" s="56">
        <f t="shared" ref="CA31:CI31" si="171">IFERROR(VLOOKUP($L29,traits,CA$2,FALSE),0)</f>
        <v>0</v>
      </c>
      <c r="CB31" s="56">
        <f t="shared" si="171"/>
        <v>0</v>
      </c>
      <c r="CC31" s="56">
        <f t="shared" si="171"/>
        <v>0</v>
      </c>
      <c r="CD31" s="56">
        <f t="shared" si="171"/>
        <v>0</v>
      </c>
      <c r="CE31" s="56">
        <f t="shared" si="171"/>
        <v>0</v>
      </c>
      <c r="CF31" s="56">
        <f t="shared" si="171"/>
        <v>0</v>
      </c>
      <c r="CG31" s="56">
        <f t="shared" si="171"/>
        <v>0</v>
      </c>
      <c r="CH31" s="56">
        <f t="shared" si="171"/>
        <v>0</v>
      </c>
      <c r="CI31" s="56">
        <f t="shared" si="171"/>
        <v>0</v>
      </c>
      <c r="CK31" s="56">
        <f t="shared" ref="CK31:CS31" si="172">IFERROR(VLOOKUP($M29,traits,CK$2,FALSE),0)</f>
        <v>0</v>
      </c>
      <c r="CL31" s="56">
        <f t="shared" si="172"/>
        <v>0</v>
      </c>
      <c r="CM31" s="56">
        <f t="shared" si="172"/>
        <v>0</v>
      </c>
      <c r="CN31" s="56">
        <f t="shared" si="172"/>
        <v>0</v>
      </c>
      <c r="CO31" s="56">
        <f t="shared" si="172"/>
        <v>0</v>
      </c>
      <c r="CP31" s="56">
        <f t="shared" si="172"/>
        <v>0</v>
      </c>
      <c r="CQ31" s="56">
        <f t="shared" si="172"/>
        <v>0</v>
      </c>
      <c r="CR31" s="56">
        <f t="shared" si="172"/>
        <v>0</v>
      </c>
      <c r="CS31" s="56">
        <f t="shared" si="172"/>
        <v>0</v>
      </c>
      <c r="CU31" s="56">
        <f t="shared" ref="CU31:DC31" si="173">IFERROR(VLOOKUP($N29,traits,CU$2,FALSE),0)</f>
        <v>0</v>
      </c>
      <c r="CV31" s="56">
        <f t="shared" si="173"/>
        <v>0</v>
      </c>
      <c r="CW31" s="56">
        <f t="shared" si="173"/>
        <v>0</v>
      </c>
      <c r="CX31" s="56">
        <f t="shared" si="173"/>
        <v>0</v>
      </c>
      <c r="CY31" s="56">
        <f t="shared" si="173"/>
        <v>0</v>
      </c>
      <c r="CZ31" s="56">
        <f t="shared" si="173"/>
        <v>0</v>
      </c>
      <c r="DA31" s="56">
        <f t="shared" si="173"/>
        <v>0</v>
      </c>
      <c r="DB31" s="56">
        <f t="shared" si="173"/>
        <v>0</v>
      </c>
      <c r="DC31" s="56">
        <f t="shared" si="173"/>
        <v>0</v>
      </c>
      <c r="DF31" s="56">
        <f t="shared" ref="DF31:DN31" si="174">IFERROR(VLOOKUP($O29,Relics,DF$2,FALSE),0)</f>
        <v>0</v>
      </c>
      <c r="DG31" s="56">
        <f t="shared" si="174"/>
        <v>0</v>
      </c>
      <c r="DH31" s="56">
        <f t="shared" si="174"/>
        <v>0</v>
      </c>
      <c r="DI31" s="56">
        <f t="shared" si="174"/>
        <v>0</v>
      </c>
      <c r="DJ31" s="56">
        <f t="shared" si="174"/>
        <v>0</v>
      </c>
      <c r="DK31" s="56">
        <f t="shared" si="174"/>
        <v>0</v>
      </c>
      <c r="DL31" s="56">
        <f t="shared" si="174"/>
        <v>0</v>
      </c>
      <c r="DM31" s="56">
        <f t="shared" si="174"/>
        <v>0</v>
      </c>
      <c r="DN31" s="56">
        <f t="shared" si="174"/>
        <v>0</v>
      </c>
    </row>
    <row r="32" spans="1:118" s="78" customFormat="1" ht="14.4" customHeight="1" x14ac:dyDescent="0.35">
      <c r="A32" s="84"/>
      <c r="B32" s="80" t="s">
        <v>184</v>
      </c>
      <c r="C32" s="93" t="s">
        <v>185</v>
      </c>
      <c r="D32" s="93"/>
      <c r="E32" s="93" t="s">
        <v>186</v>
      </c>
      <c r="F32" s="93"/>
      <c r="G32" s="93"/>
      <c r="H32" s="93" t="s">
        <v>187</v>
      </c>
      <c r="I32" s="93"/>
      <c r="J32" s="93"/>
      <c r="K32" s="81"/>
      <c r="L32" s="81"/>
      <c r="M32" s="81"/>
      <c r="N32" s="81"/>
      <c r="O32" s="81"/>
      <c r="AB32" s="79"/>
      <c r="BC32" s="78">
        <f>IFERROR(VLOOKUP(#REF!,Relics,BC$2,FALSE),0)</f>
        <v>0</v>
      </c>
      <c r="BD32" s="78">
        <f>IFERROR(VLOOKUP(#REF!,Relics,BD$2,FALSE),0)</f>
        <v>0</v>
      </c>
      <c r="BQ32" s="78">
        <f t="shared" ref="BQ32:BY32" si="175">IFERROR(VLOOKUP($K30,traits,BQ$2,FALSE),0)</f>
        <v>0</v>
      </c>
      <c r="BR32" s="78">
        <f t="shared" si="175"/>
        <v>0</v>
      </c>
      <c r="BS32" s="78">
        <f t="shared" si="175"/>
        <v>0</v>
      </c>
      <c r="BT32" s="78">
        <f t="shared" si="175"/>
        <v>0</v>
      </c>
      <c r="BU32" s="78">
        <f t="shared" si="175"/>
        <v>0</v>
      </c>
      <c r="BV32" s="78">
        <f t="shared" si="175"/>
        <v>0</v>
      </c>
      <c r="BW32" s="78">
        <f t="shared" si="175"/>
        <v>0</v>
      </c>
      <c r="BX32" s="78">
        <f t="shared" si="175"/>
        <v>0</v>
      </c>
      <c r="BY32" s="78">
        <f t="shared" si="175"/>
        <v>0</v>
      </c>
    </row>
    <row r="33" spans="55:70" hidden="1" x14ac:dyDescent="0.35">
      <c r="BC33" s="56">
        <f>IFERROR(VLOOKUP(#REF!,Relics,BC$2,FALSE),0)</f>
        <v>0</v>
      </c>
      <c r="BD33" s="56">
        <f>IFERROR(VLOOKUP(#REF!,Relics,BD$2,FALSE),0)</f>
        <v>0</v>
      </c>
      <c r="BQ33" s="56">
        <f t="shared" ref="BQ33:BR37" si="176">IFERROR(VLOOKUP($K31,traits,BQ$2,FALSE),0)</f>
        <v>0</v>
      </c>
      <c r="BR33" s="56">
        <f t="shared" si="176"/>
        <v>0</v>
      </c>
    </row>
    <row r="34" spans="55:70" hidden="1" x14ac:dyDescent="0.35">
      <c r="BC34" s="56">
        <f>IFERROR(VLOOKUP(#REF!,Relics,BC$2,FALSE),0)</f>
        <v>0</v>
      </c>
      <c r="BD34" s="56">
        <f>IFERROR(VLOOKUP(#REF!,Relics,BD$2,FALSE),0)</f>
        <v>0</v>
      </c>
      <c r="BQ34" s="56">
        <f t="shared" si="176"/>
        <v>0</v>
      </c>
      <c r="BR34" s="56">
        <f t="shared" si="176"/>
        <v>0</v>
      </c>
    </row>
    <row r="35" spans="55:70" hidden="1" x14ac:dyDescent="0.35">
      <c r="BC35" s="56">
        <f>IFERROR(VLOOKUP(#REF!,Relics,BC$2,FALSE),0)</f>
        <v>0</v>
      </c>
      <c r="BD35" s="56">
        <f>IFERROR(VLOOKUP(#REF!,Relics,BD$2,FALSE),0)</f>
        <v>0</v>
      </c>
      <c r="BQ35" s="56">
        <f t="shared" si="176"/>
        <v>0</v>
      </c>
      <c r="BR35" s="56">
        <f t="shared" si="176"/>
        <v>0</v>
      </c>
    </row>
    <row r="36" spans="55:70" hidden="1" x14ac:dyDescent="0.35">
      <c r="BC36" s="56">
        <f t="shared" si="15"/>
        <v>0</v>
      </c>
      <c r="BD36" s="56">
        <f t="shared" si="15"/>
        <v>0</v>
      </c>
      <c r="BQ36" s="56">
        <f t="shared" si="176"/>
        <v>0</v>
      </c>
      <c r="BR36" s="56">
        <f t="shared" si="176"/>
        <v>0</v>
      </c>
    </row>
    <row r="37" spans="55:70" hidden="1" x14ac:dyDescent="0.35">
      <c r="BC37" s="56">
        <f t="shared" si="15"/>
        <v>0</v>
      </c>
      <c r="BD37" s="56">
        <f t="shared" si="15"/>
        <v>0</v>
      </c>
      <c r="BQ37" s="56">
        <f t="shared" si="176"/>
        <v>0</v>
      </c>
      <c r="BR37" s="56">
        <f t="shared" si="176"/>
        <v>0</v>
      </c>
    </row>
  </sheetData>
  <sheetProtection algorithmName="SHA-512" hashValue="iqU8v/8WGQoYWO1/q6gJTeH/BxjuRdpfonnaetzV07dSAYY9PeL6/d3JThDskGP1kxKIWik1McjzH0pXMvmnnQ==" saltValue="dlWcRM5nCrwCP129RxYKVw==" spinCount="100000" sheet="1" selectLockedCells="1"/>
  <dataConsolidate/>
  <mergeCells count="5">
    <mergeCell ref="C32:D32"/>
    <mergeCell ref="E32:G32"/>
    <mergeCell ref="H32:J32"/>
    <mergeCell ref="G3:H3"/>
    <mergeCell ref="C2:D2"/>
  </mergeCells>
  <conditionalFormatting sqref="I3:O3 A2:A4 B3:G3 B4:S4 K5:S5 Q6:S7 Q3 C2 Q2:R2 A30:N31 AW2:AX5 S2:S3 E2:O2 AE5:AG8 AL7:AL12 AH5:AH12 AJ5:AK12 A34:AA1048576 Q30:AA33 AB15:AB1048576 A33:N33 A32:C32 E32 H32 K32:N32 BE2:DE32 AC15:AL32 AT7:BB32 AZ5:BB5 AZ4:BC4 AY4:AY5 Q8:U29 AA15:AA29 AA13:AL14 AA5:AD12 BE33:XFD1048576 DO2:XFD32 W4:AH4 U4:U29 V5:Y29 AR5:AX5 AR6:BB6 AL5:AP6 AJ4:AX4 AC38:BC1048576 AC33:BB37 V2:BC3 AM32:AS32 K6:P29 A5:J29">
    <cfRule type="cellIs" dxfId="22" priority="17" operator="equal">
      <formula>0</formula>
    </cfRule>
  </conditionalFormatting>
  <conditionalFormatting sqref="BC5:BC6 BD2:BD6 BD38:BD1048576 AM7:AS31">
    <cfRule type="cellIs" dxfId="21" priority="16" operator="equal">
      <formula>0</formula>
    </cfRule>
  </conditionalFormatting>
  <conditionalFormatting sqref="BC7:BD37">
    <cfRule type="cellIs" dxfId="20" priority="15" operator="equal">
      <formula>0</formula>
    </cfRule>
  </conditionalFormatting>
  <conditionalFormatting sqref="AX3:AY5">
    <cfRule type="cellIs" dxfId="19" priority="14" operator="equal">
      <formula>0</formula>
    </cfRule>
  </conditionalFormatting>
  <conditionalFormatting sqref="AG9:AG12 AI4:AI12">
    <cfRule type="cellIs" dxfId="18" priority="9" operator="equal">
      <formula>0</formula>
    </cfRule>
  </conditionalFormatting>
  <conditionalFormatting sqref="AF9:AF12">
    <cfRule type="cellIs" dxfId="17" priority="10" operator="equal">
      <formula>0</formula>
    </cfRule>
  </conditionalFormatting>
  <conditionalFormatting sqref="AE9:AE12">
    <cfRule type="cellIs" dxfId="16" priority="11" operator="equal">
      <formula>0</formula>
    </cfRule>
  </conditionalFormatting>
  <conditionalFormatting sqref="B32">
    <cfRule type="expression" dxfId="15" priority="7">
      <formula>$AE$15&lt;=$AD$15</formula>
    </cfRule>
  </conditionalFormatting>
  <conditionalFormatting sqref="C32:D32">
    <cfRule type="expression" dxfId="14" priority="6">
      <formula>$AE$16&lt;=$AD$16</formula>
    </cfRule>
  </conditionalFormatting>
  <conditionalFormatting sqref="E32:G32">
    <cfRule type="expression" dxfId="13" priority="5">
      <formula>$AE$17&lt;=$AD$17</formula>
    </cfRule>
  </conditionalFormatting>
  <conditionalFormatting sqref="H32:J32">
    <cfRule type="expression" dxfId="12" priority="4">
      <formula>$AE$18&lt;=$AD$18</formula>
    </cfRule>
  </conditionalFormatting>
  <conditionalFormatting sqref="DF2:DN32">
    <cfRule type="cellIs" dxfId="11" priority="3" operator="equal">
      <formula>0</formula>
    </cfRule>
  </conditionalFormatting>
  <dataValidations count="27">
    <dataValidation type="list" allowBlank="1" showInputMessage="1" showErrorMessage="1" sqref="C5:C29" xr:uid="{C985BA73-1FC7-4C0E-B7F8-67615EB7DA50}">
      <formula1>companys</formula1>
    </dataValidation>
    <dataValidation type="list" allowBlank="1" showInputMessage="1" showErrorMessage="1" sqref="K6:N6" xr:uid="{5B55BABF-37FF-4323-BBA9-9501F05822AA}">
      <formula1>IF($U6=0,HERO,IF($U6=$U$4,ROW2_TRAITS,HERO))</formula1>
    </dataValidation>
    <dataValidation type="list" allowBlank="1" showInputMessage="1" showErrorMessage="1" sqref="K7:N7" xr:uid="{2FA9BF14-4403-4B8C-9FE8-FEC3075E58D9}">
      <formula1>IF($U7=0,HERO,IF($U7=$U$4,ROW3_TRAITS,HERO))</formula1>
    </dataValidation>
    <dataValidation type="list" allowBlank="1" showInputMessage="1" showErrorMessage="1" sqref="K8:N8" xr:uid="{0149DB50-47BE-4F15-A3E7-7142953FFC87}">
      <formula1>IF($U8=0,HERO,IF($U8=$U$4,ROW4_TRAITS,HERO))</formula1>
    </dataValidation>
    <dataValidation type="list" allowBlank="1" showInputMessage="1" showErrorMessage="1" sqref="K9:N9" xr:uid="{510047D2-4CC4-4E93-8F38-C7723051C84B}">
      <formula1>IF($U9=0,HERO,IF($U9=$U$4,ROW5_TRAITS,HERO))</formula1>
    </dataValidation>
    <dataValidation type="list" allowBlank="1" showInputMessage="1" showErrorMessage="1" sqref="K10:N10" xr:uid="{838ADCEA-56A0-4B9A-82BF-A95B926206A5}">
      <formula1>IF($U10=0,HERO,IF($U10=$U$4,ROW6_TRAITS,HERO))</formula1>
    </dataValidation>
    <dataValidation type="list" allowBlank="1" showInputMessage="1" showErrorMessage="1" sqref="K11:N11" xr:uid="{A8E2D2DF-7C36-475A-A6DF-6C00FF68EC0F}">
      <formula1>IF($U11=0,HERO,IF($U11=$U$4,ROW7_TRAITS,HERO))</formula1>
    </dataValidation>
    <dataValidation type="list" allowBlank="1" showInputMessage="1" showErrorMessage="1" sqref="K12:N12" xr:uid="{CC32F9AE-35C6-414F-BD80-530D187002FE}">
      <formula1>IF($U12=0,HERO,IF($U12=$U$4,ROW8_TRAITS,HERO))</formula1>
    </dataValidation>
    <dataValidation type="list" allowBlank="1" showInputMessage="1" showErrorMessage="1" sqref="K13:N13" xr:uid="{D00336D3-4D39-4515-85B0-27D83752BC0B}">
      <formula1>IF($U13=0,HERO,IF($U13=$U$4,ROW9_TRAITS,HERO))</formula1>
    </dataValidation>
    <dataValidation type="list" allowBlank="1" showInputMessage="1" showErrorMessage="1" sqref="K14:N14" xr:uid="{07079526-7B90-4DAD-B4AA-FE49DAF9473B}">
      <formula1>IF($U14=0,HERO,IF($U14=$U$4,ROW10_TRAITS,HERO))</formula1>
    </dataValidation>
    <dataValidation type="list" allowBlank="1" showInputMessage="1" showErrorMessage="1" sqref="K15:N15" xr:uid="{3DE5B87A-2CEF-43C5-B508-E1C19870648A}">
      <formula1>IF($U15=0,HERO,IF($U15=$U$4,ROW11_TRAITS,HERO))</formula1>
    </dataValidation>
    <dataValidation type="list" allowBlank="1" showInputMessage="1" showErrorMessage="1" sqref="K29:N29" xr:uid="{63B546A3-8212-410A-904B-BD0ABC446F81}">
      <formula1>IF($U29=0,HERO,IF($U29=$U$4,TRAITS_ROW25,HERO))</formula1>
    </dataValidation>
    <dataValidation type="list" allowBlank="1" showInputMessage="1" showErrorMessage="1" sqref="K16:N16" xr:uid="{135528D0-556B-4D8F-9AE6-2D74372C7E79}">
      <formula1>IF($U16=0,HERO,IF($U16=$U$4,TRAITS_ROW12,HERO))</formula1>
    </dataValidation>
    <dataValidation type="list" allowBlank="1" showInputMessage="1" showErrorMessage="1" sqref="K17:N17" xr:uid="{DED1D52A-6E8F-481E-AC6E-0D2AA2157B2E}">
      <formula1>IF($U17=0,HERO,IF($U17=$U$4,TRAITS_ROW13,HERO))</formula1>
    </dataValidation>
    <dataValidation type="list" allowBlank="1" showInputMessage="1" showErrorMessage="1" sqref="K18:N18" xr:uid="{6EEA6E32-A70D-4EA5-A895-1C3276D9A112}">
      <formula1>IF($U18=0,HERO,IF($U18=$U$4,TRAITS_ROW14,HERO))</formula1>
    </dataValidation>
    <dataValidation type="list" allowBlank="1" showInputMessage="1" showErrorMessage="1" sqref="K19:N19" xr:uid="{592044E7-E77F-4E41-97AD-863ED8AF5689}">
      <formula1>IF($U19=0,HERO,IF($U19=$U$4,TRAITS_ROW15,HERO))</formula1>
    </dataValidation>
    <dataValidation type="list" allowBlank="1" showInputMessage="1" showErrorMessage="1" sqref="K20:N20" xr:uid="{87FC8323-FDD7-4F1A-AA39-B6615A48A170}">
      <formula1>IF($U20=0,HERO,IF($U20=$U$4,TRAITS_ROW16,HERO))</formula1>
    </dataValidation>
    <dataValidation type="list" allowBlank="1" showInputMessage="1" showErrorMessage="1" sqref="K21:N21" xr:uid="{5EF86FA4-21A0-4F02-81EF-B8589356191A}">
      <formula1>IF($U21=0,HERO,IF($U21=$U$4,TRAITS_ROW17,HERO))</formula1>
    </dataValidation>
    <dataValidation type="list" allowBlank="1" showInputMessage="1" showErrorMessage="1" sqref="K22:N22" xr:uid="{3A97F894-4D21-433D-8B1F-FC6932255A89}">
      <formula1>IF($U22=0,HERO,IF($U22=$U$4,TRAITS_ROW18,HERO))</formula1>
    </dataValidation>
    <dataValidation type="list" allowBlank="1" showInputMessage="1" showErrorMessage="1" sqref="K23:N23" xr:uid="{7B88193A-ECD8-4CF3-9532-8B47A238ED5A}">
      <formula1>IF($U23=0,HERO,IF($U23=$U$4,TRAITS_ROW19,HERO))</formula1>
    </dataValidation>
    <dataValidation type="list" allowBlank="1" showInputMessage="1" showErrorMessage="1" sqref="K24:N24" xr:uid="{9E84BBFC-2FCC-42AB-B2ED-08D3207723A2}">
      <formula1>IF($U24=0,HERO,IF($U24=$U$4,TRAITS_ROW20,HERO))</formula1>
    </dataValidation>
    <dataValidation type="list" allowBlank="1" showInputMessage="1" showErrorMessage="1" sqref="K25:N25" xr:uid="{B81726CE-E7B4-41CF-9D20-134391DF4923}">
      <formula1>IF($U25=0,HERO,IF($U25=$U$4,TRAITS_ROW21,HERO))</formula1>
    </dataValidation>
    <dataValidation type="list" allowBlank="1" showInputMessage="1" showErrorMessage="1" sqref="K26:N26" xr:uid="{644640D3-40AB-48AC-AAD6-A1D2772FBFC9}">
      <formula1>IF($U26=0,HERO,IF($U26=$U$4,TRAITS_ROW22,HERO))</formula1>
    </dataValidation>
    <dataValidation type="list" allowBlank="1" showInputMessage="1" showErrorMessage="1" sqref="K27:N27" xr:uid="{DAF892FF-04AC-4576-BB13-69E0753933BD}">
      <formula1>IF($U27=0,HERO,IF($U27=$U$4,TRAITS_ROW23,HERO))</formula1>
    </dataValidation>
    <dataValidation type="list" allowBlank="1" showInputMessage="1" showErrorMessage="1" sqref="K28:N28" xr:uid="{BE9A25FF-90F7-4A78-8BC6-569CB1B70E15}">
      <formula1>IF($U28=0,HERO,IF($U28=$U$4,TRAITS_ROW24,HERO))</formula1>
    </dataValidation>
    <dataValidation type="list" allowBlank="1" showInputMessage="1" showErrorMessage="1" sqref="O5:O29" xr:uid="{DC6BDCE9-5733-4B85-A22C-5FEC5366A373}">
      <formula1>IF($Z5=0,HERO,IF($Z5=5,HERO,Relic_Names))</formula1>
    </dataValidation>
    <dataValidation type="list" allowBlank="1" showInputMessage="1" showErrorMessage="1" sqref="K5:N5" xr:uid="{2F548AFB-EF21-4DE7-BC27-FC59B5C5547B}">
      <formula1>IF($U5=0,HERO,IF($U5=$U$4,ROW1_TRAITS,HERO))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4B0EC9-DD82-4C66-BE91-93508C8C8767}">
          <x14:formula1>
            <xm:f>Stats!$B$91:$B$98</xm:f>
          </x14:formula1>
          <xm:sqref>L3:N3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D305-040C-4D00-A544-BA0665B5D9DC}">
  <dimension ref="A1:NJ100"/>
  <sheetViews>
    <sheetView workbookViewId="0">
      <selection activeCell="C3" sqref="C3"/>
    </sheetView>
  </sheetViews>
  <sheetFormatPr defaultRowHeight="14.4" x14ac:dyDescent="0.3"/>
  <cols>
    <col min="1" max="1" width="2.77734375" bestFit="1" customWidth="1"/>
    <col min="2" max="2" width="21.88671875" bestFit="1" customWidth="1"/>
    <col min="3" max="3" width="2.33203125" bestFit="1" customWidth="1"/>
    <col min="4" max="5" width="7.5546875" bestFit="1" customWidth="1"/>
    <col min="6" max="10" width="2.33203125" bestFit="1" customWidth="1"/>
    <col min="11" max="11" width="1.77734375" bestFit="1" customWidth="1"/>
    <col min="12" max="12" width="3.44140625" bestFit="1" customWidth="1"/>
    <col min="13" max="13" width="21.88671875" bestFit="1" customWidth="1"/>
    <col min="14" max="14" width="21.88671875" style="69" bestFit="1" customWidth="1"/>
    <col min="15" max="15" width="8.88671875" style="69"/>
    <col min="16" max="16" width="2.77734375" style="69" bestFit="1" customWidth="1"/>
    <col min="17" max="17" width="21.88671875" style="69" bestFit="1" customWidth="1"/>
    <col min="18" max="18" width="2.33203125" bestFit="1" customWidth="1"/>
    <col min="19" max="20" width="7.5546875" bestFit="1" customWidth="1"/>
    <col min="21" max="25" width="2.33203125" bestFit="1" customWidth="1"/>
    <col min="26" max="26" width="1.77734375" bestFit="1" customWidth="1"/>
    <col min="27" max="27" width="3.44140625" bestFit="1" customWidth="1"/>
    <col min="28" max="29" width="21.88671875" bestFit="1" customWidth="1"/>
    <col min="30" max="30" width="10.21875" bestFit="1" customWidth="1"/>
    <col min="31" max="31" width="2.77734375" bestFit="1" customWidth="1"/>
    <col min="32" max="32" width="21.88671875" bestFit="1" customWidth="1"/>
    <col min="33" max="33" width="2.33203125" bestFit="1" customWidth="1"/>
    <col min="34" max="34" width="6.33203125" bestFit="1" customWidth="1"/>
    <col min="35" max="35" width="8.88671875" bestFit="1" customWidth="1"/>
    <col min="36" max="36" width="13.88671875" bestFit="1" customWidth="1"/>
    <col min="37" max="37" width="5.88671875" bestFit="1" customWidth="1"/>
    <col min="38" max="38" width="20" bestFit="1" customWidth="1"/>
    <col min="39" max="39" width="20.88671875" bestFit="1" customWidth="1"/>
    <col min="40" max="40" width="2.33203125" bestFit="1" customWidth="1"/>
    <col min="41" max="41" width="1.77734375" bestFit="1" customWidth="1"/>
    <col min="42" max="42" width="3.44140625" bestFit="1" customWidth="1"/>
    <col min="43" max="44" width="21.88671875" bestFit="1" customWidth="1"/>
    <col min="45" max="45" width="9.44140625" bestFit="1" customWidth="1"/>
    <col min="46" max="46" width="2.77734375" bestFit="1" customWidth="1"/>
    <col min="47" max="47" width="21.88671875" bestFit="1" customWidth="1"/>
    <col min="48" max="48" width="2.33203125" bestFit="1" customWidth="1"/>
    <col min="49" max="49" width="12.33203125" bestFit="1" customWidth="1"/>
    <col min="50" max="50" width="9.44140625" bestFit="1" customWidth="1"/>
    <col min="51" max="51" width="8.88671875" bestFit="1" customWidth="1"/>
    <col min="52" max="52" width="18.44140625" bestFit="1" customWidth="1"/>
    <col min="53" max="53" width="6.21875" bestFit="1" customWidth="1"/>
    <col min="54" max="55" width="2.33203125" bestFit="1" customWidth="1"/>
    <col min="56" max="56" width="1.77734375" bestFit="1" customWidth="1"/>
    <col min="57" max="57" width="3.44140625" bestFit="1" customWidth="1"/>
    <col min="58" max="59" width="21.88671875" bestFit="1" customWidth="1"/>
    <col min="60" max="60" width="15.5546875" bestFit="1" customWidth="1"/>
    <col min="61" max="61" width="2.77734375" bestFit="1" customWidth="1"/>
    <col min="62" max="62" width="21.88671875" bestFit="1" customWidth="1"/>
    <col min="63" max="63" width="2.33203125" bestFit="1" customWidth="1"/>
    <col min="64" max="64" width="12.33203125" bestFit="1" customWidth="1"/>
    <col min="65" max="65" width="12.21875" bestFit="1" customWidth="1"/>
    <col min="66" max="66" width="10.77734375" bestFit="1" customWidth="1"/>
    <col min="67" max="70" width="2.33203125" bestFit="1" customWidth="1"/>
    <col min="71" max="71" width="1.77734375" bestFit="1" customWidth="1"/>
    <col min="72" max="72" width="3.44140625" bestFit="1" customWidth="1"/>
    <col min="73" max="73" width="21.88671875" bestFit="1" customWidth="1"/>
    <col min="74" max="74" width="19.77734375" bestFit="1" customWidth="1"/>
    <col min="76" max="76" width="2.77734375" bestFit="1" customWidth="1"/>
    <col min="77" max="77" width="21.88671875" bestFit="1" customWidth="1"/>
    <col min="78" max="78" width="2.33203125" bestFit="1" customWidth="1"/>
    <col min="85" max="85" width="2.33203125" bestFit="1" customWidth="1"/>
    <col min="86" max="86" width="1.77734375" bestFit="1" customWidth="1"/>
    <col min="87" max="87" width="3.44140625" bestFit="1" customWidth="1"/>
    <col min="88" max="89" width="21.88671875" bestFit="1" customWidth="1"/>
    <col min="91" max="91" width="2.77734375" bestFit="1" customWidth="1"/>
    <col min="92" max="92" width="21.88671875" bestFit="1" customWidth="1"/>
    <col min="93" max="93" width="2.33203125" bestFit="1" customWidth="1"/>
    <col min="100" max="100" width="2.33203125" bestFit="1" customWidth="1"/>
    <col min="101" max="101" width="1.77734375" bestFit="1" customWidth="1"/>
    <col min="102" max="102" width="3.44140625" bestFit="1" customWidth="1"/>
    <col min="103" max="104" width="21.88671875" bestFit="1" customWidth="1"/>
    <col min="106" max="106" width="2.77734375" bestFit="1" customWidth="1"/>
    <col min="107" max="107" width="21.88671875" bestFit="1" customWidth="1"/>
    <col min="108" max="108" width="2.33203125" bestFit="1" customWidth="1"/>
    <col min="115" max="115" width="2.33203125" bestFit="1" customWidth="1"/>
    <col min="116" max="116" width="1.77734375" bestFit="1" customWidth="1"/>
    <col min="117" max="117" width="3.44140625" bestFit="1" customWidth="1"/>
    <col min="118" max="119" width="21.88671875" bestFit="1" customWidth="1"/>
    <col min="121" max="121" width="2.77734375" bestFit="1" customWidth="1"/>
    <col min="122" max="122" width="21.88671875" bestFit="1" customWidth="1"/>
    <col min="123" max="123" width="2.33203125" bestFit="1" customWidth="1"/>
    <col min="130" max="130" width="2.33203125" bestFit="1" customWidth="1"/>
    <col min="131" max="131" width="1.77734375" bestFit="1" customWidth="1"/>
    <col min="132" max="132" width="3.44140625" bestFit="1" customWidth="1"/>
    <col min="133" max="134" width="21.88671875" bestFit="1" customWidth="1"/>
    <col min="136" max="136" width="2.77734375" bestFit="1" customWidth="1"/>
    <col min="137" max="137" width="21.88671875" bestFit="1" customWidth="1"/>
    <col min="138" max="138" width="2.33203125" bestFit="1" customWidth="1"/>
    <col min="145" max="145" width="2.33203125" bestFit="1" customWidth="1"/>
    <col min="146" max="146" width="1.77734375" bestFit="1" customWidth="1"/>
    <col min="147" max="147" width="3.44140625" bestFit="1" customWidth="1"/>
    <col min="148" max="149" width="21.88671875" bestFit="1" customWidth="1"/>
    <col min="151" max="151" width="2.77734375" bestFit="1" customWidth="1"/>
    <col min="152" max="152" width="21.88671875" bestFit="1" customWidth="1"/>
    <col min="153" max="153" width="2.33203125" bestFit="1" customWidth="1"/>
    <col min="160" max="160" width="2.33203125" bestFit="1" customWidth="1"/>
    <col min="161" max="161" width="1.77734375" bestFit="1" customWidth="1"/>
    <col min="162" max="162" width="3.44140625" bestFit="1" customWidth="1"/>
    <col min="163" max="164" width="21.88671875" bestFit="1" customWidth="1"/>
    <col min="166" max="166" width="2.77734375" bestFit="1" customWidth="1"/>
    <col min="167" max="167" width="21.88671875" bestFit="1" customWidth="1"/>
    <col min="168" max="168" width="2.33203125" bestFit="1" customWidth="1"/>
    <col min="175" max="175" width="2.33203125" bestFit="1" customWidth="1"/>
    <col min="176" max="176" width="1.77734375" bestFit="1" customWidth="1"/>
    <col min="177" max="177" width="3.44140625" bestFit="1" customWidth="1"/>
    <col min="178" max="179" width="21.88671875" bestFit="1" customWidth="1"/>
    <col min="181" max="181" width="2.77734375" bestFit="1" customWidth="1"/>
    <col min="182" max="182" width="21.88671875" bestFit="1" customWidth="1"/>
    <col min="183" max="183" width="2.33203125" bestFit="1" customWidth="1"/>
    <col min="190" max="190" width="2.33203125" bestFit="1" customWidth="1"/>
    <col min="191" max="191" width="1.77734375" bestFit="1" customWidth="1"/>
    <col min="192" max="192" width="3.44140625" bestFit="1" customWidth="1"/>
    <col min="193" max="194" width="21.88671875" bestFit="1" customWidth="1"/>
    <col min="196" max="196" width="2.77734375" bestFit="1" customWidth="1"/>
    <col min="197" max="197" width="21.88671875" bestFit="1" customWidth="1"/>
    <col min="198" max="198" width="2.33203125" bestFit="1" customWidth="1"/>
    <col min="205" max="205" width="2.33203125" bestFit="1" customWidth="1"/>
    <col min="206" max="206" width="1.77734375" bestFit="1" customWidth="1"/>
    <col min="207" max="207" width="3.44140625" bestFit="1" customWidth="1"/>
    <col min="208" max="209" width="21.88671875" bestFit="1" customWidth="1"/>
    <col min="211" max="211" width="2.77734375" bestFit="1" customWidth="1"/>
    <col min="212" max="212" width="21.88671875" bestFit="1" customWidth="1"/>
    <col min="213" max="213" width="2.33203125" bestFit="1" customWidth="1"/>
    <col min="220" max="220" width="2.33203125" bestFit="1" customWidth="1"/>
    <col min="221" max="221" width="1.77734375" bestFit="1" customWidth="1"/>
    <col min="222" max="222" width="3.44140625" bestFit="1" customWidth="1"/>
    <col min="223" max="224" width="21.88671875" bestFit="1" customWidth="1"/>
    <col min="226" max="226" width="2.77734375" bestFit="1" customWidth="1"/>
    <col min="227" max="227" width="21.88671875" bestFit="1" customWidth="1"/>
    <col min="228" max="228" width="2.33203125" bestFit="1" customWidth="1"/>
    <col min="235" max="235" width="2.33203125" bestFit="1" customWidth="1"/>
    <col min="236" max="236" width="1.77734375" bestFit="1" customWidth="1"/>
    <col min="237" max="237" width="3.44140625" bestFit="1" customWidth="1"/>
    <col min="238" max="239" width="21.88671875" bestFit="1" customWidth="1"/>
    <col min="241" max="241" width="2.77734375" bestFit="1" customWidth="1"/>
    <col min="242" max="242" width="21.88671875" bestFit="1" customWidth="1"/>
    <col min="243" max="243" width="2.33203125" bestFit="1" customWidth="1"/>
    <col min="250" max="250" width="2.33203125" bestFit="1" customWidth="1"/>
    <col min="251" max="251" width="1.77734375" bestFit="1" customWidth="1"/>
    <col min="252" max="252" width="3.44140625" bestFit="1" customWidth="1"/>
    <col min="253" max="254" width="21.88671875" bestFit="1" customWidth="1"/>
    <col min="256" max="256" width="2.77734375" bestFit="1" customWidth="1"/>
    <col min="257" max="257" width="21.88671875" bestFit="1" customWidth="1"/>
    <col min="258" max="258" width="2.33203125" bestFit="1" customWidth="1"/>
    <col min="265" max="265" width="2.33203125" bestFit="1" customWidth="1"/>
    <col min="266" max="266" width="1.77734375" bestFit="1" customWidth="1"/>
    <col min="267" max="267" width="3.44140625" bestFit="1" customWidth="1"/>
    <col min="268" max="269" width="21.88671875" bestFit="1" customWidth="1"/>
    <col min="271" max="271" width="2.77734375" bestFit="1" customWidth="1"/>
    <col min="272" max="272" width="21.88671875" bestFit="1" customWidth="1"/>
    <col min="273" max="273" width="2.33203125" bestFit="1" customWidth="1"/>
    <col min="280" max="280" width="2.33203125" bestFit="1" customWidth="1"/>
    <col min="281" max="281" width="1.77734375" bestFit="1" customWidth="1"/>
    <col min="282" max="282" width="3.44140625" bestFit="1" customWidth="1"/>
    <col min="283" max="284" width="21.88671875" bestFit="1" customWidth="1"/>
    <col min="286" max="286" width="2.77734375" bestFit="1" customWidth="1"/>
    <col min="287" max="287" width="21.88671875" bestFit="1" customWidth="1"/>
    <col min="288" max="288" width="2.33203125" bestFit="1" customWidth="1"/>
    <col min="295" max="295" width="2.33203125" bestFit="1" customWidth="1"/>
    <col min="296" max="296" width="1.77734375" bestFit="1" customWidth="1"/>
    <col min="297" max="297" width="3.44140625" bestFit="1" customWidth="1"/>
    <col min="298" max="299" width="21.88671875" bestFit="1" customWidth="1"/>
    <col min="301" max="301" width="2.77734375" bestFit="1" customWidth="1"/>
    <col min="302" max="302" width="21.88671875" bestFit="1" customWidth="1"/>
    <col min="303" max="303" width="2.33203125" bestFit="1" customWidth="1"/>
    <col min="310" max="310" width="2.33203125" bestFit="1" customWidth="1"/>
    <col min="311" max="311" width="1.77734375" bestFit="1" customWidth="1"/>
    <col min="312" max="312" width="3.44140625" bestFit="1" customWidth="1"/>
    <col min="313" max="314" width="21.88671875" bestFit="1" customWidth="1"/>
    <col min="316" max="316" width="2.77734375" bestFit="1" customWidth="1"/>
    <col min="317" max="317" width="21.88671875" bestFit="1" customWidth="1"/>
    <col min="318" max="318" width="2.33203125" bestFit="1" customWidth="1"/>
    <col min="325" max="325" width="2.33203125" bestFit="1" customWidth="1"/>
    <col min="326" max="326" width="1.77734375" bestFit="1" customWidth="1"/>
    <col min="327" max="327" width="3.44140625" bestFit="1" customWidth="1"/>
    <col min="328" max="329" width="21.88671875" bestFit="1" customWidth="1"/>
    <col min="331" max="331" width="2.77734375" bestFit="1" customWidth="1"/>
    <col min="332" max="332" width="21.88671875" bestFit="1" customWidth="1"/>
    <col min="333" max="333" width="2.33203125" bestFit="1" customWidth="1"/>
    <col min="340" max="340" width="2.33203125" bestFit="1" customWidth="1"/>
    <col min="341" max="341" width="1.77734375" bestFit="1" customWidth="1"/>
    <col min="342" max="342" width="3.44140625" bestFit="1" customWidth="1"/>
    <col min="343" max="344" width="21.88671875" bestFit="1" customWidth="1"/>
    <col min="346" max="346" width="2.77734375" bestFit="1" customWidth="1"/>
    <col min="347" max="347" width="21.88671875" bestFit="1" customWidth="1"/>
    <col min="348" max="348" width="2.33203125" bestFit="1" customWidth="1"/>
    <col min="355" max="355" width="2.33203125" bestFit="1" customWidth="1"/>
    <col min="356" max="356" width="1.77734375" bestFit="1" customWidth="1"/>
    <col min="357" max="357" width="3.44140625" bestFit="1" customWidth="1"/>
    <col min="358" max="359" width="21.88671875" bestFit="1" customWidth="1"/>
    <col min="361" max="361" width="2.77734375" bestFit="1" customWidth="1"/>
    <col min="362" max="362" width="21.88671875" bestFit="1" customWidth="1"/>
    <col min="363" max="363" width="2.33203125" bestFit="1" customWidth="1"/>
    <col min="370" max="370" width="2.33203125" bestFit="1" customWidth="1"/>
    <col min="371" max="371" width="1.77734375" bestFit="1" customWidth="1"/>
    <col min="372" max="372" width="3.44140625" bestFit="1" customWidth="1"/>
    <col min="373" max="374" width="21.88671875" bestFit="1" customWidth="1"/>
  </cols>
  <sheetData>
    <row r="1" spans="1:374" x14ac:dyDescent="0.3">
      <c r="A1" s="97" t="s">
        <v>163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P1" s="97" t="s">
        <v>164</v>
      </c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E1" s="97" t="s">
        <v>165</v>
      </c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T1" s="97" t="s">
        <v>166</v>
      </c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I1" s="97" t="s">
        <v>167</v>
      </c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X1" s="97" t="s">
        <v>168</v>
      </c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M1" s="97" t="s">
        <v>169</v>
      </c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B1" s="97" t="s">
        <v>170</v>
      </c>
      <c r="DC1" s="97"/>
      <c r="DD1" s="97"/>
      <c r="DE1" s="97"/>
      <c r="DF1" s="97"/>
      <c r="DG1" s="97"/>
      <c r="DH1" s="97"/>
      <c r="DI1" s="97"/>
      <c r="DJ1" s="97"/>
      <c r="DK1" s="97"/>
      <c r="DL1" s="97"/>
      <c r="DM1" s="97"/>
      <c r="DN1" s="97"/>
      <c r="DO1" s="97"/>
      <c r="DQ1" s="97" t="s">
        <v>171</v>
      </c>
      <c r="DR1" s="97"/>
      <c r="DS1" s="97"/>
      <c r="DT1" s="97"/>
      <c r="DU1" s="97"/>
      <c r="DV1" s="97"/>
      <c r="DW1" s="97"/>
      <c r="DX1" s="97"/>
      <c r="DY1" s="97"/>
      <c r="DZ1" s="97"/>
      <c r="EA1" s="97"/>
      <c r="EB1" s="97"/>
      <c r="EC1" s="97"/>
      <c r="ED1" s="97"/>
      <c r="EF1" s="97" t="s">
        <v>172</v>
      </c>
      <c r="EG1" s="97"/>
      <c r="EH1" s="97"/>
      <c r="EI1" s="97"/>
      <c r="EJ1" s="97"/>
      <c r="EK1" s="97"/>
      <c r="EL1" s="97"/>
      <c r="EM1" s="97"/>
      <c r="EN1" s="97"/>
      <c r="EO1" s="97"/>
      <c r="EP1" s="97"/>
      <c r="EQ1" s="97"/>
      <c r="ER1" s="97"/>
      <c r="ES1" s="97"/>
      <c r="EU1" s="97" t="s">
        <v>173</v>
      </c>
      <c r="EV1" s="97"/>
      <c r="EW1" s="97"/>
      <c r="EX1" s="97"/>
      <c r="EY1" s="97"/>
      <c r="EZ1" s="97"/>
      <c r="FA1" s="97"/>
      <c r="FB1" s="97"/>
      <c r="FC1" s="97"/>
      <c r="FD1" s="97"/>
      <c r="FE1" s="97"/>
      <c r="FF1" s="97"/>
      <c r="FG1" s="97"/>
      <c r="FH1" s="97"/>
      <c r="FJ1" s="97" t="s">
        <v>189</v>
      </c>
      <c r="FK1" s="97"/>
      <c r="FL1" s="97"/>
      <c r="FM1" s="97"/>
      <c r="FN1" s="97"/>
      <c r="FO1" s="97"/>
      <c r="FP1" s="97"/>
      <c r="FQ1" s="97"/>
      <c r="FR1" s="97"/>
      <c r="FS1" s="97"/>
      <c r="FT1" s="97"/>
      <c r="FU1" s="97"/>
      <c r="FV1" s="97"/>
      <c r="FW1" s="97"/>
      <c r="FY1" s="97" t="s">
        <v>190</v>
      </c>
      <c r="FZ1" s="97"/>
      <c r="GA1" s="97"/>
      <c r="GB1" s="97"/>
      <c r="GC1" s="97"/>
      <c r="GD1" s="97"/>
      <c r="GE1" s="97"/>
      <c r="GF1" s="97"/>
      <c r="GG1" s="97"/>
      <c r="GH1" s="97"/>
      <c r="GI1" s="97"/>
      <c r="GJ1" s="97"/>
      <c r="GK1" s="97"/>
      <c r="GL1" s="97"/>
      <c r="GN1" s="97" t="s">
        <v>191</v>
      </c>
      <c r="GO1" s="97"/>
      <c r="GP1" s="97"/>
      <c r="GQ1" s="97"/>
      <c r="GR1" s="97"/>
      <c r="GS1" s="97"/>
      <c r="GT1" s="97"/>
      <c r="GU1" s="97"/>
      <c r="GV1" s="97"/>
      <c r="GW1" s="97"/>
      <c r="GX1" s="97"/>
      <c r="GY1" s="97"/>
      <c r="GZ1" s="97"/>
      <c r="HA1" s="97"/>
      <c r="HC1" s="97" t="s">
        <v>192</v>
      </c>
      <c r="HD1" s="97"/>
      <c r="HE1" s="97"/>
      <c r="HF1" s="97"/>
      <c r="HG1" s="97"/>
      <c r="HH1" s="97"/>
      <c r="HI1" s="97"/>
      <c r="HJ1" s="97"/>
      <c r="HK1" s="97"/>
      <c r="HL1" s="97"/>
      <c r="HM1" s="97"/>
      <c r="HN1" s="97"/>
      <c r="HO1" s="97"/>
      <c r="HP1" s="97"/>
      <c r="HR1" s="97" t="s">
        <v>193</v>
      </c>
      <c r="HS1" s="97"/>
      <c r="HT1" s="97"/>
      <c r="HU1" s="97"/>
      <c r="HV1" s="97"/>
      <c r="HW1" s="97"/>
      <c r="HX1" s="97"/>
      <c r="HY1" s="97"/>
      <c r="HZ1" s="97"/>
      <c r="IA1" s="97"/>
      <c r="IB1" s="97"/>
      <c r="IC1" s="97"/>
      <c r="ID1" s="97"/>
      <c r="IE1" s="97"/>
      <c r="IG1" s="97" t="s">
        <v>194</v>
      </c>
      <c r="IH1" s="97"/>
      <c r="II1" s="97"/>
      <c r="IJ1" s="97"/>
      <c r="IK1" s="97"/>
      <c r="IL1" s="97"/>
      <c r="IM1" s="97"/>
      <c r="IN1" s="97"/>
      <c r="IO1" s="97"/>
      <c r="IP1" s="97"/>
      <c r="IQ1" s="97"/>
      <c r="IR1" s="97"/>
      <c r="IS1" s="97"/>
      <c r="IT1" s="97"/>
      <c r="IV1" s="97" t="s">
        <v>195</v>
      </c>
      <c r="IW1" s="97"/>
      <c r="IX1" s="97"/>
      <c r="IY1" s="97"/>
      <c r="IZ1" s="97"/>
      <c r="JA1" s="97"/>
      <c r="JB1" s="97"/>
      <c r="JC1" s="97"/>
      <c r="JD1" s="97"/>
      <c r="JE1" s="97"/>
      <c r="JF1" s="97"/>
      <c r="JG1" s="97"/>
      <c r="JH1" s="97"/>
      <c r="JI1" s="97"/>
      <c r="JK1" s="97" t="s">
        <v>196</v>
      </c>
      <c r="JL1" s="97"/>
      <c r="JM1" s="97"/>
      <c r="JN1" s="97"/>
      <c r="JO1" s="97"/>
      <c r="JP1" s="97"/>
      <c r="JQ1" s="97"/>
      <c r="JR1" s="97"/>
      <c r="JS1" s="97"/>
      <c r="JT1" s="97"/>
      <c r="JU1" s="97"/>
      <c r="JV1" s="97"/>
      <c r="JW1" s="97"/>
      <c r="JX1" s="97"/>
      <c r="JZ1" s="97" t="s">
        <v>197</v>
      </c>
      <c r="KA1" s="97"/>
      <c r="KB1" s="97"/>
      <c r="KC1" s="97"/>
      <c r="KD1" s="97"/>
      <c r="KE1" s="97"/>
      <c r="KF1" s="97"/>
      <c r="KG1" s="97"/>
      <c r="KH1" s="97"/>
      <c r="KI1" s="97"/>
      <c r="KJ1" s="97"/>
      <c r="KK1" s="97"/>
      <c r="KL1" s="97"/>
      <c r="KM1" s="97"/>
      <c r="KO1" s="97" t="s">
        <v>198</v>
      </c>
      <c r="KP1" s="97"/>
      <c r="KQ1" s="97"/>
      <c r="KR1" s="97"/>
      <c r="KS1" s="97"/>
      <c r="KT1" s="97"/>
      <c r="KU1" s="97"/>
      <c r="KV1" s="97"/>
      <c r="KW1" s="97"/>
      <c r="KX1" s="97"/>
      <c r="KY1" s="97"/>
      <c r="KZ1" s="97"/>
      <c r="LA1" s="97"/>
      <c r="LB1" s="97"/>
      <c r="LD1" s="97" t="s">
        <v>199</v>
      </c>
      <c r="LE1" s="97"/>
      <c r="LF1" s="97"/>
      <c r="LG1" s="97"/>
      <c r="LH1" s="97"/>
      <c r="LI1" s="97"/>
      <c r="LJ1" s="97"/>
      <c r="LK1" s="97"/>
      <c r="LL1" s="97"/>
      <c r="LM1" s="97"/>
      <c r="LN1" s="97"/>
      <c r="LO1" s="97"/>
      <c r="LP1" s="97"/>
      <c r="LQ1" s="97"/>
      <c r="LS1" s="97" t="s">
        <v>200</v>
      </c>
      <c r="LT1" s="97"/>
      <c r="LU1" s="97"/>
      <c r="LV1" s="97"/>
      <c r="LW1" s="97"/>
      <c r="LX1" s="97"/>
      <c r="LY1" s="97"/>
      <c r="LZ1" s="97"/>
      <c r="MA1" s="97"/>
      <c r="MB1" s="97"/>
      <c r="MC1" s="97"/>
      <c r="MD1" s="97"/>
      <c r="ME1" s="97"/>
      <c r="MF1" s="97"/>
      <c r="MH1" s="97" t="s">
        <v>201</v>
      </c>
      <c r="MI1" s="97"/>
      <c r="MJ1" s="97"/>
      <c r="MK1" s="97"/>
      <c r="ML1" s="97"/>
      <c r="MM1" s="97"/>
      <c r="MN1" s="97"/>
      <c r="MO1" s="97"/>
      <c r="MP1" s="97"/>
      <c r="MQ1" s="97"/>
      <c r="MR1" s="97"/>
      <c r="MS1" s="97"/>
      <c r="MT1" s="97"/>
      <c r="MU1" s="97"/>
      <c r="MW1" s="97" t="s">
        <v>202</v>
      </c>
      <c r="MX1" s="97"/>
      <c r="MY1" s="97"/>
      <c r="MZ1" s="97"/>
      <c r="NA1" s="97"/>
      <c r="NB1" s="97"/>
      <c r="NC1" s="97"/>
      <c r="ND1" s="97"/>
      <c r="NE1" s="97"/>
      <c r="NF1" s="97"/>
      <c r="NG1" s="97"/>
      <c r="NH1" s="97"/>
      <c r="NI1" s="97"/>
      <c r="NJ1" s="97"/>
    </row>
    <row r="2" spans="1:374" s="67" customFormat="1" ht="15" x14ac:dyDescent="0.3">
      <c r="C2"/>
      <c r="D2"/>
      <c r="E2"/>
      <c r="F2"/>
      <c r="G2"/>
      <c r="H2"/>
      <c r="I2"/>
      <c r="J2"/>
      <c r="K2"/>
      <c r="L2"/>
      <c r="M2">
        <v>2</v>
      </c>
      <c r="N2"/>
      <c r="O2" s="70"/>
      <c r="R2"/>
      <c r="S2"/>
      <c r="T2"/>
      <c r="U2"/>
      <c r="V2"/>
      <c r="W2"/>
      <c r="X2"/>
      <c r="Y2"/>
      <c r="Z2"/>
      <c r="AA2"/>
      <c r="AB2">
        <v>2</v>
      </c>
      <c r="AC2"/>
      <c r="AD2" s="6"/>
      <c r="AG2"/>
      <c r="AH2"/>
      <c r="AI2"/>
      <c r="AJ2"/>
      <c r="AK2"/>
      <c r="AL2"/>
      <c r="AM2"/>
      <c r="AN2"/>
      <c r="AO2"/>
      <c r="AP2"/>
      <c r="AQ2">
        <v>2</v>
      </c>
      <c r="AR2"/>
      <c r="AS2" s="6"/>
      <c r="AV2"/>
      <c r="AW2"/>
      <c r="AX2"/>
      <c r="AY2"/>
      <c r="AZ2"/>
      <c r="BA2"/>
      <c r="BB2"/>
      <c r="BC2"/>
      <c r="BD2"/>
      <c r="BE2"/>
      <c r="BF2">
        <v>2</v>
      </c>
      <c r="BG2"/>
      <c r="BH2" s="6"/>
      <c r="BK2"/>
      <c r="BL2"/>
      <c r="BM2"/>
      <c r="BN2"/>
      <c r="BO2"/>
      <c r="BP2"/>
      <c r="BQ2"/>
      <c r="BR2"/>
      <c r="BS2"/>
      <c r="BT2"/>
      <c r="BU2">
        <v>2</v>
      </c>
      <c r="BV2"/>
      <c r="BZ2"/>
      <c r="CA2"/>
      <c r="CB2"/>
      <c r="CC2"/>
      <c r="CD2"/>
      <c r="CE2"/>
      <c r="CF2"/>
      <c r="CG2"/>
      <c r="CH2"/>
      <c r="CI2"/>
      <c r="CJ2">
        <v>2</v>
      </c>
      <c r="CK2"/>
      <c r="CO2"/>
      <c r="CP2"/>
      <c r="CQ2"/>
      <c r="CR2"/>
      <c r="CS2"/>
      <c r="CT2"/>
      <c r="CU2"/>
      <c r="CV2"/>
      <c r="CW2"/>
      <c r="CX2"/>
      <c r="CY2">
        <v>2</v>
      </c>
      <c r="CZ2"/>
      <c r="DD2"/>
      <c r="DE2"/>
      <c r="DF2"/>
      <c r="DG2"/>
      <c r="DH2"/>
      <c r="DI2"/>
      <c r="DJ2"/>
      <c r="DK2"/>
      <c r="DL2"/>
      <c r="DM2"/>
      <c r="DN2">
        <v>2</v>
      </c>
      <c r="DO2"/>
      <c r="DS2"/>
      <c r="DT2"/>
      <c r="DU2"/>
      <c r="DV2"/>
      <c r="DW2"/>
      <c r="DX2"/>
      <c r="DY2"/>
      <c r="DZ2"/>
      <c r="EA2"/>
      <c r="EB2"/>
      <c r="EC2">
        <v>2</v>
      </c>
      <c r="ED2"/>
      <c r="EH2"/>
      <c r="EI2"/>
      <c r="EJ2"/>
      <c r="EK2"/>
      <c r="EL2"/>
      <c r="EM2"/>
      <c r="EN2"/>
      <c r="EO2"/>
      <c r="EP2"/>
      <c r="EQ2"/>
      <c r="ER2">
        <v>2</v>
      </c>
      <c r="ES2"/>
      <c r="EW2"/>
      <c r="EX2"/>
      <c r="EY2"/>
      <c r="EZ2"/>
      <c r="FA2"/>
      <c r="FB2"/>
      <c r="FC2"/>
      <c r="FD2"/>
      <c r="FE2"/>
      <c r="FF2"/>
      <c r="FG2">
        <v>2</v>
      </c>
      <c r="FH2"/>
      <c r="FL2"/>
      <c r="FM2"/>
      <c r="FN2"/>
      <c r="FO2"/>
      <c r="FP2"/>
      <c r="FQ2"/>
      <c r="FR2"/>
      <c r="FS2"/>
      <c r="FT2"/>
      <c r="FU2"/>
      <c r="FV2">
        <v>2</v>
      </c>
      <c r="FW2"/>
      <c r="GA2"/>
      <c r="GB2"/>
      <c r="GC2"/>
      <c r="GD2"/>
      <c r="GE2"/>
      <c r="GF2"/>
      <c r="GG2"/>
      <c r="GH2"/>
      <c r="GI2"/>
      <c r="GJ2"/>
      <c r="GK2">
        <v>2</v>
      </c>
      <c r="GL2"/>
      <c r="GP2"/>
      <c r="GQ2"/>
      <c r="GR2"/>
      <c r="GS2"/>
      <c r="GT2"/>
      <c r="GU2"/>
      <c r="GV2"/>
      <c r="GW2"/>
      <c r="GX2"/>
      <c r="GY2"/>
      <c r="GZ2">
        <v>2</v>
      </c>
      <c r="HA2"/>
      <c r="HE2"/>
      <c r="HF2"/>
      <c r="HG2"/>
      <c r="HH2"/>
      <c r="HI2"/>
      <c r="HJ2"/>
      <c r="HK2"/>
      <c r="HL2"/>
      <c r="HM2"/>
      <c r="HN2"/>
      <c r="HO2">
        <v>2</v>
      </c>
      <c r="HP2"/>
      <c r="HT2"/>
      <c r="HU2"/>
      <c r="HV2"/>
      <c r="HW2"/>
      <c r="HX2"/>
      <c r="HY2"/>
      <c r="HZ2"/>
      <c r="IA2"/>
      <c r="IB2"/>
      <c r="IC2"/>
      <c r="ID2">
        <v>2</v>
      </c>
      <c r="IE2"/>
      <c r="II2"/>
      <c r="IJ2"/>
      <c r="IK2"/>
      <c r="IL2"/>
      <c r="IM2"/>
      <c r="IN2"/>
      <c r="IO2"/>
      <c r="IP2"/>
      <c r="IQ2"/>
      <c r="IR2"/>
      <c r="IS2">
        <v>2</v>
      </c>
      <c r="IT2"/>
      <c r="IX2"/>
      <c r="IY2"/>
      <c r="IZ2"/>
      <c r="JA2"/>
      <c r="JB2"/>
      <c r="JC2"/>
      <c r="JD2"/>
      <c r="JE2"/>
      <c r="JF2"/>
      <c r="JG2"/>
      <c r="JH2">
        <v>2</v>
      </c>
      <c r="JI2"/>
      <c r="JM2"/>
      <c r="JN2"/>
      <c r="JO2"/>
      <c r="JP2"/>
      <c r="JQ2"/>
      <c r="JR2"/>
      <c r="JS2"/>
      <c r="JT2"/>
      <c r="JU2"/>
      <c r="JV2"/>
      <c r="JW2">
        <v>2</v>
      </c>
      <c r="JX2"/>
      <c r="KB2"/>
      <c r="KC2"/>
      <c r="KD2"/>
      <c r="KE2"/>
      <c r="KF2"/>
      <c r="KG2"/>
      <c r="KH2"/>
      <c r="KI2"/>
      <c r="KJ2"/>
      <c r="KK2"/>
      <c r="KL2">
        <v>2</v>
      </c>
      <c r="KM2"/>
      <c r="KQ2"/>
      <c r="KR2"/>
      <c r="KS2"/>
      <c r="KT2"/>
      <c r="KU2"/>
      <c r="KV2"/>
      <c r="KW2"/>
      <c r="KX2"/>
      <c r="KY2"/>
      <c r="KZ2"/>
      <c r="LA2">
        <v>2</v>
      </c>
      <c r="LB2"/>
      <c r="LF2"/>
      <c r="LG2"/>
      <c r="LH2"/>
      <c r="LI2"/>
      <c r="LJ2"/>
      <c r="LK2"/>
      <c r="LL2"/>
      <c r="LM2"/>
      <c r="LN2"/>
      <c r="LO2"/>
      <c r="LP2">
        <v>2</v>
      </c>
      <c r="LQ2"/>
      <c r="LU2"/>
      <c r="LV2"/>
      <c r="LW2"/>
      <c r="LX2"/>
      <c r="LY2"/>
      <c r="LZ2"/>
      <c r="MA2"/>
      <c r="MB2"/>
      <c r="MC2"/>
      <c r="MD2"/>
      <c r="ME2">
        <v>2</v>
      </c>
      <c r="MF2"/>
      <c r="MJ2"/>
      <c r="MK2"/>
      <c r="ML2"/>
      <c r="MM2"/>
      <c r="MN2"/>
      <c r="MO2"/>
      <c r="MP2"/>
      <c r="MQ2"/>
      <c r="MR2"/>
      <c r="MS2"/>
      <c r="MT2">
        <v>2</v>
      </c>
      <c r="MU2"/>
      <c r="MY2"/>
      <c r="MZ2"/>
      <c r="NA2"/>
      <c r="NB2"/>
      <c r="NC2"/>
      <c r="ND2"/>
      <c r="NE2"/>
      <c r="NF2"/>
      <c r="NG2"/>
      <c r="NH2"/>
      <c r="NI2">
        <v>2</v>
      </c>
      <c r="NJ2"/>
    </row>
    <row r="3" spans="1:374" ht="15" x14ac:dyDescent="0.3">
      <c r="A3">
        <v>1</v>
      </c>
      <c r="B3" s="5" t="s">
        <v>20</v>
      </c>
      <c r="C3" s="68">
        <f>COUNTIF(Builder!$K$5:$N$5,B3)</f>
        <v>0</v>
      </c>
      <c r="D3" s="68" t="str">
        <f>IF(C3=1,Stats!$N18,"")</f>
        <v/>
      </c>
      <c r="E3" s="68" t="str">
        <f>IF(C3=1,Stats!$O18,"")</f>
        <v/>
      </c>
      <c r="F3" s="68" t="str">
        <f>IF(C3=1,Stats!$P18,"")</f>
        <v/>
      </c>
      <c r="G3" s="68" t="str">
        <f>IF(C3=1,Stats!$Q18,"")</f>
        <v/>
      </c>
      <c r="H3" s="68" t="str">
        <f>IF(C3=1,Stats!$R18,"")</f>
        <v/>
      </c>
      <c r="I3" s="68" t="str">
        <f>IF(C3=1,Stats!$S18,"")</f>
        <v/>
      </c>
      <c r="J3" s="68">
        <f>COUNTIF($D$3:$I$55,B3)</f>
        <v>0</v>
      </c>
      <c r="K3">
        <f>J3+C3</f>
        <v>0</v>
      </c>
      <c r="L3" s="68">
        <f>IF(K3=0,MAX($L$2:L2)+1,0)</f>
        <v>1</v>
      </c>
      <c r="M3" s="5" t="str">
        <f>B3</f>
        <v>Amphibious</v>
      </c>
      <c r="N3" s="5" t="str">
        <f>IFERROR(VLOOKUP($A3,$L$3:$M$55,$M$2,FALSE)," ")</f>
        <v>Amphibious</v>
      </c>
      <c r="O3" s="5"/>
      <c r="P3">
        <f>A3</f>
        <v>1</v>
      </c>
      <c r="Q3" s="5" t="str">
        <f>B3</f>
        <v>Amphibious</v>
      </c>
      <c r="R3" s="68">
        <f>COUNTIF(Builder!$K$6:$N$6,Q3)</f>
        <v>0</v>
      </c>
      <c r="S3" s="68" t="str">
        <f>IF(R3=1,Stats!$N18,"")</f>
        <v/>
      </c>
      <c r="T3" s="68" t="str">
        <f>IF(R3=1,Stats!$O18,"")</f>
        <v/>
      </c>
      <c r="U3" s="68" t="str">
        <f>IF(R3=1,Stats!$P18,"")</f>
        <v/>
      </c>
      <c r="V3" s="68" t="str">
        <f>IF(R3=1,Stats!$Q18,"")</f>
        <v/>
      </c>
      <c r="W3" s="68" t="str">
        <f>IF(R3=1,Stats!$R18,"")</f>
        <v/>
      </c>
      <c r="X3" s="68" t="str">
        <f>IF(R3=1,Stats!$S18,"")</f>
        <v/>
      </c>
      <c r="Y3" s="68">
        <f>COUNTIF($S$3:$X$55,Q3)</f>
        <v>0</v>
      </c>
      <c r="Z3">
        <f>Y3+R3</f>
        <v>0</v>
      </c>
      <c r="AA3" s="68">
        <f>IF(Z3=0,MAX($AA$2:AA2)+1,0)</f>
        <v>1</v>
      </c>
      <c r="AB3" s="5" t="str">
        <f>B3</f>
        <v>Amphibious</v>
      </c>
      <c r="AC3" s="5" t="str">
        <f>IFERROR(VLOOKUP($A3,$AA$3:$AB$55,$AB$2,FALSE)," ")</f>
        <v>Amphibious</v>
      </c>
      <c r="AD3" s="5"/>
      <c r="AE3">
        <f>A3</f>
        <v>1</v>
      </c>
      <c r="AF3" s="5" t="str">
        <f>B3</f>
        <v>Amphibious</v>
      </c>
      <c r="AG3" s="68">
        <f>COUNTIF(Builder!$K$7:$N$7,AF3)</f>
        <v>0</v>
      </c>
      <c r="AH3" s="68" t="str">
        <f>IF(AG3=1,Stats!$N18,"")</f>
        <v/>
      </c>
      <c r="AI3" s="68" t="str">
        <f>IF(AG3=1,Stats!$O18,"")</f>
        <v/>
      </c>
      <c r="AJ3" s="68" t="str">
        <f>IF(AG3=1,Stats!$P18,"")</f>
        <v/>
      </c>
      <c r="AK3" s="68" t="str">
        <f>IF(AG3=1,Stats!$Q18,"")</f>
        <v/>
      </c>
      <c r="AL3" s="68" t="str">
        <f>IF(AG3=1,Stats!$R18,"")</f>
        <v/>
      </c>
      <c r="AM3" s="68" t="str">
        <f>IF(AG3=1,Stats!$S18,"")</f>
        <v/>
      </c>
      <c r="AN3" s="68">
        <f>COUNTIF($AH$3:$AM$55,AF3)</f>
        <v>0</v>
      </c>
      <c r="AO3">
        <f>AN3+AG3</f>
        <v>0</v>
      </c>
      <c r="AP3" s="68">
        <f>IF(AO3=0,MAX($AP$2:AP2)+1,0)</f>
        <v>1</v>
      </c>
      <c r="AQ3" s="5" t="str">
        <f>B3</f>
        <v>Amphibious</v>
      </c>
      <c r="AR3" s="5" t="str">
        <f>IFERROR(VLOOKUP($A3,$AP$3:$AQ$55,$AQ$2,FALSE)," ")</f>
        <v>Amphibious</v>
      </c>
      <c r="AS3" s="5"/>
      <c r="AT3">
        <f>A3</f>
        <v>1</v>
      </c>
      <c r="AU3" s="5" t="str">
        <f>B3</f>
        <v>Amphibious</v>
      </c>
      <c r="AV3" s="68">
        <f>COUNTIF(Builder!$K$8:$N$8,AU3)</f>
        <v>0</v>
      </c>
      <c r="AW3" s="68" t="str">
        <f>IF(AV3=1,Stats!$N18,"")</f>
        <v/>
      </c>
      <c r="AX3" s="68" t="str">
        <f>IF(AV3=1,Stats!$O18,"")</f>
        <v/>
      </c>
      <c r="AY3" s="68" t="str">
        <f>IF(AV3=1,Stats!$P18,"")</f>
        <v/>
      </c>
      <c r="AZ3" s="68" t="str">
        <f>IF(AV3=1,Stats!$Q18,"")</f>
        <v/>
      </c>
      <c r="BA3" s="68" t="str">
        <f>IF(AV3=1,Stats!$R18,"")</f>
        <v/>
      </c>
      <c r="BB3" s="68" t="str">
        <f>IF(AV3=1,Stats!$S18,"")</f>
        <v/>
      </c>
      <c r="BC3" s="68">
        <f>COUNTIF($AV$3:$BB$55,AU3)</f>
        <v>0</v>
      </c>
      <c r="BD3">
        <f>BC3+AV3</f>
        <v>0</v>
      </c>
      <c r="BE3" s="68">
        <f>IF(BD3=0,MAX($BE$2:BE2)+1,0)</f>
        <v>1</v>
      </c>
      <c r="BF3" s="5" t="str">
        <f>B3</f>
        <v>Amphibious</v>
      </c>
      <c r="BG3" s="5" t="str">
        <f>IFERROR(VLOOKUP($A3,$BE$3:$BF$55,$BF$2,FALSE)," ")</f>
        <v>Amphibious</v>
      </c>
      <c r="BH3" s="5"/>
      <c r="BI3">
        <f>A3</f>
        <v>1</v>
      </c>
      <c r="BJ3" s="5" t="str">
        <f>B3</f>
        <v>Amphibious</v>
      </c>
      <c r="BK3" s="68">
        <f>COUNTIF(Builder!$K$9:$N$9,BJ3)</f>
        <v>0</v>
      </c>
      <c r="BL3" s="68" t="str">
        <f>IF(BK3=1,Stats!$N18,"")</f>
        <v/>
      </c>
      <c r="BM3" s="68" t="str">
        <f>IF(BK3=1,Stats!$O18,"")</f>
        <v/>
      </c>
      <c r="BN3" s="68" t="str">
        <f>IF(BK3=1,Stats!$P18,"")</f>
        <v/>
      </c>
      <c r="BO3" s="68" t="str">
        <f>IF(BK3=1,Stats!$Q18,"")</f>
        <v/>
      </c>
      <c r="BP3" s="68" t="str">
        <f>IF(BK3=1,Stats!$R18,"")</f>
        <v/>
      </c>
      <c r="BQ3" s="68" t="str">
        <f>IF(BK3=1,Stats!$S18,"")</f>
        <v/>
      </c>
      <c r="BR3" s="68">
        <f>COUNTIF($BL$3:$BQ$55,BJ3)</f>
        <v>0</v>
      </c>
      <c r="BS3">
        <f>BR3+BK3</f>
        <v>0</v>
      </c>
      <c r="BT3" s="68">
        <f>IF(BS3=0,MAX(BT$2:BT2)+1,0)</f>
        <v>1</v>
      </c>
      <c r="BU3" s="5" t="str">
        <f>B3</f>
        <v>Amphibious</v>
      </c>
      <c r="BV3" s="5" t="str">
        <f>IFERROR(VLOOKUP($A3,$BT$3:$BU$55,$BU$2,FALSE)," ")</f>
        <v>Amphibious</v>
      </c>
      <c r="BX3">
        <f>A3</f>
        <v>1</v>
      </c>
      <c r="BY3" s="5" t="str">
        <f>B3</f>
        <v>Amphibious</v>
      </c>
      <c r="BZ3" s="68">
        <f>COUNTIF(Builder!$K$10:$N$10,BY3)</f>
        <v>0</v>
      </c>
      <c r="CA3" s="68" t="str">
        <f>IF(BZ3=1,Stats!$N18,"")</f>
        <v/>
      </c>
      <c r="CB3" s="68" t="str">
        <f>IF(BZ3=1,Stats!$O18,"")</f>
        <v/>
      </c>
      <c r="CC3" s="68" t="str">
        <f>IF(BZ3=1,Stats!$P18,"")</f>
        <v/>
      </c>
      <c r="CD3" s="68" t="str">
        <f>IF(BZ3=1,Stats!$Q18,"")</f>
        <v/>
      </c>
      <c r="CE3" s="68" t="str">
        <f>IF(BZ3=1,Stats!$R18,"")</f>
        <v/>
      </c>
      <c r="CF3" s="68" t="str">
        <f>IF(BZ3=1,Stats!$S18,"")</f>
        <v/>
      </c>
      <c r="CG3" s="68">
        <f>COUNTIF($CA$3:$CF$55,BY3)</f>
        <v>0</v>
      </c>
      <c r="CH3">
        <f>CG3+BZ3</f>
        <v>0</v>
      </c>
      <c r="CI3" s="68">
        <f>IF(CH3=0,MAX(CI$2:CI2)+1,0)</f>
        <v>1</v>
      </c>
      <c r="CJ3" s="5" t="str">
        <f>B3</f>
        <v>Amphibious</v>
      </c>
      <c r="CK3" s="5" t="str">
        <f>IFERROR(VLOOKUP($A3,$CI$3:$CJ$55,$CJ$2,FALSE)," ")</f>
        <v>Amphibious</v>
      </c>
      <c r="CM3">
        <f>A3</f>
        <v>1</v>
      </c>
      <c r="CN3" s="5" t="str">
        <f>B3</f>
        <v>Amphibious</v>
      </c>
      <c r="CO3" s="68">
        <f>COUNTIF(Builder!$K$11:$N$11,CN3)</f>
        <v>0</v>
      </c>
      <c r="CP3" s="68" t="str">
        <f>IF(CO3=1,Stats!$N18,"")</f>
        <v/>
      </c>
      <c r="CQ3" s="68" t="str">
        <f>IF(CO3=1,Stats!$O18,"")</f>
        <v/>
      </c>
      <c r="CR3" s="68" t="str">
        <f>IF(CO3=1,Stats!$P18,"")</f>
        <v/>
      </c>
      <c r="CS3" s="68" t="str">
        <f>IF(CO3=1,Stats!$Q18,"")</f>
        <v/>
      </c>
      <c r="CT3" s="68" t="str">
        <f>IF(CO3=1,Stats!$R18,"")</f>
        <v/>
      </c>
      <c r="CU3" s="68" t="str">
        <f>IF(CO3=1,Stats!$S18,"")</f>
        <v/>
      </c>
      <c r="CV3" s="68">
        <f>COUNTIF($CP$3:$CU$55,CN3)</f>
        <v>0</v>
      </c>
      <c r="CW3">
        <f>CV3+CO3</f>
        <v>0</v>
      </c>
      <c r="CX3" s="68">
        <f>IF(CW3=0,MAX(CX$2:CX2)+1,0)</f>
        <v>1</v>
      </c>
      <c r="CY3" s="5" t="str">
        <f>B3</f>
        <v>Amphibious</v>
      </c>
      <c r="CZ3" s="5" t="str">
        <f>IFERROR(VLOOKUP($A3,$CX$3:$CY$55,$CJ$2,FALSE)," ")</f>
        <v>Amphibious</v>
      </c>
      <c r="DB3">
        <f>A3</f>
        <v>1</v>
      </c>
      <c r="DC3" s="5" t="str">
        <f>B3</f>
        <v>Amphibious</v>
      </c>
      <c r="DD3" s="68">
        <f>COUNTIF(Builder!$K$12:$N$12,DC3)</f>
        <v>0</v>
      </c>
      <c r="DE3" s="68" t="str">
        <f>IF(DD3=1,Stats!$N18,"")</f>
        <v/>
      </c>
      <c r="DF3" s="68" t="str">
        <f>IF(DD3=1,Stats!$O18,"")</f>
        <v/>
      </c>
      <c r="DG3" s="68" t="str">
        <f>IF(DD3=1,Stats!$P18,"")</f>
        <v/>
      </c>
      <c r="DH3" s="68" t="str">
        <f>IF(DD3=1,Stats!$Q18,"")</f>
        <v/>
      </c>
      <c r="DI3" s="68" t="str">
        <f>IF(DD3=1,Stats!$R18,"")</f>
        <v/>
      </c>
      <c r="DJ3" s="68" t="str">
        <f>IF(DD3=1,Stats!$S18,"")</f>
        <v/>
      </c>
      <c r="DK3" s="68">
        <f>COUNTIF($DE$3:$DJ$55,DC3)</f>
        <v>0</v>
      </c>
      <c r="DL3">
        <f>DK3+DD3</f>
        <v>0</v>
      </c>
      <c r="DM3" s="68">
        <f>IF(DL3=0,MAX(DM$2:DM2)+1,0)</f>
        <v>1</v>
      </c>
      <c r="DN3" s="5" t="str">
        <f>B3</f>
        <v>Amphibious</v>
      </c>
      <c r="DO3" s="5" t="str">
        <f>IFERROR(VLOOKUP($A3,$DM$3:$DN$55,$CJ$2,FALSE)," ")</f>
        <v>Amphibious</v>
      </c>
      <c r="DQ3">
        <f>A3</f>
        <v>1</v>
      </c>
      <c r="DR3" s="5" t="str">
        <f>B3</f>
        <v>Amphibious</v>
      </c>
      <c r="DS3" s="68">
        <f>COUNTIF(Builder!$K$13:$N$13,DR3)</f>
        <v>0</v>
      </c>
      <c r="DT3" s="68" t="str">
        <f>IF(DS3=1,Stats!$N18,"")</f>
        <v/>
      </c>
      <c r="DU3" s="68" t="str">
        <f>IF(DS3=1,Stats!$O18,"")</f>
        <v/>
      </c>
      <c r="DV3" s="68" t="str">
        <f>IF(DS3=1,Stats!$P18,"")</f>
        <v/>
      </c>
      <c r="DW3" s="68" t="str">
        <f>IF(DS3=1,Stats!$Q18,"")</f>
        <v/>
      </c>
      <c r="DX3" s="68" t="str">
        <f>IF(DS3=1,Stats!$R18,"")</f>
        <v/>
      </c>
      <c r="DY3" s="68" t="str">
        <f>IF(DS3=1,Stats!$S18,"")</f>
        <v/>
      </c>
      <c r="DZ3" s="68">
        <f>COUNTIF($DT$3:$DY$55,DR3)</f>
        <v>0</v>
      </c>
      <c r="EA3">
        <f>DZ3+DS3</f>
        <v>0</v>
      </c>
      <c r="EB3" s="68">
        <f>IF(EA3=0,MAX(EB$2:EB2)+1,0)</f>
        <v>1</v>
      </c>
      <c r="EC3" s="5" t="str">
        <f>B3</f>
        <v>Amphibious</v>
      </c>
      <c r="ED3" s="5" t="str">
        <f>IFERROR(VLOOKUP($A3,$EB$3:$EC$55,$CJ$2,FALSE)," ")</f>
        <v>Amphibious</v>
      </c>
      <c r="EF3">
        <f>A3</f>
        <v>1</v>
      </c>
      <c r="EG3" s="5" t="str">
        <f>B3</f>
        <v>Amphibious</v>
      </c>
      <c r="EH3" s="68">
        <f>COUNTIF(Builder!$K$14:$N$14,EG3)</f>
        <v>0</v>
      </c>
      <c r="EI3" s="68" t="str">
        <f>IF(EH3=1,Stats!$N18,"")</f>
        <v/>
      </c>
      <c r="EJ3" s="68" t="str">
        <f>IF(EH3=1,Stats!$O18,"")</f>
        <v/>
      </c>
      <c r="EK3" s="68" t="str">
        <f>IF(EH3=1,Stats!$P18,"")</f>
        <v/>
      </c>
      <c r="EL3" s="68" t="str">
        <f>IF(EH3=1,Stats!$Q18,"")</f>
        <v/>
      </c>
      <c r="EM3" s="68" t="str">
        <f>IF(EH3=1,Stats!$R18,"")</f>
        <v/>
      </c>
      <c r="EN3" s="68" t="str">
        <f>IF(EH3=1,Stats!$S18,"")</f>
        <v/>
      </c>
      <c r="EO3" s="68">
        <f>COUNTIF($EI$3:$EN$55,EG3)</f>
        <v>0</v>
      </c>
      <c r="EP3">
        <f>EO3+EH3</f>
        <v>0</v>
      </c>
      <c r="EQ3" s="68">
        <f>IF(EP3=0,MAX(EQ$2:EQ2)+1,0)</f>
        <v>1</v>
      </c>
      <c r="ER3" s="5" t="str">
        <f>B3</f>
        <v>Amphibious</v>
      </c>
      <c r="ES3" s="5" t="str">
        <f>IFERROR(VLOOKUP($A3,$EQ$3:$ER$55,$CJ$2,FALSE)," ")</f>
        <v>Amphibious</v>
      </c>
      <c r="EU3">
        <f>A3</f>
        <v>1</v>
      </c>
      <c r="EV3" s="5" t="str">
        <f>B3</f>
        <v>Amphibious</v>
      </c>
      <c r="EW3" s="68">
        <f>COUNTIF(Builder!$K$15:$N$15,EV3)</f>
        <v>0</v>
      </c>
      <c r="EX3" s="68" t="str">
        <f>IF(EW3=1,Stats!$N18,"")</f>
        <v/>
      </c>
      <c r="EY3" s="68" t="str">
        <f>IF(EW3=1,Stats!$O18,"")</f>
        <v/>
      </c>
      <c r="EZ3" s="68" t="str">
        <f>IF(EW3=1,Stats!$P18,"")</f>
        <v/>
      </c>
      <c r="FA3" s="68" t="str">
        <f>IF(EW3=1,Stats!$Q18,"")</f>
        <v/>
      </c>
      <c r="FB3" s="68" t="str">
        <f>IF(EW3=1,Stats!$R18,"")</f>
        <v/>
      </c>
      <c r="FC3" s="68" t="str">
        <f>IF(EW3=1,Stats!$S18,"")</f>
        <v/>
      </c>
      <c r="FD3" s="68">
        <f>COUNTIF($EX$3:$FC$55,EV3)</f>
        <v>0</v>
      </c>
      <c r="FE3">
        <f>FD3+EW3</f>
        <v>0</v>
      </c>
      <c r="FF3" s="68">
        <f>IF(FE3=0,MAX(FF$2:FF2)+1,0)</f>
        <v>1</v>
      </c>
      <c r="FG3" s="5" t="str">
        <f>B3</f>
        <v>Amphibious</v>
      </c>
      <c r="FH3" s="5" t="str">
        <f>IFERROR(VLOOKUP($A3,$FF$3:$FG$55,$CJ$2,FALSE)," ")</f>
        <v>Amphibious</v>
      </c>
      <c r="FJ3">
        <f>A3</f>
        <v>1</v>
      </c>
      <c r="FK3" s="5" t="str">
        <f>B3</f>
        <v>Amphibious</v>
      </c>
      <c r="FL3" s="68">
        <f>COUNTIF(Builder!$K$16:$N$16,FK3)</f>
        <v>0</v>
      </c>
      <c r="FM3" s="68" t="str">
        <f>IF(FL3=1,Stats!$N18,"")</f>
        <v/>
      </c>
      <c r="FN3" s="68" t="str">
        <f>IF(FL3=1,Stats!$O18,"")</f>
        <v/>
      </c>
      <c r="FO3" s="68" t="str">
        <f>IF(FL3=1,Stats!$P18,"")</f>
        <v/>
      </c>
      <c r="FP3" s="68" t="str">
        <f>IF(FL3=1,Stats!$Q18,"")</f>
        <v/>
      </c>
      <c r="FQ3" s="68" t="str">
        <f>IF(FL3=1,Stats!$R18,"")</f>
        <v/>
      </c>
      <c r="FR3" s="68" t="str">
        <f>IF(FL3=1,Stats!$S18,"")</f>
        <v/>
      </c>
      <c r="FS3" s="68">
        <f>COUNTIF($FM$3:$FR$55,FK3)</f>
        <v>0</v>
      </c>
      <c r="FT3">
        <f>FS3+FL3</f>
        <v>0</v>
      </c>
      <c r="FU3" s="68">
        <f>IF(FT3=0,MAX(FU$2:FU2)+1,0)</f>
        <v>1</v>
      </c>
      <c r="FV3" s="5" t="str">
        <f>B3</f>
        <v>Amphibious</v>
      </c>
      <c r="FW3" s="5" t="str">
        <f>IFERROR(VLOOKUP($A3,$FU$3:$FV$55,$CJ$2,FALSE)," ")</f>
        <v>Amphibious</v>
      </c>
      <c r="FY3">
        <f>A3</f>
        <v>1</v>
      </c>
      <c r="FZ3" s="5" t="str">
        <f>B3</f>
        <v>Amphibious</v>
      </c>
      <c r="GA3" s="68">
        <f>COUNTIF(Builder!$K$17:$N$17,FZ3)</f>
        <v>0</v>
      </c>
      <c r="GB3" s="68" t="str">
        <f>IF(GA3=1,Stats!$N18,"")</f>
        <v/>
      </c>
      <c r="GC3" s="68" t="str">
        <f>IF(GA3=1,Stats!$O18,"")</f>
        <v/>
      </c>
      <c r="GD3" s="68" t="str">
        <f>IF(GA3=1,Stats!$P18,"")</f>
        <v/>
      </c>
      <c r="GE3" s="68" t="str">
        <f>IF(GA3=1,Stats!$Q18,"")</f>
        <v/>
      </c>
      <c r="GF3" s="68" t="str">
        <f>IF(GA3=1,Stats!$R18,"")</f>
        <v/>
      </c>
      <c r="GG3" s="68" t="str">
        <f>IF(GA3=1,Stats!$S18,"")</f>
        <v/>
      </c>
      <c r="GH3" s="68">
        <f>COUNTIF($GB$3:$GG$55,FZ3)</f>
        <v>0</v>
      </c>
      <c r="GI3">
        <f>GH3+GA3</f>
        <v>0</v>
      </c>
      <c r="GJ3" s="68">
        <f>IF(GI3=0,MAX(GJ$2:GJ2)+1,0)</f>
        <v>1</v>
      </c>
      <c r="GK3" s="5" t="str">
        <f>B3</f>
        <v>Amphibious</v>
      </c>
      <c r="GL3" s="5" t="str">
        <f>IFERROR(VLOOKUP($A3,$GJ$3:$GK$55,$CJ$2,FALSE)," ")</f>
        <v>Amphibious</v>
      </c>
      <c r="GN3">
        <f>A3</f>
        <v>1</v>
      </c>
      <c r="GO3" s="5" t="str">
        <f>B3</f>
        <v>Amphibious</v>
      </c>
      <c r="GP3" s="68">
        <f>COUNTIF(Builder!$K$18:$N$18,GO3)</f>
        <v>0</v>
      </c>
      <c r="GQ3" s="68" t="str">
        <f>IF(GP3=1,Stats!$N18,"")</f>
        <v/>
      </c>
      <c r="GR3" s="68" t="str">
        <f>IF(GP3=1,Stats!$O18,"")</f>
        <v/>
      </c>
      <c r="GS3" s="68" t="str">
        <f>IF(GP3=1,Stats!$P18,"")</f>
        <v/>
      </c>
      <c r="GT3" s="68" t="str">
        <f>IF(GP3=1,Stats!$Q18,"")</f>
        <v/>
      </c>
      <c r="GU3" s="68" t="str">
        <f>IF(GP3=1,Stats!$R18,"")</f>
        <v/>
      </c>
      <c r="GV3" s="68" t="str">
        <f>IF(GP3=1,Stats!$S18,"")</f>
        <v/>
      </c>
      <c r="GW3" s="68">
        <f>COUNTIF($GQ$3:$GV$55,GO3)</f>
        <v>0</v>
      </c>
      <c r="GX3">
        <f>GW3+GP3</f>
        <v>0</v>
      </c>
      <c r="GY3" s="68">
        <f>IF(GX3=0,MAX(GY$2:GY2)+1,0)</f>
        <v>1</v>
      </c>
      <c r="GZ3" s="5" t="str">
        <f>B3</f>
        <v>Amphibious</v>
      </c>
      <c r="HA3" s="5" t="str">
        <f>IFERROR(VLOOKUP($A3,$GY$3:$GZ$55,$CJ$2,FALSE)," ")</f>
        <v>Amphibious</v>
      </c>
      <c r="HC3">
        <f>A3</f>
        <v>1</v>
      </c>
      <c r="HD3" s="5" t="str">
        <f>B3</f>
        <v>Amphibious</v>
      </c>
      <c r="HE3" s="68">
        <f>COUNTIF(Builder!$K$19:$N$19,HD3)</f>
        <v>0</v>
      </c>
      <c r="HF3" s="68" t="str">
        <f>IF(HE3=1,Stats!$N18,"")</f>
        <v/>
      </c>
      <c r="HG3" s="68" t="str">
        <f>IF(HE3=1,Stats!$O18,"")</f>
        <v/>
      </c>
      <c r="HH3" s="68" t="str">
        <f>IF(HE3=1,Stats!$P18,"")</f>
        <v/>
      </c>
      <c r="HI3" s="68" t="str">
        <f>IF(HE3=1,Stats!$Q18,"")</f>
        <v/>
      </c>
      <c r="HJ3" s="68" t="str">
        <f>IF(HE3=1,Stats!$R18,"")</f>
        <v/>
      </c>
      <c r="HK3" s="68" t="str">
        <f>IF(HE3=1,Stats!$S18,"")</f>
        <v/>
      </c>
      <c r="HL3" s="68">
        <f>COUNTIF($HF$3:$HK$55,HD3)</f>
        <v>0</v>
      </c>
      <c r="HM3">
        <f>HL3+HE3</f>
        <v>0</v>
      </c>
      <c r="HN3" s="68">
        <f>IF(HM3=0,MAX(HN$2:HN2)+1,0)</f>
        <v>1</v>
      </c>
      <c r="HO3" s="5" t="str">
        <f>B3</f>
        <v>Amphibious</v>
      </c>
      <c r="HP3" s="5" t="str">
        <f>IFERROR(VLOOKUP($A3,$HN$3:$HO$55,$CJ$2,FALSE)," ")</f>
        <v>Amphibious</v>
      </c>
      <c r="HR3">
        <f>A3</f>
        <v>1</v>
      </c>
      <c r="HS3" s="5" t="str">
        <f>B3</f>
        <v>Amphibious</v>
      </c>
      <c r="HT3" s="68">
        <f>COUNTIF(Builder!$K$20:$N$20,HS3)</f>
        <v>0</v>
      </c>
      <c r="HU3" s="68" t="str">
        <f>IF(HT3=1,Stats!$N18,"")</f>
        <v/>
      </c>
      <c r="HV3" s="68" t="str">
        <f>IF(HT3=1,Stats!$O18,"")</f>
        <v/>
      </c>
      <c r="HW3" s="68" t="str">
        <f>IF(HT3=1,Stats!$P18,"")</f>
        <v/>
      </c>
      <c r="HX3" s="68" t="str">
        <f>IF(HT3=1,Stats!$Q18,"")</f>
        <v/>
      </c>
      <c r="HY3" s="68" t="str">
        <f>IF(HT3=1,Stats!$R18,"")</f>
        <v/>
      </c>
      <c r="HZ3" s="68" t="str">
        <f>IF(HT3=1,Stats!$S18,"")</f>
        <v/>
      </c>
      <c r="IA3" s="68">
        <f>COUNTIF($HU$3:$HZ$55,HS3)</f>
        <v>0</v>
      </c>
      <c r="IB3">
        <f>IA3+HT3</f>
        <v>0</v>
      </c>
      <c r="IC3" s="68">
        <f>IF(IB3=0,MAX(IC$2:IC2)+1,0)</f>
        <v>1</v>
      </c>
      <c r="ID3" s="5" t="str">
        <f>B3</f>
        <v>Amphibious</v>
      </c>
      <c r="IE3" s="5" t="str">
        <f>IFERROR(VLOOKUP($A3,$IC$3:$ID$55,$CJ$2,FALSE)," ")</f>
        <v>Amphibious</v>
      </c>
      <c r="IG3">
        <f>A3</f>
        <v>1</v>
      </c>
      <c r="IH3" s="5" t="str">
        <f>B3</f>
        <v>Amphibious</v>
      </c>
      <c r="II3" s="68">
        <f>COUNTIF(Builder!$K$21:$N$21,IH3)</f>
        <v>0</v>
      </c>
      <c r="IJ3" s="68" t="str">
        <f>IF(II3=1,Stats!$N18,"")</f>
        <v/>
      </c>
      <c r="IK3" s="68" t="str">
        <f>IF(II3=1,Stats!$O18,"")</f>
        <v/>
      </c>
      <c r="IL3" s="68" t="str">
        <f>IF(II3=1,Stats!$P18,"")</f>
        <v/>
      </c>
      <c r="IM3" s="68" t="str">
        <f>IF(II3=1,Stats!$Q18,"")</f>
        <v/>
      </c>
      <c r="IN3" s="68" t="str">
        <f>IF(II3=1,Stats!$R18,"")</f>
        <v/>
      </c>
      <c r="IO3" s="68" t="str">
        <f>IF(II3=1,Stats!$S18,"")</f>
        <v/>
      </c>
      <c r="IP3" s="68">
        <f>COUNTIF($IJ$3:$IO$55,IH3)</f>
        <v>0</v>
      </c>
      <c r="IQ3">
        <f>IP3+II3</f>
        <v>0</v>
      </c>
      <c r="IR3" s="68">
        <f>IF(IQ3=0,MAX(IR$2:IR2)+1,0)</f>
        <v>1</v>
      </c>
      <c r="IS3" s="5" t="str">
        <f>B3</f>
        <v>Amphibious</v>
      </c>
      <c r="IT3" s="5" t="str">
        <f>IFERROR(VLOOKUP($A3,$IR$3:$IS$55,$CJ$2,FALSE)," ")</f>
        <v>Amphibious</v>
      </c>
      <c r="IV3">
        <f>A3</f>
        <v>1</v>
      </c>
      <c r="IW3" s="5" t="str">
        <f>B3</f>
        <v>Amphibious</v>
      </c>
      <c r="IX3" s="68">
        <f>COUNTIF(Builder!$K$22:$N$22,IW3)</f>
        <v>0</v>
      </c>
      <c r="IY3" s="68" t="str">
        <f>IF(IX3=1,Stats!$N18,"")</f>
        <v/>
      </c>
      <c r="IZ3" s="68" t="str">
        <f>IF(IX3=1,Stats!$O18,"")</f>
        <v/>
      </c>
      <c r="JA3" s="68" t="str">
        <f>IF(IX3=1,Stats!$P18,"")</f>
        <v/>
      </c>
      <c r="JB3" s="68" t="str">
        <f>IF(IX3=1,Stats!$Q18,"")</f>
        <v/>
      </c>
      <c r="JC3" s="68" t="str">
        <f>IF(IX3=1,Stats!$R18,"")</f>
        <v/>
      </c>
      <c r="JD3" s="68" t="str">
        <f>IF(IX3=1,Stats!$S18,"")</f>
        <v/>
      </c>
      <c r="JE3" s="68">
        <f>COUNTIF($IY$3:$JD$55,IW3)</f>
        <v>0</v>
      </c>
      <c r="JF3">
        <f>JE3+IX3</f>
        <v>0</v>
      </c>
      <c r="JG3" s="68">
        <f>IF(JF3=0,MAX(JG$2:JG2)+1,0)</f>
        <v>1</v>
      </c>
      <c r="JH3" s="5" t="str">
        <f>B3</f>
        <v>Amphibious</v>
      </c>
      <c r="JI3" s="5" t="str">
        <f>IFERROR(VLOOKUP($A3,$JG$3:$JH$55,$CJ$2,FALSE)," ")</f>
        <v>Amphibious</v>
      </c>
      <c r="JK3">
        <f>A3</f>
        <v>1</v>
      </c>
      <c r="JL3" s="5" t="str">
        <f>B3</f>
        <v>Amphibious</v>
      </c>
      <c r="JM3" s="68">
        <f>COUNTIF(Builder!$K$23:$N$23,JL3)</f>
        <v>0</v>
      </c>
      <c r="JN3" s="68" t="str">
        <f>IF(JM3=1,Stats!$N18,"")</f>
        <v/>
      </c>
      <c r="JO3" s="68" t="str">
        <f>IF(JM3=1,Stats!$O18,"")</f>
        <v/>
      </c>
      <c r="JP3" s="68" t="str">
        <f>IF(JM3=1,Stats!$P18,"")</f>
        <v/>
      </c>
      <c r="JQ3" s="68" t="str">
        <f>IF(JM3=1,Stats!$Q18,"")</f>
        <v/>
      </c>
      <c r="JR3" s="68" t="str">
        <f>IF(JM3=1,Stats!$R18,"")</f>
        <v/>
      </c>
      <c r="JS3" s="68" t="str">
        <f>IF(JM3=1,Stats!$S18,"")</f>
        <v/>
      </c>
      <c r="JT3" s="68">
        <f>COUNTIF($JN$3:$JS$55,JL3)</f>
        <v>0</v>
      </c>
      <c r="JU3">
        <f>JT3+JM3</f>
        <v>0</v>
      </c>
      <c r="JV3" s="68">
        <f>IF(JU3=0,MAX(JV$2:JV2)+1,0)</f>
        <v>1</v>
      </c>
      <c r="JW3" s="5" t="str">
        <f>B3</f>
        <v>Amphibious</v>
      </c>
      <c r="JX3" s="5" t="str">
        <f>IFERROR(VLOOKUP($A3,$JV$3:$JW$55,$CJ$2,FALSE)," ")</f>
        <v>Amphibious</v>
      </c>
      <c r="JZ3">
        <f>A3</f>
        <v>1</v>
      </c>
      <c r="KA3" s="5" t="str">
        <f>B3</f>
        <v>Amphibious</v>
      </c>
      <c r="KB3" s="68">
        <f>COUNTIF(Builder!$K$24:$N$24,KA3)</f>
        <v>0</v>
      </c>
      <c r="KC3" s="68" t="str">
        <f>IF(KB3=1,Stats!$N18,"")</f>
        <v/>
      </c>
      <c r="KD3" s="68" t="str">
        <f>IF(KB3=1,Stats!$O18,"")</f>
        <v/>
      </c>
      <c r="KE3" s="68" t="str">
        <f>IF(KB3=1,Stats!$P18,"")</f>
        <v/>
      </c>
      <c r="KF3" s="68" t="str">
        <f>IF(KB3=1,Stats!$Q18,"")</f>
        <v/>
      </c>
      <c r="KG3" s="68" t="str">
        <f>IF(KB3=1,Stats!$R18,"")</f>
        <v/>
      </c>
      <c r="KH3" s="68" t="str">
        <f>IF(KB3=1,Stats!$S18,"")</f>
        <v/>
      </c>
      <c r="KI3" s="68">
        <f>COUNTIF($KC$3:$KH$55,KA3)</f>
        <v>0</v>
      </c>
      <c r="KJ3">
        <f>KI3+KB3</f>
        <v>0</v>
      </c>
      <c r="KK3" s="68">
        <f>IF(KJ3=0,MAX(KK$2:KK2)+1,0)</f>
        <v>1</v>
      </c>
      <c r="KL3" s="5" t="str">
        <f>B3</f>
        <v>Amphibious</v>
      </c>
      <c r="KM3" s="5" t="str">
        <f>IFERROR(VLOOKUP($A3,$KK$3:$KL$55,$CJ$2,FALSE)," ")</f>
        <v>Amphibious</v>
      </c>
      <c r="KO3">
        <f>A3</f>
        <v>1</v>
      </c>
      <c r="KP3" s="5" t="str">
        <f>B3</f>
        <v>Amphibious</v>
      </c>
      <c r="KQ3" s="68">
        <f>COUNTIF(Builder!$K$25:$N$25,KP3)</f>
        <v>0</v>
      </c>
      <c r="KR3" s="68" t="str">
        <f>IF(KQ3=1,Stats!$N18,"")</f>
        <v/>
      </c>
      <c r="KS3" s="68" t="str">
        <f>IF(KQ3=1,Stats!$O18,"")</f>
        <v/>
      </c>
      <c r="KT3" s="68" t="str">
        <f>IF(KQ3=1,Stats!$P18,"")</f>
        <v/>
      </c>
      <c r="KU3" s="68" t="str">
        <f>IF(KQ3=1,Stats!$Q18,"")</f>
        <v/>
      </c>
      <c r="KV3" s="68" t="str">
        <f>IF(KQ3=1,Stats!$R18,"")</f>
        <v/>
      </c>
      <c r="KW3" s="68" t="str">
        <f>IF(KQ3=1,Stats!$S18,"")</f>
        <v/>
      </c>
      <c r="KX3" s="68">
        <f>COUNTIF($KR$3:$KW$55,KP3)</f>
        <v>0</v>
      </c>
      <c r="KY3">
        <f>KX3+KQ3</f>
        <v>0</v>
      </c>
      <c r="KZ3" s="68">
        <f>IF(KY3=0,MAX(KZ$2:KZ2)+1,0)</f>
        <v>1</v>
      </c>
      <c r="LA3" s="5" t="str">
        <f>B3</f>
        <v>Amphibious</v>
      </c>
      <c r="LB3" s="5" t="str">
        <f>IFERROR(VLOOKUP($A3,$KZ$3:$LA$55,$CJ$2,FALSE)," ")</f>
        <v>Amphibious</v>
      </c>
      <c r="LD3">
        <f>A3</f>
        <v>1</v>
      </c>
      <c r="LE3" s="5" t="str">
        <f>B3</f>
        <v>Amphibious</v>
      </c>
      <c r="LF3" s="68">
        <f>COUNTIF(Builder!$K$26:$N$26,LE3)</f>
        <v>0</v>
      </c>
      <c r="LG3" s="68" t="str">
        <f>IF(LF3=1,Stats!$N18,"")</f>
        <v/>
      </c>
      <c r="LH3" s="68" t="str">
        <f>IF(LF3=1,Stats!$O18,"")</f>
        <v/>
      </c>
      <c r="LI3" s="68" t="str">
        <f>IF(LF3=1,Stats!$P18,"")</f>
        <v/>
      </c>
      <c r="LJ3" s="68" t="str">
        <f>IF(LF3=1,Stats!$Q18,"")</f>
        <v/>
      </c>
      <c r="LK3" s="68" t="str">
        <f>IF(LF3=1,Stats!$R18,"")</f>
        <v/>
      </c>
      <c r="LL3" s="68" t="str">
        <f>IF(LF3=1,Stats!$S18,"")</f>
        <v/>
      </c>
      <c r="LM3" s="68">
        <f>COUNTIF($LG$3:$LL$55,LE3)</f>
        <v>0</v>
      </c>
      <c r="LN3">
        <f>LM3+LF3</f>
        <v>0</v>
      </c>
      <c r="LO3" s="68">
        <f>IF(LN3=0,MAX(LO$2:LO2)+1,0)</f>
        <v>1</v>
      </c>
      <c r="LP3" s="5" t="str">
        <f>B3</f>
        <v>Amphibious</v>
      </c>
      <c r="LQ3" s="5" t="str">
        <f>IFERROR(VLOOKUP($A3,$LO$3:$LP$55,$CJ$2,FALSE)," ")</f>
        <v>Amphibious</v>
      </c>
      <c r="LS3">
        <f>A3</f>
        <v>1</v>
      </c>
      <c r="LT3" s="5" t="str">
        <f>B3</f>
        <v>Amphibious</v>
      </c>
      <c r="LU3" s="68">
        <f>COUNTIF(Builder!$K$27:$N$27,LT3)</f>
        <v>0</v>
      </c>
      <c r="LV3" s="68" t="str">
        <f>IF(LU3=1,Stats!$N18,"")</f>
        <v/>
      </c>
      <c r="LW3" s="68" t="str">
        <f>IF(LU3=1,Stats!$O18,"")</f>
        <v/>
      </c>
      <c r="LX3" s="68" t="str">
        <f>IF(LU3=1,Stats!$P18,"")</f>
        <v/>
      </c>
      <c r="LY3" s="68" t="str">
        <f>IF(LU3=1,Stats!$Q18,"")</f>
        <v/>
      </c>
      <c r="LZ3" s="68" t="str">
        <f>IF(LU3=1,Stats!$R18,"")</f>
        <v/>
      </c>
      <c r="MA3" s="68" t="str">
        <f>IF(LU3=1,Stats!$S18,"")</f>
        <v/>
      </c>
      <c r="MB3" s="68">
        <f>COUNTIF($LV$3:$MA$55,LT3)</f>
        <v>0</v>
      </c>
      <c r="MC3">
        <f>MB3+LU3</f>
        <v>0</v>
      </c>
      <c r="MD3" s="68">
        <f>IF(MC3=0,MAX(MD$2:MD2)+1,0)</f>
        <v>1</v>
      </c>
      <c r="ME3" s="5" t="str">
        <f>B3</f>
        <v>Amphibious</v>
      </c>
      <c r="MF3" s="5" t="str">
        <f>IFERROR(VLOOKUP($A3,$MD$3:$ME$55,$CJ$2,FALSE)," ")</f>
        <v>Amphibious</v>
      </c>
      <c r="MH3">
        <f>A3</f>
        <v>1</v>
      </c>
      <c r="MI3" s="5" t="str">
        <f>B3</f>
        <v>Amphibious</v>
      </c>
      <c r="MJ3" s="68">
        <f>COUNTIF(Builder!$K$28:$N$28,MI3)</f>
        <v>0</v>
      </c>
      <c r="MK3" s="68" t="str">
        <f>IF(MJ3=1,Stats!$N18,"")</f>
        <v/>
      </c>
      <c r="ML3" s="68" t="str">
        <f>IF(MJ3=1,Stats!$O18,"")</f>
        <v/>
      </c>
      <c r="MM3" s="68" t="str">
        <f>IF(MJ3=1,Stats!$P18,"")</f>
        <v/>
      </c>
      <c r="MN3" s="68" t="str">
        <f>IF(MJ3=1,Stats!$Q18,"")</f>
        <v/>
      </c>
      <c r="MO3" s="68" t="str">
        <f>IF(MJ3=1,Stats!$R18,"")</f>
        <v/>
      </c>
      <c r="MP3" s="68" t="str">
        <f>IF(MJ3=1,Stats!$S18,"")</f>
        <v/>
      </c>
      <c r="MQ3" s="68">
        <f>COUNTIF($MK$3:$MP$55,MI3)</f>
        <v>0</v>
      </c>
      <c r="MR3">
        <f>MQ3+MJ3</f>
        <v>0</v>
      </c>
      <c r="MS3" s="68">
        <f>IF(MR3=0,MAX(MS$2:MS2)+1,0)</f>
        <v>1</v>
      </c>
      <c r="MT3" s="5" t="str">
        <f>B3</f>
        <v>Amphibious</v>
      </c>
      <c r="MU3" s="5" t="str">
        <f>IFERROR(VLOOKUP($A3,$MS$3:$MT$55,$CJ$2,FALSE)," ")</f>
        <v>Amphibious</v>
      </c>
      <c r="MW3">
        <f>A3</f>
        <v>1</v>
      </c>
      <c r="MX3" s="5" t="str">
        <f>B3</f>
        <v>Amphibious</v>
      </c>
      <c r="MY3" s="68">
        <f>COUNTIF(Builder!$K$29:$N$29,MX3)</f>
        <v>0</v>
      </c>
      <c r="MZ3" s="68" t="str">
        <f>IF(MY3=1,Stats!$N18,"")</f>
        <v/>
      </c>
      <c r="NA3" s="68" t="str">
        <f>IF(MY3=1,Stats!$O18,"")</f>
        <v/>
      </c>
      <c r="NB3" s="68" t="str">
        <f>IF(MY3=1,Stats!$P18,"")</f>
        <v/>
      </c>
      <c r="NC3" s="68" t="str">
        <f>IF(MY3=1,Stats!$Q18,"")</f>
        <v/>
      </c>
      <c r="ND3" s="68" t="str">
        <f>IF(MY3=1,Stats!$R18,"")</f>
        <v/>
      </c>
      <c r="NE3" s="68" t="str">
        <f>IF(MY3=1,Stats!$S18,"")</f>
        <v/>
      </c>
      <c r="NF3" s="68">
        <f>COUNTIF($MZ$3:$NE$55,MX3)</f>
        <v>0</v>
      </c>
      <c r="NG3">
        <f>NF3+MY3</f>
        <v>0</v>
      </c>
      <c r="NH3" s="68">
        <f>IF(NG3=0,MAX(NH$2:NH2)+1,0)</f>
        <v>1</v>
      </c>
      <c r="NI3" s="5" t="str">
        <f>B3</f>
        <v>Amphibious</v>
      </c>
      <c r="NJ3" s="5" t="str">
        <f>IFERROR(VLOOKUP($A3,$NH$3:$NI$55,$CJ$2,FALSE)," ")</f>
        <v>Amphibious</v>
      </c>
    </row>
    <row r="4" spans="1:374" ht="15" x14ac:dyDescent="0.3">
      <c r="A4">
        <v>2</v>
      </c>
      <c r="B4" s="5" t="s">
        <v>21</v>
      </c>
      <c r="C4" s="68">
        <f>COUNTIF(Builder!$K$5:$N$5,B4)</f>
        <v>0</v>
      </c>
      <c r="D4" s="68" t="str">
        <f>IF(C4=1,Stats!$N19,"")</f>
        <v/>
      </c>
      <c r="E4" s="68" t="str">
        <f>IF(C4=1,Stats!$O19,"")</f>
        <v/>
      </c>
      <c r="F4" s="68" t="str">
        <f>IF(C4=1,Stats!$P19,"")</f>
        <v/>
      </c>
      <c r="G4" s="68" t="str">
        <f>IF(C4=1,Stats!$Q19,"")</f>
        <v/>
      </c>
      <c r="H4" s="68" t="str">
        <f>IF(C4=1,Stats!$R19,"")</f>
        <v/>
      </c>
      <c r="I4" s="68" t="str">
        <f>IF(C4=1,Stats!$S19,"")</f>
        <v/>
      </c>
      <c r="J4" s="68">
        <f t="shared" ref="J4:J55" si="0">COUNTIF($D$3:$I$55,B4)</f>
        <v>0</v>
      </c>
      <c r="K4">
        <f t="shared" ref="K4:K55" si="1">J4+C4</f>
        <v>0</v>
      </c>
      <c r="L4" s="68">
        <f>IF(K4=0,MAX($L$2:L3)+1,0)</f>
        <v>2</v>
      </c>
      <c r="M4" s="5" t="str">
        <f t="shared" ref="M4:M55" si="2">B4</f>
        <v>Artillery</v>
      </c>
      <c r="N4" s="5" t="str">
        <f t="shared" ref="N4:N55" si="3">IFERROR(VLOOKUP($A4,$L$3:$M$55,$M$2,FALSE)," ")</f>
        <v>Artillery</v>
      </c>
      <c r="O4" s="5"/>
      <c r="P4">
        <f t="shared" ref="P4:P55" si="4">A4</f>
        <v>2</v>
      </c>
      <c r="Q4" s="5" t="str">
        <f t="shared" ref="Q4:Q55" si="5">B4</f>
        <v>Artillery</v>
      </c>
      <c r="R4" s="68">
        <f>COUNTIF(Builder!$K$6:$N$6,Q4)</f>
        <v>0</v>
      </c>
      <c r="S4" s="68" t="str">
        <f>IF(R4=1,Stats!$N19,"")</f>
        <v/>
      </c>
      <c r="T4" s="68" t="str">
        <f>IF(R4=1,Stats!$O19,"")</f>
        <v/>
      </c>
      <c r="U4" s="68" t="str">
        <f>IF(R4=1,Stats!$P19,"")</f>
        <v/>
      </c>
      <c r="V4" s="68" t="str">
        <f>IF(R4=1,Stats!$Q19,"")</f>
        <v/>
      </c>
      <c r="W4" s="68" t="str">
        <f>IF(R4=1,Stats!$R19,"")</f>
        <v/>
      </c>
      <c r="X4" s="68" t="str">
        <f>IF(R4=1,Stats!$S19,"")</f>
        <v/>
      </c>
      <c r="Y4" s="68">
        <f t="shared" ref="Y4:Y55" si="6">COUNTIF($S$3:$X$55,Q4)</f>
        <v>0</v>
      </c>
      <c r="Z4">
        <f t="shared" ref="Z4:Z55" si="7">Y4+R4</f>
        <v>0</v>
      </c>
      <c r="AA4" s="68">
        <f>IF(Z4=0,MAX($AA$2:AA3)+1,0)</f>
        <v>2</v>
      </c>
      <c r="AB4" s="5" t="str">
        <f t="shared" ref="AB4:AB55" si="8">B4</f>
        <v>Artillery</v>
      </c>
      <c r="AC4" s="5" t="str">
        <f t="shared" ref="AC4:AC55" si="9">IFERROR(VLOOKUP($A4,$AA$3:$AB$55,$AB$2,FALSE)," ")</f>
        <v>Artillery</v>
      </c>
      <c r="AD4" s="5"/>
      <c r="AE4">
        <f t="shared" ref="AE4:AE55" si="10">A4</f>
        <v>2</v>
      </c>
      <c r="AF4" s="5" t="str">
        <f t="shared" ref="AF4:AF55" si="11">B4</f>
        <v>Artillery</v>
      </c>
      <c r="AG4" s="68">
        <f>COUNTIF(Builder!$K$7:$N$7,AF4)</f>
        <v>0</v>
      </c>
      <c r="AH4" s="68" t="str">
        <f>IF(AG4=1,Stats!$N19,"")</f>
        <v/>
      </c>
      <c r="AI4" s="68" t="str">
        <f>IF(AG4=1,Stats!$O19,"")</f>
        <v/>
      </c>
      <c r="AJ4" s="68" t="str">
        <f>IF(AG4=1,Stats!$P19,"")</f>
        <v/>
      </c>
      <c r="AK4" s="68" t="str">
        <f>IF(AG4=1,Stats!$Q19,"")</f>
        <v/>
      </c>
      <c r="AL4" s="68" t="str">
        <f>IF(AG4=1,Stats!$R19,"")</f>
        <v/>
      </c>
      <c r="AM4" s="68" t="str">
        <f>IF(AG4=1,Stats!$S19,"")</f>
        <v/>
      </c>
      <c r="AN4" s="68">
        <f t="shared" ref="AN4:AN55" si="12">COUNTIF($AH$3:$AM$55,AF4)</f>
        <v>0</v>
      </c>
      <c r="AO4">
        <f t="shared" ref="AO4:AO55" si="13">AN4+AG4</f>
        <v>0</v>
      </c>
      <c r="AP4" s="68">
        <f>IF(AO4=0,MAX($AP$2:AP3)+1,0)</f>
        <v>2</v>
      </c>
      <c r="AQ4" s="5" t="str">
        <f t="shared" ref="AQ4:AQ55" si="14">B4</f>
        <v>Artillery</v>
      </c>
      <c r="AR4" s="5" t="str">
        <f t="shared" ref="AR4:AR55" si="15">IFERROR(VLOOKUP($A4,$AP$3:$AQ$55,$AQ$2,FALSE)," ")</f>
        <v>Artillery</v>
      </c>
      <c r="AS4" s="5"/>
      <c r="AT4">
        <f t="shared" ref="AT4:AT55" si="16">A4</f>
        <v>2</v>
      </c>
      <c r="AU4" s="5" t="str">
        <f t="shared" ref="AU4:AU55" si="17">B4</f>
        <v>Artillery</v>
      </c>
      <c r="AV4" s="68">
        <f>COUNTIF(Builder!$K$8:$N$8,AU4)</f>
        <v>0</v>
      </c>
      <c r="AW4" s="68" t="str">
        <f>IF(AV4=1,Stats!$N19,"")</f>
        <v/>
      </c>
      <c r="AX4" s="68" t="str">
        <f>IF(AV4=1,Stats!$O19,"")</f>
        <v/>
      </c>
      <c r="AY4" s="68" t="str">
        <f>IF(AV4=1,Stats!$P19,"")</f>
        <v/>
      </c>
      <c r="AZ4" s="68" t="str">
        <f>IF(AV4=1,Stats!$Q19,"")</f>
        <v/>
      </c>
      <c r="BA4" s="68" t="str">
        <f>IF(AV4=1,Stats!$R19,"")</f>
        <v/>
      </c>
      <c r="BB4" s="68" t="str">
        <f>IF(AV4=1,Stats!$S19,"")</f>
        <v/>
      </c>
      <c r="BC4" s="68">
        <f t="shared" ref="BC4:BC55" si="18">COUNTIF($AV$3:$BB$55,AU4)</f>
        <v>0</v>
      </c>
      <c r="BD4">
        <f t="shared" ref="BD4:BD55" si="19">BC4+AV4</f>
        <v>0</v>
      </c>
      <c r="BE4" s="68">
        <f>IF(BD4=0,MAX($BE$2:BE3)+1,0)</f>
        <v>2</v>
      </c>
      <c r="BF4" s="5" t="str">
        <f t="shared" ref="BF4:BF55" si="20">B4</f>
        <v>Artillery</v>
      </c>
      <c r="BG4" s="5" t="str">
        <f t="shared" ref="BG4:BG55" si="21">IFERROR(VLOOKUP($A4,$BE$3:$BF$55,$BF$2,FALSE)," ")</f>
        <v>Artillery</v>
      </c>
      <c r="BH4" s="5"/>
      <c r="BI4">
        <f t="shared" ref="BI4:BI7" si="22">A4</f>
        <v>2</v>
      </c>
      <c r="BJ4" s="5" t="str">
        <f t="shared" ref="BJ4:BJ7" si="23">B4</f>
        <v>Artillery</v>
      </c>
      <c r="BK4" s="68">
        <f>COUNTIF(Builder!$K$9:$N$9,BJ4)</f>
        <v>0</v>
      </c>
      <c r="BL4" s="68" t="str">
        <f>IF(BK4=1,Stats!$N19,"")</f>
        <v/>
      </c>
      <c r="BM4" s="68" t="str">
        <f>IF(BK4=1,Stats!$O19,"")</f>
        <v/>
      </c>
      <c r="BN4" s="68" t="str">
        <f>IF(BK4=1,Stats!$P19,"")</f>
        <v/>
      </c>
      <c r="BO4" s="68" t="str">
        <f>IF(BK4=1,Stats!$Q19,"")</f>
        <v/>
      </c>
      <c r="BP4" s="68" t="str">
        <f>IF(BK4=1,Stats!$R19,"")</f>
        <v/>
      </c>
      <c r="BQ4" s="68" t="str">
        <f>IF(BK4=1,Stats!$S19,"")</f>
        <v/>
      </c>
      <c r="BR4" s="68">
        <f t="shared" ref="BR4:BR7" si="24">COUNTIF($BL$3:$BQ$55,BJ4)</f>
        <v>0</v>
      </c>
      <c r="BS4">
        <f t="shared" ref="BS4:BS7" si="25">BR4+BK4</f>
        <v>0</v>
      </c>
      <c r="BT4" s="68">
        <f>IF(BS4=0,MAX(BT$2:BT3)+1,0)</f>
        <v>2</v>
      </c>
      <c r="BU4" s="5" t="str">
        <f t="shared" ref="BU4:BU7" si="26">B4</f>
        <v>Artillery</v>
      </c>
      <c r="BV4" s="5" t="str">
        <f t="shared" ref="BV4:BV55" si="27">IFERROR(VLOOKUP($A4,$BT$3:$BU$55,$BU$2,FALSE)," ")</f>
        <v>Artillery</v>
      </c>
      <c r="BX4">
        <f t="shared" ref="BX4:BX7" si="28">A4</f>
        <v>2</v>
      </c>
      <c r="BY4" s="5" t="str">
        <f t="shared" ref="BY4:BY7" si="29">B4</f>
        <v>Artillery</v>
      </c>
      <c r="BZ4" s="68">
        <f>COUNTIF(Builder!$K$10:$N$10,BY4)</f>
        <v>0</v>
      </c>
      <c r="CA4" s="68" t="str">
        <f>IF(BZ4=1,Stats!$N19,"")</f>
        <v/>
      </c>
      <c r="CB4" s="68" t="str">
        <f>IF(BZ4=1,Stats!$O19,"")</f>
        <v/>
      </c>
      <c r="CC4" s="68" t="str">
        <f>IF(BZ4=1,Stats!$P19,"")</f>
        <v/>
      </c>
      <c r="CD4" s="68" t="str">
        <f>IF(BZ4=1,Stats!$Q19,"")</f>
        <v/>
      </c>
      <c r="CE4" s="68" t="str">
        <f>IF(BZ4=1,Stats!$R19,"")</f>
        <v/>
      </c>
      <c r="CF4" s="68" t="str">
        <f>IF(BZ4=1,Stats!$S19,"")</f>
        <v/>
      </c>
      <c r="CG4" s="68">
        <f t="shared" ref="CG4:CG7" si="30">COUNTIF($CA$3:$CF$55,BY4)</f>
        <v>0</v>
      </c>
      <c r="CH4">
        <f t="shared" ref="CH4:CH7" si="31">CG4+BZ4</f>
        <v>0</v>
      </c>
      <c r="CI4" s="68">
        <f>IF(CH4=0,MAX(CI$2:CI3)+1,0)</f>
        <v>2</v>
      </c>
      <c r="CJ4" s="5" t="str">
        <f t="shared" ref="CJ4:CJ7" si="32">B4</f>
        <v>Artillery</v>
      </c>
      <c r="CK4" s="5" t="str">
        <f t="shared" ref="CK4:CK55" si="33">IFERROR(VLOOKUP($A4,$CI$3:$CJ$55,$CJ$2,FALSE)," ")</f>
        <v>Artillery</v>
      </c>
      <c r="CM4">
        <f t="shared" ref="CM4:CM55" si="34">A4</f>
        <v>2</v>
      </c>
      <c r="CN4" s="5" t="str">
        <f t="shared" ref="CN4:CN55" si="35">B4</f>
        <v>Artillery</v>
      </c>
      <c r="CO4" s="68">
        <f>COUNTIF(Builder!$K$11:$N$11,CN4)</f>
        <v>0</v>
      </c>
      <c r="CP4" s="68" t="str">
        <f>IF(CO4=1,Stats!$N19,"")</f>
        <v/>
      </c>
      <c r="CQ4" s="68" t="str">
        <f>IF(CO4=1,Stats!$O19,"")</f>
        <v/>
      </c>
      <c r="CR4" s="68" t="str">
        <f>IF(CO4=1,Stats!$P19,"")</f>
        <v/>
      </c>
      <c r="CS4" s="68" t="str">
        <f>IF(CO4=1,Stats!$Q19,"")</f>
        <v/>
      </c>
      <c r="CT4" s="68" t="str">
        <f>IF(CO4=1,Stats!$R19,"")</f>
        <v/>
      </c>
      <c r="CU4" s="68" t="str">
        <f>IF(CO4=1,Stats!$S19,"")</f>
        <v/>
      </c>
      <c r="CV4" s="68">
        <f t="shared" ref="CV4:CV55" si="36">COUNTIF($CP$3:$CU$55,CN4)</f>
        <v>0</v>
      </c>
      <c r="CW4">
        <f t="shared" ref="CW4:CW55" si="37">CV4+CO4</f>
        <v>0</v>
      </c>
      <c r="CX4" s="68">
        <f>IF(CW4=0,MAX(CX$2:CX3)+1,0)</f>
        <v>2</v>
      </c>
      <c r="CY4" s="5" t="str">
        <f t="shared" ref="CY4:CY55" si="38">B4</f>
        <v>Artillery</v>
      </c>
      <c r="CZ4" s="5" t="str">
        <f t="shared" ref="CZ4:CZ55" si="39">IFERROR(VLOOKUP($A4,$CX$3:$CY$55,$CJ$2,FALSE)," ")</f>
        <v>Artillery</v>
      </c>
      <c r="DB4">
        <f t="shared" ref="DB4:DB7" si="40">A4</f>
        <v>2</v>
      </c>
      <c r="DC4" s="5" t="str">
        <f t="shared" ref="DC4:DC7" si="41">B4</f>
        <v>Artillery</v>
      </c>
      <c r="DD4" s="68">
        <f>COUNTIF(Builder!$K$12:$N$12,DC4)</f>
        <v>0</v>
      </c>
      <c r="DE4" s="68" t="str">
        <f>IF(DD4=1,Stats!$N19,"")</f>
        <v/>
      </c>
      <c r="DF4" s="68" t="str">
        <f>IF(DD4=1,Stats!$O19,"")</f>
        <v/>
      </c>
      <c r="DG4" s="68" t="str">
        <f>IF(DD4=1,Stats!$P19,"")</f>
        <v/>
      </c>
      <c r="DH4" s="68" t="str">
        <f>IF(DD4=1,Stats!$Q19,"")</f>
        <v/>
      </c>
      <c r="DI4" s="68" t="str">
        <f>IF(DD4=1,Stats!$R19,"")</f>
        <v/>
      </c>
      <c r="DJ4" s="68" t="str">
        <f>IF(DD4=1,Stats!$S19,"")</f>
        <v/>
      </c>
      <c r="DK4" s="68">
        <f t="shared" ref="DK4:DK7" si="42">COUNTIF($DE$3:$DJ$55,DC4)</f>
        <v>0</v>
      </c>
      <c r="DL4">
        <f t="shared" ref="DL4:DL7" si="43">DK4+DD4</f>
        <v>0</v>
      </c>
      <c r="DM4" s="68">
        <f>IF(DL4=0,MAX(DM$2:DM3)+1,0)</f>
        <v>2</v>
      </c>
      <c r="DN4" s="5" t="str">
        <f t="shared" ref="DN4:DN7" si="44">B4</f>
        <v>Artillery</v>
      </c>
      <c r="DO4" s="5" t="str">
        <f t="shared" ref="DO4:DO55" si="45">IFERROR(VLOOKUP($A4,$DM$3:$DN$55,$CJ$2,FALSE)," ")</f>
        <v>Artillery</v>
      </c>
      <c r="DQ4">
        <f t="shared" ref="DQ4:DQ7" si="46">A4</f>
        <v>2</v>
      </c>
      <c r="DR4" s="5" t="str">
        <f t="shared" ref="DR4:DR7" si="47">B4</f>
        <v>Artillery</v>
      </c>
      <c r="DS4" s="68">
        <f>COUNTIF(Builder!$K$13:$N$13,DR4)</f>
        <v>0</v>
      </c>
      <c r="DT4" s="68" t="str">
        <f>IF(DS4=1,Stats!$N19,"")</f>
        <v/>
      </c>
      <c r="DU4" s="68" t="str">
        <f>IF(DS4=1,Stats!$O19,"")</f>
        <v/>
      </c>
      <c r="DV4" s="68" t="str">
        <f>IF(DS4=1,Stats!$P19,"")</f>
        <v/>
      </c>
      <c r="DW4" s="68" t="str">
        <f>IF(DS4=1,Stats!$Q19,"")</f>
        <v/>
      </c>
      <c r="DX4" s="68" t="str">
        <f>IF(DS4=1,Stats!$R19,"")</f>
        <v/>
      </c>
      <c r="DY4" s="68" t="str">
        <f>IF(DS4=1,Stats!$S19,"")</f>
        <v/>
      </c>
      <c r="DZ4" s="68">
        <f t="shared" ref="DZ4:DZ7" si="48">COUNTIF($DT$3:$DY$55,DR4)</f>
        <v>0</v>
      </c>
      <c r="EA4">
        <f t="shared" ref="EA4:EA7" si="49">DZ4+DS4</f>
        <v>0</v>
      </c>
      <c r="EB4" s="68">
        <f>IF(EA4=0,MAX(EB$2:EB3)+1,0)</f>
        <v>2</v>
      </c>
      <c r="EC4" s="5" t="str">
        <f t="shared" ref="EC4:EC7" si="50">B4</f>
        <v>Artillery</v>
      </c>
      <c r="ED4" s="5" t="str">
        <f t="shared" ref="ED4:ED55" si="51">IFERROR(VLOOKUP($A4,$EB$3:$EC$55,$CJ$2,FALSE)," ")</f>
        <v>Artillery</v>
      </c>
      <c r="EF4">
        <f t="shared" ref="EF4:EF55" si="52">A4</f>
        <v>2</v>
      </c>
      <c r="EG4" s="5" t="str">
        <f t="shared" ref="EG4:EG55" si="53">B4</f>
        <v>Artillery</v>
      </c>
      <c r="EH4" s="68">
        <f>COUNTIF(Builder!$K$14:$N$14,EG4)</f>
        <v>0</v>
      </c>
      <c r="EI4" s="68" t="str">
        <f>IF(EH4=1,Stats!$N19,"")</f>
        <v/>
      </c>
      <c r="EJ4" s="68" t="str">
        <f>IF(EH4=1,Stats!$O19,"")</f>
        <v/>
      </c>
      <c r="EK4" s="68" t="str">
        <f>IF(EH4=1,Stats!$P19,"")</f>
        <v/>
      </c>
      <c r="EL4" s="68" t="str">
        <f>IF(EH4=1,Stats!$Q19,"")</f>
        <v/>
      </c>
      <c r="EM4" s="68" t="str">
        <f>IF(EH4=1,Stats!$R19,"")</f>
        <v/>
      </c>
      <c r="EN4" s="68" t="str">
        <f>IF(EH4=1,Stats!$S19,"")</f>
        <v/>
      </c>
      <c r="EO4" s="68">
        <f t="shared" ref="EO4:EO55" si="54">COUNTIF($EI$3:$EN$55,EG4)</f>
        <v>0</v>
      </c>
      <c r="EP4">
        <f t="shared" ref="EP4:EP55" si="55">EO4+EH4</f>
        <v>0</v>
      </c>
      <c r="EQ4" s="68">
        <f>IF(EP4=0,MAX(EQ$2:EQ3)+1,0)</f>
        <v>2</v>
      </c>
      <c r="ER4" s="5" t="str">
        <f t="shared" ref="ER4:ER55" si="56">B4</f>
        <v>Artillery</v>
      </c>
      <c r="ES4" s="5" t="str">
        <f t="shared" ref="ES4:ES55" si="57">IFERROR(VLOOKUP($A4,$EQ$3:$ER$55,$CJ$2,FALSE)," ")</f>
        <v>Artillery</v>
      </c>
      <c r="EU4">
        <f t="shared" ref="EU4:EU55" si="58">A4</f>
        <v>2</v>
      </c>
      <c r="EV4" s="5" t="str">
        <f t="shared" ref="EV4:EV55" si="59">B4</f>
        <v>Artillery</v>
      </c>
      <c r="EW4" s="68">
        <f>COUNTIF(Builder!$K$15:$N$15,EV4)</f>
        <v>0</v>
      </c>
      <c r="EX4" s="68" t="str">
        <f>IF(EW4=1,Stats!$N19,"")</f>
        <v/>
      </c>
      <c r="EY4" s="68" t="str">
        <f>IF(EW4=1,Stats!$O19,"")</f>
        <v/>
      </c>
      <c r="EZ4" s="68" t="str">
        <f>IF(EW4=1,Stats!$P19,"")</f>
        <v/>
      </c>
      <c r="FA4" s="68" t="str">
        <f>IF(EW4=1,Stats!$Q19,"")</f>
        <v/>
      </c>
      <c r="FB4" s="68" t="str">
        <f>IF(EW4=1,Stats!$R19,"")</f>
        <v/>
      </c>
      <c r="FC4" s="68" t="str">
        <f>IF(EW4=1,Stats!$S19,"")</f>
        <v/>
      </c>
      <c r="FD4" s="68">
        <f t="shared" ref="FD4:FD55" si="60">COUNTIF($EX$3:$FC$55,EV4)</f>
        <v>0</v>
      </c>
      <c r="FE4">
        <f t="shared" ref="FE4:FE55" si="61">FD4+EW4</f>
        <v>0</v>
      </c>
      <c r="FF4" s="68">
        <f>IF(FE4=0,MAX(FF$2:FF3)+1,0)</f>
        <v>2</v>
      </c>
      <c r="FG4" s="5" t="str">
        <f t="shared" ref="FG4:FG55" si="62">B4</f>
        <v>Artillery</v>
      </c>
      <c r="FH4" s="5" t="str">
        <f t="shared" ref="FH4:FH55" si="63">IFERROR(VLOOKUP($A4,$FF$3:$FG$55,$CJ$2,FALSE)," ")</f>
        <v>Artillery</v>
      </c>
      <c r="FJ4">
        <f t="shared" ref="FJ4:FJ55" si="64">A4</f>
        <v>2</v>
      </c>
      <c r="FK4" s="5" t="str">
        <f t="shared" ref="FK4:FK55" si="65">B4</f>
        <v>Artillery</v>
      </c>
      <c r="FL4" s="68">
        <f>COUNTIF(Builder!$K$16:$N$16,FK4)</f>
        <v>0</v>
      </c>
      <c r="FM4" s="68" t="str">
        <f>IF(FL4=1,Stats!$N19,"")</f>
        <v/>
      </c>
      <c r="FN4" s="68" t="str">
        <f>IF(FL4=1,Stats!$O19,"")</f>
        <v/>
      </c>
      <c r="FO4" s="68" t="str">
        <f>IF(FL4=1,Stats!$P19,"")</f>
        <v/>
      </c>
      <c r="FP4" s="68" t="str">
        <f>IF(FL4=1,Stats!$Q19,"")</f>
        <v/>
      </c>
      <c r="FQ4" s="68" t="str">
        <f>IF(FL4=1,Stats!$R19,"")</f>
        <v/>
      </c>
      <c r="FR4" s="68" t="str">
        <f>IF(FL4=1,Stats!$S19,"")</f>
        <v/>
      </c>
      <c r="FS4" s="68">
        <f t="shared" ref="FS4:FS55" si="66">COUNTIF($FM$3:$FR$55,FK4)</f>
        <v>0</v>
      </c>
      <c r="FT4">
        <f t="shared" ref="FT4:FT55" si="67">FS4+FL4</f>
        <v>0</v>
      </c>
      <c r="FU4" s="68">
        <f>IF(FT4=0,MAX(FU$2:FU3)+1,0)</f>
        <v>2</v>
      </c>
      <c r="FV4" s="5" t="str">
        <f t="shared" ref="FV4:FV55" si="68">B4</f>
        <v>Artillery</v>
      </c>
      <c r="FW4" s="5" t="str">
        <f t="shared" ref="FW4:FW55" si="69">IFERROR(VLOOKUP($A4,$FU$3:$FV$55,$CJ$2,FALSE)," ")</f>
        <v>Artillery</v>
      </c>
      <c r="FY4">
        <f t="shared" ref="FY4:FY7" si="70">A4</f>
        <v>2</v>
      </c>
      <c r="FZ4" s="5" t="str">
        <f t="shared" ref="FZ4:FZ7" si="71">B4</f>
        <v>Artillery</v>
      </c>
      <c r="GA4" s="68">
        <f>COUNTIF(Builder!$K$17:$N$17,FZ4)</f>
        <v>0</v>
      </c>
      <c r="GB4" s="68" t="str">
        <f>IF(GA4=1,Stats!$N19,"")</f>
        <v/>
      </c>
      <c r="GC4" s="68" t="str">
        <f>IF(GA4=1,Stats!$O19,"")</f>
        <v/>
      </c>
      <c r="GD4" s="68" t="str">
        <f>IF(GA4=1,Stats!$P19,"")</f>
        <v/>
      </c>
      <c r="GE4" s="68" t="str">
        <f>IF(GA4=1,Stats!$Q19,"")</f>
        <v/>
      </c>
      <c r="GF4" s="68" t="str">
        <f>IF(GA4=1,Stats!$R19,"")</f>
        <v/>
      </c>
      <c r="GG4" s="68" t="str">
        <f>IF(GA4=1,Stats!$S19,"")</f>
        <v/>
      </c>
      <c r="GH4" s="68">
        <f t="shared" ref="GH4:GH7" si="72">COUNTIF($GB$3:$GG$55,FZ4)</f>
        <v>0</v>
      </c>
      <c r="GI4">
        <f t="shared" ref="GI4:GI7" si="73">GH4+GA4</f>
        <v>0</v>
      </c>
      <c r="GJ4" s="68">
        <f>IF(GI4=0,MAX(GJ$2:GJ3)+1,0)</f>
        <v>2</v>
      </c>
      <c r="GK4" s="5" t="str">
        <f t="shared" ref="GK4:GK7" si="74">B4</f>
        <v>Artillery</v>
      </c>
      <c r="GL4" s="5" t="str">
        <f t="shared" ref="GL4:GL55" si="75">IFERROR(VLOOKUP($A4,$GJ$3:$GK$55,$CJ$2,FALSE)," ")</f>
        <v>Artillery</v>
      </c>
      <c r="GN4">
        <f t="shared" ref="GN4:GN55" si="76">A4</f>
        <v>2</v>
      </c>
      <c r="GO4" s="5" t="str">
        <f t="shared" ref="GO4:GO55" si="77">B4</f>
        <v>Artillery</v>
      </c>
      <c r="GP4" s="68">
        <f>COUNTIF(Builder!$K$18:$N$18,GO4)</f>
        <v>0</v>
      </c>
      <c r="GQ4" s="68" t="str">
        <f>IF(GP4=1,Stats!$N19,"")</f>
        <v/>
      </c>
      <c r="GR4" s="68" t="str">
        <f>IF(GP4=1,Stats!$O19,"")</f>
        <v/>
      </c>
      <c r="GS4" s="68" t="str">
        <f>IF(GP4=1,Stats!$P19,"")</f>
        <v/>
      </c>
      <c r="GT4" s="68" t="str">
        <f>IF(GP4=1,Stats!$Q19,"")</f>
        <v/>
      </c>
      <c r="GU4" s="68" t="str">
        <f>IF(GP4=1,Stats!$R19,"")</f>
        <v/>
      </c>
      <c r="GV4" s="68" t="str">
        <f>IF(GP4=1,Stats!$S19,"")</f>
        <v/>
      </c>
      <c r="GW4" s="68">
        <f t="shared" ref="GW4:GW55" si="78">COUNTIF($GQ$3:$GV$55,GO4)</f>
        <v>0</v>
      </c>
      <c r="GX4">
        <f t="shared" ref="GX4:GX55" si="79">GW4+GP4</f>
        <v>0</v>
      </c>
      <c r="GY4" s="68">
        <f>IF(GX4=0,MAX(GY$2:GY3)+1,0)</f>
        <v>2</v>
      </c>
      <c r="GZ4" s="5" t="str">
        <f t="shared" ref="GZ4:GZ55" si="80">B4</f>
        <v>Artillery</v>
      </c>
      <c r="HA4" s="5" t="str">
        <f t="shared" ref="HA4:HA55" si="81">IFERROR(VLOOKUP($A4,$GY$3:$GZ$55,$CJ$2,FALSE)," ")</f>
        <v>Artillery</v>
      </c>
      <c r="HC4">
        <f t="shared" ref="HC4:HC55" si="82">A4</f>
        <v>2</v>
      </c>
      <c r="HD4" s="5" t="str">
        <f t="shared" ref="HD4:HD55" si="83">B4</f>
        <v>Artillery</v>
      </c>
      <c r="HE4" s="68">
        <f>COUNTIF(Builder!$K$19:$N$19,HD4)</f>
        <v>0</v>
      </c>
      <c r="HF4" s="68" t="str">
        <f>IF(HE4=1,Stats!$N19,"")</f>
        <v/>
      </c>
      <c r="HG4" s="68" t="str">
        <f>IF(HE4=1,Stats!$O19,"")</f>
        <v/>
      </c>
      <c r="HH4" s="68" t="str">
        <f>IF(HE4=1,Stats!$P19,"")</f>
        <v/>
      </c>
      <c r="HI4" s="68" t="str">
        <f>IF(HE4=1,Stats!$Q19,"")</f>
        <v/>
      </c>
      <c r="HJ4" s="68" t="str">
        <f>IF(HE4=1,Stats!$R19,"")</f>
        <v/>
      </c>
      <c r="HK4" s="68" t="str">
        <f>IF(HE4=1,Stats!$S19,"")</f>
        <v/>
      </c>
      <c r="HL4" s="68">
        <f t="shared" ref="HL4:HL55" si="84">COUNTIF($HF$3:$HK$55,HD4)</f>
        <v>0</v>
      </c>
      <c r="HM4">
        <f t="shared" ref="HM4:HM55" si="85">HL4+HE4</f>
        <v>0</v>
      </c>
      <c r="HN4" s="68">
        <f>IF(HM4=0,MAX(HN$2:HN3)+1,0)</f>
        <v>2</v>
      </c>
      <c r="HO4" s="5" t="str">
        <f t="shared" ref="HO4:HO55" si="86">B4</f>
        <v>Artillery</v>
      </c>
      <c r="HP4" s="5" t="str">
        <f t="shared" ref="HP4:HP55" si="87">IFERROR(VLOOKUP($A4,$HN$3:$HO$55,$CJ$2,FALSE)," ")</f>
        <v>Artillery</v>
      </c>
      <c r="HR4">
        <f t="shared" ref="HR4:HR55" si="88">A4</f>
        <v>2</v>
      </c>
      <c r="HS4" s="5" t="str">
        <f t="shared" ref="HS4:HS55" si="89">B4</f>
        <v>Artillery</v>
      </c>
      <c r="HT4" s="68">
        <f>COUNTIF(Builder!$K$20:$N$20,HS4)</f>
        <v>0</v>
      </c>
      <c r="HU4" s="68" t="str">
        <f>IF(HT4=1,Stats!$N19,"")</f>
        <v/>
      </c>
      <c r="HV4" s="68" t="str">
        <f>IF(HT4=1,Stats!$O19,"")</f>
        <v/>
      </c>
      <c r="HW4" s="68" t="str">
        <f>IF(HT4=1,Stats!$P19,"")</f>
        <v/>
      </c>
      <c r="HX4" s="68" t="str">
        <f>IF(HT4=1,Stats!$Q19,"")</f>
        <v/>
      </c>
      <c r="HY4" s="68" t="str">
        <f>IF(HT4=1,Stats!$R19,"")</f>
        <v/>
      </c>
      <c r="HZ4" s="68" t="str">
        <f>IF(HT4=1,Stats!$S19,"")</f>
        <v/>
      </c>
      <c r="IA4" s="68">
        <f t="shared" ref="IA4:IA55" si="90">COUNTIF($HU$3:$HZ$55,HS4)</f>
        <v>0</v>
      </c>
      <c r="IB4">
        <f t="shared" ref="IB4:IB55" si="91">IA4+HT4</f>
        <v>0</v>
      </c>
      <c r="IC4" s="68">
        <f>IF(IB4=0,MAX(IC$2:IC3)+1,0)</f>
        <v>2</v>
      </c>
      <c r="ID4" s="5" t="str">
        <f t="shared" ref="ID4:ID55" si="92">B4</f>
        <v>Artillery</v>
      </c>
      <c r="IE4" s="5" t="str">
        <f t="shared" ref="IE4:IE55" si="93">IFERROR(VLOOKUP($A4,$IC$3:$ID$55,$CJ$2,FALSE)," ")</f>
        <v>Artillery</v>
      </c>
      <c r="IG4">
        <f t="shared" ref="IG4:IG55" si="94">A4</f>
        <v>2</v>
      </c>
      <c r="IH4" s="5" t="str">
        <f t="shared" ref="IH4:IH55" si="95">B4</f>
        <v>Artillery</v>
      </c>
      <c r="II4" s="68">
        <f>COUNTIF(Builder!$K$21:$N$21,IH4)</f>
        <v>0</v>
      </c>
      <c r="IJ4" s="68" t="str">
        <f>IF(II4=1,Stats!$N19,"")</f>
        <v/>
      </c>
      <c r="IK4" s="68" t="str">
        <f>IF(II4=1,Stats!$O19,"")</f>
        <v/>
      </c>
      <c r="IL4" s="68" t="str">
        <f>IF(II4=1,Stats!$P19,"")</f>
        <v/>
      </c>
      <c r="IM4" s="68" t="str">
        <f>IF(II4=1,Stats!$Q19,"")</f>
        <v/>
      </c>
      <c r="IN4" s="68" t="str">
        <f>IF(II4=1,Stats!$R19,"")</f>
        <v/>
      </c>
      <c r="IO4" s="68" t="str">
        <f>IF(II4=1,Stats!$S19,"")</f>
        <v/>
      </c>
      <c r="IP4" s="68">
        <f t="shared" ref="IP4:IP55" si="96">COUNTIF($IJ$3:$IO$55,IH4)</f>
        <v>0</v>
      </c>
      <c r="IQ4">
        <f t="shared" ref="IQ4:IQ55" si="97">IP4+II4</f>
        <v>0</v>
      </c>
      <c r="IR4" s="68">
        <f>IF(IQ4=0,MAX(IR$2:IR3)+1,0)</f>
        <v>2</v>
      </c>
      <c r="IS4" s="5" t="str">
        <f t="shared" ref="IS4:IS55" si="98">B4</f>
        <v>Artillery</v>
      </c>
      <c r="IT4" s="5" t="str">
        <f t="shared" ref="IT4:IT55" si="99">IFERROR(VLOOKUP($A4,$IR$3:$IS$55,$CJ$2,FALSE)," ")</f>
        <v>Artillery</v>
      </c>
      <c r="IV4">
        <f t="shared" ref="IV4:IV55" si="100">A4</f>
        <v>2</v>
      </c>
      <c r="IW4" s="5" t="str">
        <f t="shared" ref="IW4:IW55" si="101">B4</f>
        <v>Artillery</v>
      </c>
      <c r="IX4" s="68">
        <f>COUNTIF(Builder!$K$22:$N$22,IW4)</f>
        <v>0</v>
      </c>
      <c r="IY4" s="68" t="str">
        <f>IF(IX4=1,Stats!$N19,"")</f>
        <v/>
      </c>
      <c r="IZ4" s="68" t="str">
        <f>IF(IX4=1,Stats!$O19,"")</f>
        <v/>
      </c>
      <c r="JA4" s="68" t="str">
        <f>IF(IX4=1,Stats!$P19,"")</f>
        <v/>
      </c>
      <c r="JB4" s="68" t="str">
        <f>IF(IX4=1,Stats!$Q19,"")</f>
        <v/>
      </c>
      <c r="JC4" s="68" t="str">
        <f>IF(IX4=1,Stats!$R19,"")</f>
        <v/>
      </c>
      <c r="JD4" s="68" t="str">
        <f>IF(IX4=1,Stats!$S19,"")</f>
        <v/>
      </c>
      <c r="JE4" s="68">
        <f t="shared" ref="JE4:JE55" si="102">COUNTIF($IY$3:$JD$55,IW4)</f>
        <v>0</v>
      </c>
      <c r="JF4">
        <f t="shared" ref="JF4:JF55" si="103">JE4+IX4</f>
        <v>0</v>
      </c>
      <c r="JG4" s="68">
        <f>IF(JF4=0,MAX(JG$2:JG3)+1,0)</f>
        <v>2</v>
      </c>
      <c r="JH4" s="5" t="str">
        <f t="shared" ref="JH4:JH55" si="104">B4</f>
        <v>Artillery</v>
      </c>
      <c r="JI4" s="5" t="str">
        <f t="shared" ref="JI4:JI55" si="105">IFERROR(VLOOKUP($A4,$JG$3:$JH$55,$CJ$2,FALSE)," ")</f>
        <v>Artillery</v>
      </c>
      <c r="JK4">
        <f t="shared" ref="JK4:JK55" si="106">A4</f>
        <v>2</v>
      </c>
      <c r="JL4" s="5" t="str">
        <f t="shared" ref="JL4:JL55" si="107">B4</f>
        <v>Artillery</v>
      </c>
      <c r="JM4" s="68">
        <f>COUNTIF(Builder!$K$23:$N$23,JL4)</f>
        <v>0</v>
      </c>
      <c r="JN4" s="68" t="str">
        <f>IF(JM4=1,Stats!$N19,"")</f>
        <v/>
      </c>
      <c r="JO4" s="68" t="str">
        <f>IF(JM4=1,Stats!$O19,"")</f>
        <v/>
      </c>
      <c r="JP4" s="68" t="str">
        <f>IF(JM4=1,Stats!$P19,"")</f>
        <v/>
      </c>
      <c r="JQ4" s="68" t="str">
        <f>IF(JM4=1,Stats!$Q19,"")</f>
        <v/>
      </c>
      <c r="JR4" s="68" t="str">
        <f>IF(JM4=1,Stats!$R19,"")</f>
        <v/>
      </c>
      <c r="JS4" s="68" t="str">
        <f>IF(JM4=1,Stats!$S19,"")</f>
        <v/>
      </c>
      <c r="JT4" s="68">
        <f t="shared" ref="JT4:JT55" si="108">COUNTIF($JN$3:$JS$55,JL4)</f>
        <v>0</v>
      </c>
      <c r="JU4">
        <f t="shared" ref="JU4:JU55" si="109">JT4+JM4</f>
        <v>0</v>
      </c>
      <c r="JV4" s="68">
        <f>IF(JU4=0,MAX(JV$2:JV3)+1,0)</f>
        <v>2</v>
      </c>
      <c r="JW4" s="5" t="str">
        <f t="shared" ref="JW4:JW55" si="110">B4</f>
        <v>Artillery</v>
      </c>
      <c r="JX4" s="5" t="str">
        <f t="shared" ref="JX4:JX55" si="111">IFERROR(VLOOKUP($A4,$JV$3:$JW$55,$CJ$2,FALSE)," ")</f>
        <v>Artillery</v>
      </c>
      <c r="JZ4">
        <f t="shared" ref="JZ4:JZ55" si="112">A4</f>
        <v>2</v>
      </c>
      <c r="KA4" s="5" t="str">
        <f t="shared" ref="KA4:KA55" si="113">B4</f>
        <v>Artillery</v>
      </c>
      <c r="KB4" s="68">
        <f>COUNTIF(Builder!$K$24:$N$24,KA4)</f>
        <v>0</v>
      </c>
      <c r="KC4" s="68" t="str">
        <f>IF(KB4=1,Stats!$N19,"")</f>
        <v/>
      </c>
      <c r="KD4" s="68" t="str">
        <f>IF(KB4=1,Stats!$O19,"")</f>
        <v/>
      </c>
      <c r="KE4" s="68" t="str">
        <f>IF(KB4=1,Stats!$P19,"")</f>
        <v/>
      </c>
      <c r="KF4" s="68" t="str">
        <f>IF(KB4=1,Stats!$Q19,"")</f>
        <v/>
      </c>
      <c r="KG4" s="68" t="str">
        <f>IF(KB4=1,Stats!$R19,"")</f>
        <v/>
      </c>
      <c r="KH4" s="68" t="str">
        <f>IF(KB4=1,Stats!$S19,"")</f>
        <v/>
      </c>
      <c r="KI4" s="68">
        <f t="shared" ref="KI4:KI55" si="114">COUNTIF($KC$3:$KH$55,KA4)</f>
        <v>0</v>
      </c>
      <c r="KJ4">
        <f t="shared" ref="KJ4:KJ55" si="115">KI4+KB4</f>
        <v>0</v>
      </c>
      <c r="KK4" s="68">
        <f>IF(KJ4=0,MAX(KK$2:KK3)+1,0)</f>
        <v>2</v>
      </c>
      <c r="KL4" s="5" t="str">
        <f t="shared" ref="KL4:KL55" si="116">B4</f>
        <v>Artillery</v>
      </c>
      <c r="KM4" s="5" t="str">
        <f t="shared" ref="KM4:KM55" si="117">IFERROR(VLOOKUP($A4,$KK$3:$KL$55,$CJ$2,FALSE)," ")</f>
        <v>Artillery</v>
      </c>
      <c r="KO4">
        <f t="shared" ref="KO4:KO55" si="118">A4</f>
        <v>2</v>
      </c>
      <c r="KP4" s="5" t="str">
        <f t="shared" ref="KP4:KP55" si="119">B4</f>
        <v>Artillery</v>
      </c>
      <c r="KQ4" s="68">
        <f>COUNTIF(Builder!$K$25:$N$25,KP4)</f>
        <v>0</v>
      </c>
      <c r="KR4" s="68" t="str">
        <f>IF(KQ4=1,Stats!$N19,"")</f>
        <v/>
      </c>
      <c r="KS4" s="68" t="str">
        <f>IF(KQ4=1,Stats!$O19,"")</f>
        <v/>
      </c>
      <c r="KT4" s="68" t="str">
        <f>IF(KQ4=1,Stats!$P19,"")</f>
        <v/>
      </c>
      <c r="KU4" s="68" t="str">
        <f>IF(KQ4=1,Stats!$Q19,"")</f>
        <v/>
      </c>
      <c r="KV4" s="68" t="str">
        <f>IF(KQ4=1,Stats!$R19,"")</f>
        <v/>
      </c>
      <c r="KW4" s="68" t="str">
        <f>IF(KQ4=1,Stats!$S19,"")</f>
        <v/>
      </c>
      <c r="KX4" s="68">
        <f t="shared" ref="KX4:KX55" si="120">COUNTIF($KR$3:$KW$55,KP4)</f>
        <v>0</v>
      </c>
      <c r="KY4">
        <f t="shared" ref="KY4:KY55" si="121">KX4+KQ4</f>
        <v>0</v>
      </c>
      <c r="KZ4" s="68">
        <f>IF(KY4=0,MAX(KZ$2:KZ3)+1,0)</f>
        <v>2</v>
      </c>
      <c r="LA4" s="5" t="str">
        <f t="shared" ref="LA4:LA55" si="122">B4</f>
        <v>Artillery</v>
      </c>
      <c r="LB4" s="5" t="str">
        <f t="shared" ref="LB4:LB55" si="123">IFERROR(VLOOKUP($A4,$KZ$3:$LA$55,$CJ$2,FALSE)," ")</f>
        <v>Artillery</v>
      </c>
      <c r="LD4">
        <f t="shared" ref="LD4:LD55" si="124">A4</f>
        <v>2</v>
      </c>
      <c r="LE4" s="5" t="str">
        <f t="shared" ref="LE4:LE55" si="125">B4</f>
        <v>Artillery</v>
      </c>
      <c r="LF4" s="68">
        <f>COUNTIF(Builder!$K$26:$N$26,LE4)</f>
        <v>0</v>
      </c>
      <c r="LG4" s="68" t="str">
        <f>IF(LF4=1,Stats!$N19,"")</f>
        <v/>
      </c>
      <c r="LH4" s="68" t="str">
        <f>IF(LF4=1,Stats!$O19,"")</f>
        <v/>
      </c>
      <c r="LI4" s="68" t="str">
        <f>IF(LF4=1,Stats!$P19,"")</f>
        <v/>
      </c>
      <c r="LJ4" s="68" t="str">
        <f>IF(LF4=1,Stats!$Q19,"")</f>
        <v/>
      </c>
      <c r="LK4" s="68" t="str">
        <f>IF(LF4=1,Stats!$R19,"")</f>
        <v/>
      </c>
      <c r="LL4" s="68" t="str">
        <f>IF(LF4=1,Stats!$S19,"")</f>
        <v/>
      </c>
      <c r="LM4" s="68">
        <f t="shared" ref="LM4:LM55" si="126">COUNTIF($LG$3:$LL$55,LE4)</f>
        <v>0</v>
      </c>
      <c r="LN4">
        <f t="shared" ref="LN4:LN55" si="127">LM4+LF4</f>
        <v>0</v>
      </c>
      <c r="LO4" s="68">
        <f>IF(LN4=0,MAX(LO$2:LO3)+1,0)</f>
        <v>2</v>
      </c>
      <c r="LP4" s="5" t="str">
        <f t="shared" ref="LP4:LP55" si="128">B4</f>
        <v>Artillery</v>
      </c>
      <c r="LQ4" s="5" t="str">
        <f t="shared" ref="LQ4:LQ55" si="129">IFERROR(VLOOKUP($A4,$LO$3:$LP$55,$CJ$2,FALSE)," ")</f>
        <v>Artillery</v>
      </c>
      <c r="LS4">
        <f t="shared" ref="LS4:LS55" si="130">A4</f>
        <v>2</v>
      </c>
      <c r="LT4" s="5" t="str">
        <f t="shared" ref="LT4:LT55" si="131">B4</f>
        <v>Artillery</v>
      </c>
      <c r="LU4" s="68">
        <f>COUNTIF(Builder!$K$27:$N$27,LT4)</f>
        <v>0</v>
      </c>
      <c r="LV4" s="68" t="str">
        <f>IF(LU4=1,Stats!$N19,"")</f>
        <v/>
      </c>
      <c r="LW4" s="68" t="str">
        <f>IF(LU4=1,Stats!$O19,"")</f>
        <v/>
      </c>
      <c r="LX4" s="68" t="str">
        <f>IF(LU4=1,Stats!$P19,"")</f>
        <v/>
      </c>
      <c r="LY4" s="68" t="str">
        <f>IF(LU4=1,Stats!$Q19,"")</f>
        <v/>
      </c>
      <c r="LZ4" s="68" t="str">
        <f>IF(LU4=1,Stats!$R19,"")</f>
        <v/>
      </c>
      <c r="MA4" s="68" t="str">
        <f>IF(LU4=1,Stats!$S19,"")</f>
        <v/>
      </c>
      <c r="MB4" s="68">
        <f t="shared" ref="MB4:MB55" si="132">COUNTIF($LV$3:$MA$55,LT4)</f>
        <v>0</v>
      </c>
      <c r="MC4">
        <f t="shared" ref="MC4:MC55" si="133">MB4+LU4</f>
        <v>0</v>
      </c>
      <c r="MD4" s="68">
        <f>IF(MC4=0,MAX(MD$2:MD3)+1,0)</f>
        <v>2</v>
      </c>
      <c r="ME4" s="5" t="str">
        <f t="shared" ref="ME4:ME55" si="134">B4</f>
        <v>Artillery</v>
      </c>
      <c r="MF4" s="5" t="str">
        <f t="shared" ref="MF4:MF55" si="135">IFERROR(VLOOKUP($A4,$MD$3:$ME$55,$CJ$2,FALSE)," ")</f>
        <v>Artillery</v>
      </c>
      <c r="MH4">
        <f t="shared" ref="MH4:MH55" si="136">A4</f>
        <v>2</v>
      </c>
      <c r="MI4" s="5" t="str">
        <f t="shared" ref="MI4:MI55" si="137">B4</f>
        <v>Artillery</v>
      </c>
      <c r="MJ4" s="68">
        <f>COUNTIF(Builder!$K$28:$N$28,MI4)</f>
        <v>0</v>
      </c>
      <c r="MK4" s="68" t="str">
        <f>IF(MJ4=1,Stats!$N19,"")</f>
        <v/>
      </c>
      <c r="ML4" s="68" t="str">
        <f>IF(MJ4=1,Stats!$O19,"")</f>
        <v/>
      </c>
      <c r="MM4" s="68" t="str">
        <f>IF(MJ4=1,Stats!$P19,"")</f>
        <v/>
      </c>
      <c r="MN4" s="68" t="str">
        <f>IF(MJ4=1,Stats!$Q19,"")</f>
        <v/>
      </c>
      <c r="MO4" s="68" t="str">
        <f>IF(MJ4=1,Stats!$R19,"")</f>
        <v/>
      </c>
      <c r="MP4" s="68" t="str">
        <f>IF(MJ4=1,Stats!$S19,"")</f>
        <v/>
      </c>
      <c r="MQ4" s="68">
        <f t="shared" ref="MQ4:MQ55" si="138">COUNTIF($MK$3:$MP$55,MI4)</f>
        <v>0</v>
      </c>
      <c r="MR4">
        <f t="shared" ref="MR4:MR55" si="139">MQ4+MJ4</f>
        <v>0</v>
      </c>
      <c r="MS4" s="68">
        <f>IF(MR4=0,MAX(MS$2:MS3)+1,0)</f>
        <v>2</v>
      </c>
      <c r="MT4" s="5" t="str">
        <f t="shared" ref="MT4:MT55" si="140">B4</f>
        <v>Artillery</v>
      </c>
      <c r="MU4" s="5" t="str">
        <f t="shared" ref="MU4:MU55" si="141">IFERROR(VLOOKUP($A4,$MS$3:$MT$55,$CJ$2,FALSE)," ")</f>
        <v>Artillery</v>
      </c>
      <c r="MW4">
        <f t="shared" ref="MW4:MW55" si="142">A4</f>
        <v>2</v>
      </c>
      <c r="MX4" s="5" t="str">
        <f t="shared" ref="MX4:MX55" si="143">B4</f>
        <v>Artillery</v>
      </c>
      <c r="MY4" s="68">
        <f>COUNTIF(Builder!$K$29:$N$29,MX4)</f>
        <v>0</v>
      </c>
      <c r="MZ4" s="68" t="str">
        <f>IF(MY4=1,Stats!$N19,"")</f>
        <v/>
      </c>
      <c r="NA4" s="68" t="str">
        <f>IF(MY4=1,Stats!$O19,"")</f>
        <v/>
      </c>
      <c r="NB4" s="68" t="str">
        <f>IF(MY4=1,Stats!$P19,"")</f>
        <v/>
      </c>
      <c r="NC4" s="68" t="str">
        <f>IF(MY4=1,Stats!$Q19,"")</f>
        <v/>
      </c>
      <c r="ND4" s="68" t="str">
        <f>IF(MY4=1,Stats!$R19,"")</f>
        <v/>
      </c>
      <c r="NE4" s="68" t="str">
        <f>IF(MY4=1,Stats!$S19,"")</f>
        <v/>
      </c>
      <c r="NF4" s="68">
        <f t="shared" ref="NF4:NF55" si="144">COUNTIF($MZ$3:$NE$55,MX4)</f>
        <v>0</v>
      </c>
      <c r="NG4">
        <f t="shared" ref="NG4:NG55" si="145">NF4+MY4</f>
        <v>0</v>
      </c>
      <c r="NH4" s="68">
        <f>IF(NG4=0,MAX(NH$2:NH3)+1,0)</f>
        <v>2</v>
      </c>
      <c r="NI4" s="5" t="str">
        <f t="shared" ref="NI4:NI55" si="146">B4</f>
        <v>Artillery</v>
      </c>
      <c r="NJ4" s="5" t="str">
        <f t="shared" ref="NJ4:NJ55" si="147">IFERROR(VLOOKUP($A4,$NH$3:$NI$55,$CJ$2,FALSE)," ")</f>
        <v>Artillery</v>
      </c>
    </row>
    <row r="5" spans="1:374" ht="15" x14ac:dyDescent="0.3">
      <c r="A5">
        <v>3</v>
      </c>
      <c r="B5" s="5" t="s">
        <v>22</v>
      </c>
      <c r="C5" s="68">
        <f>COUNTIF(Builder!$K$5:$N$5,B5)</f>
        <v>0</v>
      </c>
      <c r="D5" s="68" t="str">
        <f>IF(C5=1,Stats!$N20,"")</f>
        <v/>
      </c>
      <c r="E5" s="68" t="str">
        <f>IF(C5=1,Stats!$O20,"")</f>
        <v/>
      </c>
      <c r="F5" s="68" t="str">
        <f>IF(C5=1,Stats!$P20,"")</f>
        <v/>
      </c>
      <c r="G5" s="68" t="str">
        <f>IF(C5=1,Stats!$Q20,"")</f>
        <v/>
      </c>
      <c r="H5" s="68" t="str">
        <f>IF(C5=1,Stats!$R20,"")</f>
        <v/>
      </c>
      <c r="I5" s="68" t="str">
        <f>IF(C5=1,Stats!$S20,"")</f>
        <v/>
      </c>
      <c r="J5" s="68">
        <f t="shared" si="0"/>
        <v>0</v>
      </c>
      <c r="K5">
        <f t="shared" si="1"/>
        <v>0</v>
      </c>
      <c r="L5" s="68">
        <f>IF(K5=0,MAX($L$2:L4)+1,0)</f>
        <v>3</v>
      </c>
      <c r="M5" s="5" t="str">
        <f t="shared" si="2"/>
        <v>Artillery (indirect)</v>
      </c>
      <c r="N5" s="5" t="str">
        <f t="shared" si="3"/>
        <v>Artillery (indirect)</v>
      </c>
      <c r="O5" s="5"/>
      <c r="P5">
        <f t="shared" si="4"/>
        <v>3</v>
      </c>
      <c r="Q5" s="5" t="str">
        <f t="shared" si="5"/>
        <v>Artillery (indirect)</v>
      </c>
      <c r="R5" s="68">
        <f>COUNTIF(Builder!$K$6:$N$6,Q5)</f>
        <v>0</v>
      </c>
      <c r="S5" s="68" t="str">
        <f>IF(R5=1,Stats!$N20,"")</f>
        <v/>
      </c>
      <c r="T5" s="68" t="str">
        <f>IF(R5=1,Stats!$O20,"")</f>
        <v/>
      </c>
      <c r="U5" s="68" t="str">
        <f>IF(R5=1,Stats!$P20,"")</f>
        <v/>
      </c>
      <c r="V5" s="68" t="str">
        <f>IF(R5=1,Stats!$Q20,"")</f>
        <v/>
      </c>
      <c r="W5" s="68" t="str">
        <f>IF(R5=1,Stats!$R20,"")</f>
        <v/>
      </c>
      <c r="X5" s="68" t="str">
        <f>IF(R5=1,Stats!$S20,"")</f>
        <v/>
      </c>
      <c r="Y5" s="68">
        <f t="shared" si="6"/>
        <v>0</v>
      </c>
      <c r="Z5">
        <f t="shared" si="7"/>
        <v>0</v>
      </c>
      <c r="AA5" s="68">
        <f>IF(Z5=0,MAX($AA$2:AA4)+1,0)</f>
        <v>3</v>
      </c>
      <c r="AB5" s="5" t="str">
        <f t="shared" si="8"/>
        <v>Artillery (indirect)</v>
      </c>
      <c r="AC5" s="5" t="str">
        <f t="shared" si="9"/>
        <v>Artillery (indirect)</v>
      </c>
      <c r="AD5" s="5"/>
      <c r="AE5">
        <f t="shared" si="10"/>
        <v>3</v>
      </c>
      <c r="AF5" s="5" t="str">
        <f t="shared" si="11"/>
        <v>Artillery (indirect)</v>
      </c>
      <c r="AG5" s="68">
        <f>COUNTIF(Builder!$K$7:$N$7,AF5)</f>
        <v>0</v>
      </c>
      <c r="AH5" s="68" t="str">
        <f>IF(AG5=1,Stats!$N20,"")</f>
        <v/>
      </c>
      <c r="AI5" s="68" t="str">
        <f>IF(AG5=1,Stats!$O20,"")</f>
        <v/>
      </c>
      <c r="AJ5" s="68" t="str">
        <f>IF(AG5=1,Stats!$P20,"")</f>
        <v/>
      </c>
      <c r="AK5" s="68" t="str">
        <f>IF(AG5=1,Stats!$Q20,"")</f>
        <v/>
      </c>
      <c r="AL5" s="68" t="str">
        <f>IF(AG5=1,Stats!$R20,"")</f>
        <v/>
      </c>
      <c r="AM5" s="68" t="str">
        <f>IF(AG5=1,Stats!$S20,"")</f>
        <v/>
      </c>
      <c r="AN5" s="68">
        <f t="shared" si="12"/>
        <v>0</v>
      </c>
      <c r="AO5">
        <f t="shared" si="13"/>
        <v>0</v>
      </c>
      <c r="AP5" s="68">
        <f>IF(AO5=0,MAX($AP$2:AP4)+1,0)</f>
        <v>3</v>
      </c>
      <c r="AQ5" s="5" t="str">
        <f t="shared" si="14"/>
        <v>Artillery (indirect)</v>
      </c>
      <c r="AR5" s="5" t="str">
        <f t="shared" si="15"/>
        <v>Artillery (indirect)</v>
      </c>
      <c r="AS5" s="5"/>
      <c r="AT5">
        <f t="shared" si="16"/>
        <v>3</v>
      </c>
      <c r="AU5" s="5" t="str">
        <f t="shared" si="17"/>
        <v>Artillery (indirect)</v>
      </c>
      <c r="AV5" s="68">
        <f>COUNTIF(Builder!$K$8:$N$8,AU5)</f>
        <v>0</v>
      </c>
      <c r="AW5" s="68" t="str">
        <f>IF(AV5=1,Stats!$N20,"")</f>
        <v/>
      </c>
      <c r="AX5" s="68" t="str">
        <f>IF(AV5=1,Stats!$O20,"")</f>
        <v/>
      </c>
      <c r="AY5" s="68" t="str">
        <f>IF(AV5=1,Stats!$P20,"")</f>
        <v/>
      </c>
      <c r="AZ5" s="68" t="str">
        <f>IF(AV5=1,Stats!$Q20,"")</f>
        <v/>
      </c>
      <c r="BA5" s="68" t="str">
        <f>IF(AV5=1,Stats!$R20,"")</f>
        <v/>
      </c>
      <c r="BB5" s="68" t="str">
        <f>IF(AV5=1,Stats!$S20,"")</f>
        <v/>
      </c>
      <c r="BC5" s="68">
        <f t="shared" si="18"/>
        <v>0</v>
      </c>
      <c r="BD5">
        <f t="shared" si="19"/>
        <v>0</v>
      </c>
      <c r="BE5" s="68">
        <f>IF(BD5=0,MAX($BE$2:BE4)+1,0)</f>
        <v>3</v>
      </c>
      <c r="BF5" s="5" t="str">
        <f t="shared" si="20"/>
        <v>Artillery (indirect)</v>
      </c>
      <c r="BG5" s="5" t="str">
        <f t="shared" si="21"/>
        <v>Artillery (indirect)</v>
      </c>
      <c r="BH5" s="5"/>
      <c r="BI5">
        <f t="shared" si="22"/>
        <v>3</v>
      </c>
      <c r="BJ5" s="5" t="str">
        <f t="shared" si="23"/>
        <v>Artillery (indirect)</v>
      </c>
      <c r="BK5" s="68">
        <f>COUNTIF(Builder!$K$9:$N$9,BJ5)</f>
        <v>0</v>
      </c>
      <c r="BL5" s="68" t="str">
        <f>IF(BK5=1,Stats!$N20,"")</f>
        <v/>
      </c>
      <c r="BM5" s="68" t="str">
        <f>IF(BK5=1,Stats!$O20,"")</f>
        <v/>
      </c>
      <c r="BN5" s="68" t="str">
        <f>IF(BK5=1,Stats!$P20,"")</f>
        <v/>
      </c>
      <c r="BO5" s="68" t="str">
        <f>IF(BK5=1,Stats!$Q20,"")</f>
        <v/>
      </c>
      <c r="BP5" s="68" t="str">
        <f>IF(BK5=1,Stats!$R20,"")</f>
        <v/>
      </c>
      <c r="BQ5" s="68" t="str">
        <f>IF(BK5=1,Stats!$S20,"")</f>
        <v/>
      </c>
      <c r="BR5" s="68">
        <f t="shared" si="24"/>
        <v>0</v>
      </c>
      <c r="BS5">
        <f t="shared" si="25"/>
        <v>0</v>
      </c>
      <c r="BT5" s="68">
        <f>IF(BS5=0,MAX(BT$2:BT4)+1,0)</f>
        <v>3</v>
      </c>
      <c r="BU5" s="5" t="str">
        <f t="shared" si="26"/>
        <v>Artillery (indirect)</v>
      </c>
      <c r="BV5" s="5" t="str">
        <f t="shared" si="27"/>
        <v>Artillery (indirect)</v>
      </c>
      <c r="BX5">
        <f t="shared" si="28"/>
        <v>3</v>
      </c>
      <c r="BY5" s="5" t="str">
        <f t="shared" si="29"/>
        <v>Artillery (indirect)</v>
      </c>
      <c r="BZ5" s="68">
        <f>COUNTIF(Builder!$K$10:$N$10,BY5)</f>
        <v>0</v>
      </c>
      <c r="CA5" s="68" t="str">
        <f>IF(BZ5=1,Stats!$N20,"")</f>
        <v/>
      </c>
      <c r="CB5" s="68" t="str">
        <f>IF(BZ5=1,Stats!$O20,"")</f>
        <v/>
      </c>
      <c r="CC5" s="68" t="str">
        <f>IF(BZ5=1,Stats!$P20,"")</f>
        <v/>
      </c>
      <c r="CD5" s="68" t="str">
        <f>IF(BZ5=1,Stats!$Q20,"")</f>
        <v/>
      </c>
      <c r="CE5" s="68" t="str">
        <f>IF(BZ5=1,Stats!$R20,"")</f>
        <v/>
      </c>
      <c r="CF5" s="68" t="str">
        <f>IF(BZ5=1,Stats!$S20,"")</f>
        <v/>
      </c>
      <c r="CG5" s="68">
        <f t="shared" si="30"/>
        <v>0</v>
      </c>
      <c r="CH5">
        <f t="shared" si="31"/>
        <v>0</v>
      </c>
      <c r="CI5" s="68">
        <f>IF(CH5=0,MAX(CI$2:CI4)+1,0)</f>
        <v>3</v>
      </c>
      <c r="CJ5" s="5" t="str">
        <f t="shared" si="32"/>
        <v>Artillery (indirect)</v>
      </c>
      <c r="CK5" s="5" t="str">
        <f t="shared" si="33"/>
        <v>Artillery (indirect)</v>
      </c>
      <c r="CM5">
        <f t="shared" si="34"/>
        <v>3</v>
      </c>
      <c r="CN5" s="5" t="str">
        <f t="shared" si="35"/>
        <v>Artillery (indirect)</v>
      </c>
      <c r="CO5" s="68">
        <f>COUNTIF(Builder!$K$11:$N$11,CN5)</f>
        <v>0</v>
      </c>
      <c r="CP5" s="68" t="str">
        <f>IF(CO5=1,Stats!$N20,"")</f>
        <v/>
      </c>
      <c r="CQ5" s="68" t="str">
        <f>IF(CO5=1,Stats!$O20,"")</f>
        <v/>
      </c>
      <c r="CR5" s="68" t="str">
        <f>IF(CO5=1,Stats!$P20,"")</f>
        <v/>
      </c>
      <c r="CS5" s="68" t="str">
        <f>IF(CO5=1,Stats!$Q20,"")</f>
        <v/>
      </c>
      <c r="CT5" s="68" t="str">
        <f>IF(CO5=1,Stats!$R20,"")</f>
        <v/>
      </c>
      <c r="CU5" s="68" t="str">
        <f>IF(CO5=1,Stats!$S20,"")</f>
        <v/>
      </c>
      <c r="CV5" s="68">
        <f t="shared" si="36"/>
        <v>0</v>
      </c>
      <c r="CW5">
        <f t="shared" si="37"/>
        <v>0</v>
      </c>
      <c r="CX5" s="68">
        <f>IF(CW5=0,MAX(CX$2:CX4)+1,0)</f>
        <v>3</v>
      </c>
      <c r="CY5" s="5" t="str">
        <f t="shared" si="38"/>
        <v>Artillery (indirect)</v>
      </c>
      <c r="CZ5" s="5" t="str">
        <f t="shared" si="39"/>
        <v>Artillery (indirect)</v>
      </c>
      <c r="DB5">
        <f t="shared" si="40"/>
        <v>3</v>
      </c>
      <c r="DC5" s="5" t="str">
        <f t="shared" si="41"/>
        <v>Artillery (indirect)</v>
      </c>
      <c r="DD5" s="68">
        <f>COUNTIF(Builder!$K$12:$N$12,DC5)</f>
        <v>0</v>
      </c>
      <c r="DE5" s="68" t="str">
        <f>IF(DD5=1,Stats!$N20,"")</f>
        <v/>
      </c>
      <c r="DF5" s="68" t="str">
        <f>IF(DD5=1,Stats!$O20,"")</f>
        <v/>
      </c>
      <c r="DG5" s="68" t="str">
        <f>IF(DD5=1,Stats!$P20,"")</f>
        <v/>
      </c>
      <c r="DH5" s="68" t="str">
        <f>IF(DD5=1,Stats!$Q20,"")</f>
        <v/>
      </c>
      <c r="DI5" s="68" t="str">
        <f>IF(DD5=1,Stats!$R20,"")</f>
        <v/>
      </c>
      <c r="DJ5" s="68" t="str">
        <f>IF(DD5=1,Stats!$S20,"")</f>
        <v/>
      </c>
      <c r="DK5" s="68">
        <f t="shared" si="42"/>
        <v>0</v>
      </c>
      <c r="DL5">
        <f t="shared" si="43"/>
        <v>0</v>
      </c>
      <c r="DM5" s="68">
        <f>IF(DL5=0,MAX(DM$2:DM4)+1,0)</f>
        <v>3</v>
      </c>
      <c r="DN5" s="5" t="str">
        <f t="shared" si="44"/>
        <v>Artillery (indirect)</v>
      </c>
      <c r="DO5" s="5" t="str">
        <f t="shared" si="45"/>
        <v>Artillery (indirect)</v>
      </c>
      <c r="DQ5">
        <f t="shared" si="46"/>
        <v>3</v>
      </c>
      <c r="DR5" s="5" t="str">
        <f t="shared" si="47"/>
        <v>Artillery (indirect)</v>
      </c>
      <c r="DS5" s="68">
        <f>COUNTIF(Builder!$K$13:$N$13,DR5)</f>
        <v>0</v>
      </c>
      <c r="DT5" s="68" t="str">
        <f>IF(DS5=1,Stats!$N20,"")</f>
        <v/>
      </c>
      <c r="DU5" s="68" t="str">
        <f>IF(DS5=1,Stats!$O20,"")</f>
        <v/>
      </c>
      <c r="DV5" s="68" t="str">
        <f>IF(DS5=1,Stats!$P20,"")</f>
        <v/>
      </c>
      <c r="DW5" s="68" t="str">
        <f>IF(DS5=1,Stats!$Q20,"")</f>
        <v/>
      </c>
      <c r="DX5" s="68" t="str">
        <f>IF(DS5=1,Stats!$R20,"")</f>
        <v/>
      </c>
      <c r="DY5" s="68" t="str">
        <f>IF(DS5=1,Stats!$S20,"")</f>
        <v/>
      </c>
      <c r="DZ5" s="68">
        <f t="shared" si="48"/>
        <v>0</v>
      </c>
      <c r="EA5">
        <f t="shared" si="49"/>
        <v>0</v>
      </c>
      <c r="EB5" s="68">
        <f>IF(EA5=0,MAX(EB$2:EB4)+1,0)</f>
        <v>3</v>
      </c>
      <c r="EC5" s="5" t="str">
        <f t="shared" si="50"/>
        <v>Artillery (indirect)</v>
      </c>
      <c r="ED5" s="5" t="str">
        <f t="shared" si="51"/>
        <v>Artillery (indirect)</v>
      </c>
      <c r="EF5">
        <f t="shared" si="52"/>
        <v>3</v>
      </c>
      <c r="EG5" s="5" t="str">
        <f t="shared" si="53"/>
        <v>Artillery (indirect)</v>
      </c>
      <c r="EH5" s="68">
        <f>COUNTIF(Builder!$K$14:$N$14,EG5)</f>
        <v>0</v>
      </c>
      <c r="EI5" s="68" t="str">
        <f>IF(EH5=1,Stats!$N20,"")</f>
        <v/>
      </c>
      <c r="EJ5" s="68" t="str">
        <f>IF(EH5=1,Stats!$O20,"")</f>
        <v/>
      </c>
      <c r="EK5" s="68" t="str">
        <f>IF(EH5=1,Stats!$P20,"")</f>
        <v/>
      </c>
      <c r="EL5" s="68" t="str">
        <f>IF(EH5=1,Stats!$Q20,"")</f>
        <v/>
      </c>
      <c r="EM5" s="68" t="str">
        <f>IF(EH5=1,Stats!$R20,"")</f>
        <v/>
      </c>
      <c r="EN5" s="68" t="str">
        <f>IF(EH5=1,Stats!$S20,"")</f>
        <v/>
      </c>
      <c r="EO5" s="68">
        <f t="shared" si="54"/>
        <v>0</v>
      </c>
      <c r="EP5">
        <f t="shared" si="55"/>
        <v>0</v>
      </c>
      <c r="EQ5" s="68">
        <f>IF(EP5=0,MAX(EQ$2:EQ4)+1,0)</f>
        <v>3</v>
      </c>
      <c r="ER5" s="5" t="str">
        <f t="shared" si="56"/>
        <v>Artillery (indirect)</v>
      </c>
      <c r="ES5" s="5" t="str">
        <f t="shared" si="57"/>
        <v>Artillery (indirect)</v>
      </c>
      <c r="EU5">
        <f t="shared" si="58"/>
        <v>3</v>
      </c>
      <c r="EV5" s="5" t="str">
        <f t="shared" si="59"/>
        <v>Artillery (indirect)</v>
      </c>
      <c r="EW5" s="68">
        <f>COUNTIF(Builder!$K$15:$N$15,EV5)</f>
        <v>0</v>
      </c>
      <c r="EX5" s="68" t="str">
        <f>IF(EW5=1,Stats!$N20,"")</f>
        <v/>
      </c>
      <c r="EY5" s="68" t="str">
        <f>IF(EW5=1,Stats!$O20,"")</f>
        <v/>
      </c>
      <c r="EZ5" s="68" t="str">
        <f>IF(EW5=1,Stats!$P20,"")</f>
        <v/>
      </c>
      <c r="FA5" s="68" t="str">
        <f>IF(EW5=1,Stats!$Q20,"")</f>
        <v/>
      </c>
      <c r="FB5" s="68" t="str">
        <f>IF(EW5=1,Stats!$R20,"")</f>
        <v/>
      </c>
      <c r="FC5" s="68" t="str">
        <f>IF(EW5=1,Stats!$S20,"")</f>
        <v/>
      </c>
      <c r="FD5" s="68">
        <f t="shared" si="60"/>
        <v>0</v>
      </c>
      <c r="FE5">
        <f t="shared" si="61"/>
        <v>0</v>
      </c>
      <c r="FF5" s="68">
        <f>IF(FE5=0,MAX(FF$2:FF4)+1,0)</f>
        <v>3</v>
      </c>
      <c r="FG5" s="5" t="str">
        <f t="shared" si="62"/>
        <v>Artillery (indirect)</v>
      </c>
      <c r="FH5" s="5" t="str">
        <f t="shared" si="63"/>
        <v>Artillery (indirect)</v>
      </c>
      <c r="FJ5">
        <f t="shared" si="64"/>
        <v>3</v>
      </c>
      <c r="FK5" s="5" t="str">
        <f t="shared" si="65"/>
        <v>Artillery (indirect)</v>
      </c>
      <c r="FL5" s="68">
        <f>COUNTIF(Builder!$K$16:$N$16,FK5)</f>
        <v>0</v>
      </c>
      <c r="FM5" s="68" t="str">
        <f>IF(FL5=1,Stats!$N20,"")</f>
        <v/>
      </c>
      <c r="FN5" s="68" t="str">
        <f>IF(FL5=1,Stats!$O20,"")</f>
        <v/>
      </c>
      <c r="FO5" s="68" t="str">
        <f>IF(FL5=1,Stats!$P20,"")</f>
        <v/>
      </c>
      <c r="FP5" s="68" t="str">
        <f>IF(FL5=1,Stats!$Q20,"")</f>
        <v/>
      </c>
      <c r="FQ5" s="68" t="str">
        <f>IF(FL5=1,Stats!$R20,"")</f>
        <v/>
      </c>
      <c r="FR5" s="68" t="str">
        <f>IF(FL5=1,Stats!$S20,"")</f>
        <v/>
      </c>
      <c r="FS5" s="68">
        <f t="shared" si="66"/>
        <v>0</v>
      </c>
      <c r="FT5">
        <f t="shared" si="67"/>
        <v>0</v>
      </c>
      <c r="FU5" s="68">
        <f>IF(FT5=0,MAX(FU$2:FU4)+1,0)</f>
        <v>3</v>
      </c>
      <c r="FV5" s="5" t="str">
        <f t="shared" si="68"/>
        <v>Artillery (indirect)</v>
      </c>
      <c r="FW5" s="5" t="str">
        <f t="shared" si="69"/>
        <v>Artillery (indirect)</v>
      </c>
      <c r="FY5">
        <f t="shared" si="70"/>
        <v>3</v>
      </c>
      <c r="FZ5" s="5" t="str">
        <f t="shared" si="71"/>
        <v>Artillery (indirect)</v>
      </c>
      <c r="GA5" s="68">
        <f>COUNTIF(Builder!$K$17:$N$17,FZ5)</f>
        <v>0</v>
      </c>
      <c r="GB5" s="68" t="str">
        <f>IF(GA5=1,Stats!$N20,"")</f>
        <v/>
      </c>
      <c r="GC5" s="68" t="str">
        <f>IF(GA5=1,Stats!$O20,"")</f>
        <v/>
      </c>
      <c r="GD5" s="68" t="str">
        <f>IF(GA5=1,Stats!$P20,"")</f>
        <v/>
      </c>
      <c r="GE5" s="68" t="str">
        <f>IF(GA5=1,Stats!$Q20,"")</f>
        <v/>
      </c>
      <c r="GF5" s="68" t="str">
        <f>IF(GA5=1,Stats!$R20,"")</f>
        <v/>
      </c>
      <c r="GG5" s="68" t="str">
        <f>IF(GA5=1,Stats!$S20,"")</f>
        <v/>
      </c>
      <c r="GH5" s="68">
        <f t="shared" si="72"/>
        <v>0</v>
      </c>
      <c r="GI5">
        <f t="shared" si="73"/>
        <v>0</v>
      </c>
      <c r="GJ5" s="68">
        <f>IF(GI5=0,MAX(GJ$2:GJ4)+1,0)</f>
        <v>3</v>
      </c>
      <c r="GK5" s="5" t="str">
        <f t="shared" si="74"/>
        <v>Artillery (indirect)</v>
      </c>
      <c r="GL5" s="5" t="str">
        <f t="shared" si="75"/>
        <v>Artillery (indirect)</v>
      </c>
      <c r="GN5">
        <f t="shared" si="76"/>
        <v>3</v>
      </c>
      <c r="GO5" s="5" t="str">
        <f t="shared" si="77"/>
        <v>Artillery (indirect)</v>
      </c>
      <c r="GP5" s="68">
        <f>COUNTIF(Builder!$K$18:$N$18,GO5)</f>
        <v>0</v>
      </c>
      <c r="GQ5" s="68" t="str">
        <f>IF(GP5=1,Stats!$N20,"")</f>
        <v/>
      </c>
      <c r="GR5" s="68" t="str">
        <f>IF(GP5=1,Stats!$O20,"")</f>
        <v/>
      </c>
      <c r="GS5" s="68" t="str">
        <f>IF(GP5=1,Stats!$P20,"")</f>
        <v/>
      </c>
      <c r="GT5" s="68" t="str">
        <f>IF(GP5=1,Stats!$Q20,"")</f>
        <v/>
      </c>
      <c r="GU5" s="68" t="str">
        <f>IF(GP5=1,Stats!$R20,"")</f>
        <v/>
      </c>
      <c r="GV5" s="68" t="str">
        <f>IF(GP5=1,Stats!$S20,"")</f>
        <v/>
      </c>
      <c r="GW5" s="68">
        <f t="shared" si="78"/>
        <v>0</v>
      </c>
      <c r="GX5">
        <f t="shared" si="79"/>
        <v>0</v>
      </c>
      <c r="GY5" s="68">
        <f>IF(GX5=0,MAX(GY$2:GY4)+1,0)</f>
        <v>3</v>
      </c>
      <c r="GZ5" s="5" t="str">
        <f t="shared" si="80"/>
        <v>Artillery (indirect)</v>
      </c>
      <c r="HA5" s="5" t="str">
        <f t="shared" si="81"/>
        <v>Artillery (indirect)</v>
      </c>
      <c r="HC5">
        <f t="shared" si="82"/>
        <v>3</v>
      </c>
      <c r="HD5" s="5" t="str">
        <f t="shared" si="83"/>
        <v>Artillery (indirect)</v>
      </c>
      <c r="HE5" s="68">
        <f>COUNTIF(Builder!$K$19:$N$19,HD5)</f>
        <v>0</v>
      </c>
      <c r="HF5" s="68" t="str">
        <f>IF(HE5=1,Stats!$N20,"")</f>
        <v/>
      </c>
      <c r="HG5" s="68" t="str">
        <f>IF(HE5=1,Stats!$O20,"")</f>
        <v/>
      </c>
      <c r="HH5" s="68" t="str">
        <f>IF(HE5=1,Stats!$P20,"")</f>
        <v/>
      </c>
      <c r="HI5" s="68" t="str">
        <f>IF(HE5=1,Stats!$Q20,"")</f>
        <v/>
      </c>
      <c r="HJ5" s="68" t="str">
        <f>IF(HE5=1,Stats!$R20,"")</f>
        <v/>
      </c>
      <c r="HK5" s="68" t="str">
        <f>IF(HE5=1,Stats!$S20,"")</f>
        <v/>
      </c>
      <c r="HL5" s="68">
        <f t="shared" si="84"/>
        <v>0</v>
      </c>
      <c r="HM5">
        <f t="shared" si="85"/>
        <v>0</v>
      </c>
      <c r="HN5" s="68">
        <f>IF(HM5=0,MAX(HN$2:HN4)+1,0)</f>
        <v>3</v>
      </c>
      <c r="HO5" s="5" t="str">
        <f t="shared" si="86"/>
        <v>Artillery (indirect)</v>
      </c>
      <c r="HP5" s="5" t="str">
        <f t="shared" si="87"/>
        <v>Artillery (indirect)</v>
      </c>
      <c r="HR5">
        <f t="shared" si="88"/>
        <v>3</v>
      </c>
      <c r="HS5" s="5" t="str">
        <f t="shared" si="89"/>
        <v>Artillery (indirect)</v>
      </c>
      <c r="HT5" s="68">
        <f>COUNTIF(Builder!$K$20:$N$20,HS5)</f>
        <v>0</v>
      </c>
      <c r="HU5" s="68" t="str">
        <f>IF(HT5=1,Stats!$N20,"")</f>
        <v/>
      </c>
      <c r="HV5" s="68" t="str">
        <f>IF(HT5=1,Stats!$O20,"")</f>
        <v/>
      </c>
      <c r="HW5" s="68" t="str">
        <f>IF(HT5=1,Stats!$P20,"")</f>
        <v/>
      </c>
      <c r="HX5" s="68" t="str">
        <f>IF(HT5=1,Stats!$Q20,"")</f>
        <v/>
      </c>
      <c r="HY5" s="68" t="str">
        <f>IF(HT5=1,Stats!$R20,"")</f>
        <v/>
      </c>
      <c r="HZ5" s="68" t="str">
        <f>IF(HT5=1,Stats!$S20,"")</f>
        <v/>
      </c>
      <c r="IA5" s="68">
        <f t="shared" si="90"/>
        <v>0</v>
      </c>
      <c r="IB5">
        <f t="shared" si="91"/>
        <v>0</v>
      </c>
      <c r="IC5" s="68">
        <f>IF(IB5=0,MAX(IC$2:IC4)+1,0)</f>
        <v>3</v>
      </c>
      <c r="ID5" s="5" t="str">
        <f t="shared" si="92"/>
        <v>Artillery (indirect)</v>
      </c>
      <c r="IE5" s="5" t="str">
        <f t="shared" si="93"/>
        <v>Artillery (indirect)</v>
      </c>
      <c r="IG5">
        <f t="shared" si="94"/>
        <v>3</v>
      </c>
      <c r="IH5" s="5" t="str">
        <f t="shared" si="95"/>
        <v>Artillery (indirect)</v>
      </c>
      <c r="II5" s="68">
        <f>COUNTIF(Builder!$K$21:$N$21,IH5)</f>
        <v>0</v>
      </c>
      <c r="IJ5" s="68" t="str">
        <f>IF(II5=1,Stats!$N20,"")</f>
        <v/>
      </c>
      <c r="IK5" s="68" t="str">
        <f>IF(II5=1,Stats!$O20,"")</f>
        <v/>
      </c>
      <c r="IL5" s="68" t="str">
        <f>IF(II5=1,Stats!$P20,"")</f>
        <v/>
      </c>
      <c r="IM5" s="68" t="str">
        <f>IF(II5=1,Stats!$Q20,"")</f>
        <v/>
      </c>
      <c r="IN5" s="68" t="str">
        <f>IF(II5=1,Stats!$R20,"")</f>
        <v/>
      </c>
      <c r="IO5" s="68" t="str">
        <f>IF(II5=1,Stats!$S20,"")</f>
        <v/>
      </c>
      <c r="IP5" s="68">
        <f t="shared" si="96"/>
        <v>0</v>
      </c>
      <c r="IQ5">
        <f t="shared" si="97"/>
        <v>0</v>
      </c>
      <c r="IR5" s="68">
        <f>IF(IQ5=0,MAX(IR$2:IR4)+1,0)</f>
        <v>3</v>
      </c>
      <c r="IS5" s="5" t="str">
        <f t="shared" si="98"/>
        <v>Artillery (indirect)</v>
      </c>
      <c r="IT5" s="5" t="str">
        <f t="shared" si="99"/>
        <v>Artillery (indirect)</v>
      </c>
      <c r="IV5">
        <f t="shared" si="100"/>
        <v>3</v>
      </c>
      <c r="IW5" s="5" t="str">
        <f t="shared" si="101"/>
        <v>Artillery (indirect)</v>
      </c>
      <c r="IX5" s="68">
        <f>COUNTIF(Builder!$K$22:$N$22,IW5)</f>
        <v>0</v>
      </c>
      <c r="IY5" s="68" t="str">
        <f>IF(IX5=1,Stats!$N20,"")</f>
        <v/>
      </c>
      <c r="IZ5" s="68" t="str">
        <f>IF(IX5=1,Stats!$O20,"")</f>
        <v/>
      </c>
      <c r="JA5" s="68" t="str">
        <f>IF(IX5=1,Stats!$P20,"")</f>
        <v/>
      </c>
      <c r="JB5" s="68" t="str">
        <f>IF(IX5=1,Stats!$Q20,"")</f>
        <v/>
      </c>
      <c r="JC5" s="68" t="str">
        <f>IF(IX5=1,Stats!$R20,"")</f>
        <v/>
      </c>
      <c r="JD5" s="68" t="str">
        <f>IF(IX5=1,Stats!$S20,"")</f>
        <v/>
      </c>
      <c r="JE5" s="68">
        <f t="shared" si="102"/>
        <v>0</v>
      </c>
      <c r="JF5">
        <f t="shared" si="103"/>
        <v>0</v>
      </c>
      <c r="JG5" s="68">
        <f>IF(JF5=0,MAX(JG$2:JG4)+1,0)</f>
        <v>3</v>
      </c>
      <c r="JH5" s="5" t="str">
        <f t="shared" si="104"/>
        <v>Artillery (indirect)</v>
      </c>
      <c r="JI5" s="5" t="str">
        <f t="shared" si="105"/>
        <v>Artillery (indirect)</v>
      </c>
      <c r="JK5">
        <f t="shared" si="106"/>
        <v>3</v>
      </c>
      <c r="JL5" s="5" t="str">
        <f t="shared" si="107"/>
        <v>Artillery (indirect)</v>
      </c>
      <c r="JM5" s="68">
        <f>COUNTIF(Builder!$K$23:$N$23,JL5)</f>
        <v>0</v>
      </c>
      <c r="JN5" s="68" t="str">
        <f>IF(JM5=1,Stats!$N20,"")</f>
        <v/>
      </c>
      <c r="JO5" s="68" t="str">
        <f>IF(JM5=1,Stats!$O20,"")</f>
        <v/>
      </c>
      <c r="JP5" s="68" t="str">
        <f>IF(JM5=1,Stats!$P20,"")</f>
        <v/>
      </c>
      <c r="JQ5" s="68" t="str">
        <f>IF(JM5=1,Stats!$Q20,"")</f>
        <v/>
      </c>
      <c r="JR5" s="68" t="str">
        <f>IF(JM5=1,Stats!$R20,"")</f>
        <v/>
      </c>
      <c r="JS5" s="68" t="str">
        <f>IF(JM5=1,Stats!$S20,"")</f>
        <v/>
      </c>
      <c r="JT5" s="68">
        <f t="shared" si="108"/>
        <v>0</v>
      </c>
      <c r="JU5">
        <f t="shared" si="109"/>
        <v>0</v>
      </c>
      <c r="JV5" s="68">
        <f>IF(JU5=0,MAX(JV$2:JV4)+1,0)</f>
        <v>3</v>
      </c>
      <c r="JW5" s="5" t="str">
        <f t="shared" si="110"/>
        <v>Artillery (indirect)</v>
      </c>
      <c r="JX5" s="5" t="str">
        <f t="shared" si="111"/>
        <v>Artillery (indirect)</v>
      </c>
      <c r="JZ5">
        <f t="shared" si="112"/>
        <v>3</v>
      </c>
      <c r="KA5" s="5" t="str">
        <f t="shared" si="113"/>
        <v>Artillery (indirect)</v>
      </c>
      <c r="KB5" s="68">
        <f>COUNTIF(Builder!$K$24:$N$24,KA5)</f>
        <v>0</v>
      </c>
      <c r="KC5" s="68" t="str">
        <f>IF(KB5=1,Stats!$N20,"")</f>
        <v/>
      </c>
      <c r="KD5" s="68" t="str">
        <f>IF(KB5=1,Stats!$O20,"")</f>
        <v/>
      </c>
      <c r="KE5" s="68" t="str">
        <f>IF(KB5=1,Stats!$P20,"")</f>
        <v/>
      </c>
      <c r="KF5" s="68" t="str">
        <f>IF(KB5=1,Stats!$Q20,"")</f>
        <v/>
      </c>
      <c r="KG5" s="68" t="str">
        <f>IF(KB5=1,Stats!$R20,"")</f>
        <v/>
      </c>
      <c r="KH5" s="68" t="str">
        <f>IF(KB5=1,Stats!$S20,"")</f>
        <v/>
      </c>
      <c r="KI5" s="68">
        <f t="shared" si="114"/>
        <v>0</v>
      </c>
      <c r="KJ5">
        <f t="shared" si="115"/>
        <v>0</v>
      </c>
      <c r="KK5" s="68">
        <f>IF(KJ5=0,MAX(KK$2:KK4)+1,0)</f>
        <v>3</v>
      </c>
      <c r="KL5" s="5" t="str">
        <f t="shared" si="116"/>
        <v>Artillery (indirect)</v>
      </c>
      <c r="KM5" s="5" t="str">
        <f t="shared" si="117"/>
        <v>Artillery (indirect)</v>
      </c>
      <c r="KO5">
        <f t="shared" si="118"/>
        <v>3</v>
      </c>
      <c r="KP5" s="5" t="str">
        <f t="shared" si="119"/>
        <v>Artillery (indirect)</v>
      </c>
      <c r="KQ5" s="68">
        <f>COUNTIF(Builder!$K$25:$N$25,KP5)</f>
        <v>0</v>
      </c>
      <c r="KR5" s="68" t="str">
        <f>IF(KQ5=1,Stats!$N20,"")</f>
        <v/>
      </c>
      <c r="KS5" s="68" t="str">
        <f>IF(KQ5=1,Stats!$O20,"")</f>
        <v/>
      </c>
      <c r="KT5" s="68" t="str">
        <f>IF(KQ5=1,Stats!$P20,"")</f>
        <v/>
      </c>
      <c r="KU5" s="68" t="str">
        <f>IF(KQ5=1,Stats!$Q20,"")</f>
        <v/>
      </c>
      <c r="KV5" s="68" t="str">
        <f>IF(KQ5=1,Stats!$R20,"")</f>
        <v/>
      </c>
      <c r="KW5" s="68" t="str">
        <f>IF(KQ5=1,Stats!$S20,"")</f>
        <v/>
      </c>
      <c r="KX5" s="68">
        <f t="shared" si="120"/>
        <v>0</v>
      </c>
      <c r="KY5">
        <f t="shared" si="121"/>
        <v>0</v>
      </c>
      <c r="KZ5" s="68">
        <f>IF(KY5=0,MAX(KZ$2:KZ4)+1,0)</f>
        <v>3</v>
      </c>
      <c r="LA5" s="5" t="str">
        <f t="shared" si="122"/>
        <v>Artillery (indirect)</v>
      </c>
      <c r="LB5" s="5" t="str">
        <f t="shared" si="123"/>
        <v>Artillery (indirect)</v>
      </c>
      <c r="LD5">
        <f t="shared" si="124"/>
        <v>3</v>
      </c>
      <c r="LE5" s="5" t="str">
        <f t="shared" si="125"/>
        <v>Artillery (indirect)</v>
      </c>
      <c r="LF5" s="68">
        <f>COUNTIF(Builder!$K$26:$N$26,LE5)</f>
        <v>0</v>
      </c>
      <c r="LG5" s="68" t="str">
        <f>IF(LF5=1,Stats!$N20,"")</f>
        <v/>
      </c>
      <c r="LH5" s="68" t="str">
        <f>IF(LF5=1,Stats!$O20,"")</f>
        <v/>
      </c>
      <c r="LI5" s="68" t="str">
        <f>IF(LF5=1,Stats!$P20,"")</f>
        <v/>
      </c>
      <c r="LJ5" s="68" t="str">
        <f>IF(LF5=1,Stats!$Q20,"")</f>
        <v/>
      </c>
      <c r="LK5" s="68" t="str">
        <f>IF(LF5=1,Stats!$R20,"")</f>
        <v/>
      </c>
      <c r="LL5" s="68" t="str">
        <f>IF(LF5=1,Stats!$S20,"")</f>
        <v/>
      </c>
      <c r="LM5" s="68">
        <f t="shared" si="126"/>
        <v>0</v>
      </c>
      <c r="LN5">
        <f t="shared" si="127"/>
        <v>0</v>
      </c>
      <c r="LO5" s="68">
        <f>IF(LN5=0,MAX(LO$2:LO4)+1,0)</f>
        <v>3</v>
      </c>
      <c r="LP5" s="5" t="str">
        <f t="shared" si="128"/>
        <v>Artillery (indirect)</v>
      </c>
      <c r="LQ5" s="5" t="str">
        <f t="shared" si="129"/>
        <v>Artillery (indirect)</v>
      </c>
      <c r="LS5">
        <f t="shared" si="130"/>
        <v>3</v>
      </c>
      <c r="LT5" s="5" t="str">
        <f t="shared" si="131"/>
        <v>Artillery (indirect)</v>
      </c>
      <c r="LU5" s="68">
        <f>COUNTIF(Builder!$K$27:$N$27,LT5)</f>
        <v>0</v>
      </c>
      <c r="LV5" s="68" t="str">
        <f>IF(LU5=1,Stats!$N20,"")</f>
        <v/>
      </c>
      <c r="LW5" s="68" t="str">
        <f>IF(LU5=1,Stats!$O20,"")</f>
        <v/>
      </c>
      <c r="LX5" s="68" t="str">
        <f>IF(LU5=1,Stats!$P20,"")</f>
        <v/>
      </c>
      <c r="LY5" s="68" t="str">
        <f>IF(LU5=1,Stats!$Q20,"")</f>
        <v/>
      </c>
      <c r="LZ5" s="68" t="str">
        <f>IF(LU5=1,Stats!$R20,"")</f>
        <v/>
      </c>
      <c r="MA5" s="68" t="str">
        <f>IF(LU5=1,Stats!$S20,"")</f>
        <v/>
      </c>
      <c r="MB5" s="68">
        <f t="shared" si="132"/>
        <v>0</v>
      </c>
      <c r="MC5">
        <f t="shared" si="133"/>
        <v>0</v>
      </c>
      <c r="MD5" s="68">
        <f>IF(MC5=0,MAX(MD$2:MD4)+1,0)</f>
        <v>3</v>
      </c>
      <c r="ME5" s="5" t="str">
        <f t="shared" si="134"/>
        <v>Artillery (indirect)</v>
      </c>
      <c r="MF5" s="5" t="str">
        <f t="shared" si="135"/>
        <v>Artillery (indirect)</v>
      </c>
      <c r="MH5">
        <f t="shared" si="136"/>
        <v>3</v>
      </c>
      <c r="MI5" s="5" t="str">
        <f t="shared" si="137"/>
        <v>Artillery (indirect)</v>
      </c>
      <c r="MJ5" s="68">
        <f>COUNTIF(Builder!$K$28:$N$28,MI5)</f>
        <v>0</v>
      </c>
      <c r="MK5" s="68" t="str">
        <f>IF(MJ5=1,Stats!$N20,"")</f>
        <v/>
      </c>
      <c r="ML5" s="68" t="str">
        <f>IF(MJ5=1,Stats!$O20,"")</f>
        <v/>
      </c>
      <c r="MM5" s="68" t="str">
        <f>IF(MJ5=1,Stats!$P20,"")</f>
        <v/>
      </c>
      <c r="MN5" s="68" t="str">
        <f>IF(MJ5=1,Stats!$Q20,"")</f>
        <v/>
      </c>
      <c r="MO5" s="68" t="str">
        <f>IF(MJ5=1,Stats!$R20,"")</f>
        <v/>
      </c>
      <c r="MP5" s="68" t="str">
        <f>IF(MJ5=1,Stats!$S20,"")</f>
        <v/>
      </c>
      <c r="MQ5" s="68">
        <f t="shared" si="138"/>
        <v>0</v>
      </c>
      <c r="MR5">
        <f t="shared" si="139"/>
        <v>0</v>
      </c>
      <c r="MS5" s="68">
        <f>IF(MR5=0,MAX(MS$2:MS4)+1,0)</f>
        <v>3</v>
      </c>
      <c r="MT5" s="5" t="str">
        <f t="shared" si="140"/>
        <v>Artillery (indirect)</v>
      </c>
      <c r="MU5" s="5" t="str">
        <f t="shared" si="141"/>
        <v>Artillery (indirect)</v>
      </c>
      <c r="MW5">
        <f t="shared" si="142"/>
        <v>3</v>
      </c>
      <c r="MX5" s="5" t="str">
        <f t="shared" si="143"/>
        <v>Artillery (indirect)</v>
      </c>
      <c r="MY5" s="68">
        <f>COUNTIF(Builder!$K$29:$N$29,MX5)</f>
        <v>0</v>
      </c>
      <c r="MZ5" s="68" t="str">
        <f>IF(MY5=1,Stats!$N20,"")</f>
        <v/>
      </c>
      <c r="NA5" s="68" t="str">
        <f>IF(MY5=1,Stats!$O20,"")</f>
        <v/>
      </c>
      <c r="NB5" s="68" t="str">
        <f>IF(MY5=1,Stats!$P20,"")</f>
        <v/>
      </c>
      <c r="NC5" s="68" t="str">
        <f>IF(MY5=1,Stats!$Q20,"")</f>
        <v/>
      </c>
      <c r="ND5" s="68" t="str">
        <f>IF(MY5=1,Stats!$R20,"")</f>
        <v/>
      </c>
      <c r="NE5" s="68" t="str">
        <f>IF(MY5=1,Stats!$S20,"")</f>
        <v/>
      </c>
      <c r="NF5" s="68">
        <f t="shared" si="144"/>
        <v>0</v>
      </c>
      <c r="NG5">
        <f t="shared" si="145"/>
        <v>0</v>
      </c>
      <c r="NH5" s="68">
        <f>IF(NG5=0,MAX(NH$2:NH4)+1,0)</f>
        <v>3</v>
      </c>
      <c r="NI5" s="5" t="str">
        <f t="shared" si="146"/>
        <v>Artillery (indirect)</v>
      </c>
      <c r="NJ5" s="5" t="str">
        <f t="shared" si="147"/>
        <v>Artillery (indirect)</v>
      </c>
    </row>
    <row r="6" spans="1:374" ht="15" x14ac:dyDescent="0.3">
      <c r="A6">
        <v>4</v>
      </c>
      <c r="B6" s="5" t="s">
        <v>23</v>
      </c>
      <c r="C6" s="68">
        <f>COUNTIF(Builder!$K$5:$N$5,B6)</f>
        <v>0</v>
      </c>
      <c r="D6" s="68" t="str">
        <f>IF(C6=1,Stats!$N21,"")</f>
        <v/>
      </c>
      <c r="E6" s="68" t="str">
        <f>IF(C6=1,Stats!$O21,"")</f>
        <v/>
      </c>
      <c r="F6" s="68" t="str">
        <f>IF(C6=1,Stats!$P21,"")</f>
        <v/>
      </c>
      <c r="G6" s="68" t="str">
        <f>IF(C6=1,Stats!$Q21,"")</f>
        <v/>
      </c>
      <c r="H6" s="68" t="str">
        <f>IF(C6=1,Stats!$R21,"")</f>
        <v/>
      </c>
      <c r="I6" s="68" t="str">
        <f>IF(C6=1,Stats!$S21,"")</f>
        <v/>
      </c>
      <c r="J6" s="68">
        <f t="shared" si="0"/>
        <v>0</v>
      </c>
      <c r="K6">
        <f t="shared" si="1"/>
        <v>0</v>
      </c>
      <c r="L6" s="68">
        <f>IF(K6=0,MAX($L$2:L5)+1,0)</f>
        <v>4</v>
      </c>
      <c r="M6" s="5" t="str">
        <f t="shared" si="2"/>
        <v>Barrage</v>
      </c>
      <c r="N6" s="5" t="str">
        <f t="shared" si="3"/>
        <v>Barrage</v>
      </c>
      <c r="O6" s="5"/>
      <c r="P6">
        <f t="shared" si="4"/>
        <v>4</v>
      </c>
      <c r="Q6" s="5" t="str">
        <f t="shared" si="5"/>
        <v>Barrage</v>
      </c>
      <c r="R6" s="68">
        <f>COUNTIF(Builder!$K$6:$N$6,Q6)</f>
        <v>0</v>
      </c>
      <c r="S6" s="68" t="str">
        <f>IF(R6=1,Stats!$N21,"")</f>
        <v/>
      </c>
      <c r="T6" s="68" t="str">
        <f>IF(R6=1,Stats!$O21,"")</f>
        <v/>
      </c>
      <c r="U6" s="68" t="str">
        <f>IF(R6=1,Stats!$P21,"")</f>
        <v/>
      </c>
      <c r="V6" s="68" t="str">
        <f>IF(R6=1,Stats!$Q21,"")</f>
        <v/>
      </c>
      <c r="W6" s="68" t="str">
        <f>IF(R6=1,Stats!$R21,"")</f>
        <v/>
      </c>
      <c r="X6" s="68" t="str">
        <f>IF(R6=1,Stats!$S21,"")</f>
        <v/>
      </c>
      <c r="Y6" s="68">
        <f t="shared" si="6"/>
        <v>0</v>
      </c>
      <c r="Z6">
        <f t="shared" si="7"/>
        <v>0</v>
      </c>
      <c r="AA6" s="68">
        <f>IF(Z6=0,MAX($AA$2:AA5)+1,0)</f>
        <v>4</v>
      </c>
      <c r="AB6" s="5" t="str">
        <f t="shared" si="8"/>
        <v>Barrage</v>
      </c>
      <c r="AC6" s="5" t="str">
        <f t="shared" si="9"/>
        <v>Barrage</v>
      </c>
      <c r="AD6" s="5"/>
      <c r="AE6">
        <f t="shared" si="10"/>
        <v>4</v>
      </c>
      <c r="AF6" s="5" t="str">
        <f t="shared" si="11"/>
        <v>Barrage</v>
      </c>
      <c r="AG6" s="68">
        <f>COUNTIF(Builder!$K$7:$N$7,AF6)</f>
        <v>0</v>
      </c>
      <c r="AH6" s="68" t="str">
        <f>IF(AG6=1,Stats!$N21,"")</f>
        <v/>
      </c>
      <c r="AI6" s="68" t="str">
        <f>IF(AG6=1,Stats!$O21,"")</f>
        <v/>
      </c>
      <c r="AJ6" s="68" t="str">
        <f>IF(AG6=1,Stats!$P21,"")</f>
        <v/>
      </c>
      <c r="AK6" s="68" t="str">
        <f>IF(AG6=1,Stats!$Q21,"")</f>
        <v/>
      </c>
      <c r="AL6" s="68" t="str">
        <f>IF(AG6=1,Stats!$R21,"")</f>
        <v/>
      </c>
      <c r="AM6" s="68" t="str">
        <f>IF(AG6=1,Stats!$S21,"")</f>
        <v/>
      </c>
      <c r="AN6" s="68">
        <f t="shared" si="12"/>
        <v>0</v>
      </c>
      <c r="AO6">
        <f t="shared" si="13"/>
        <v>0</v>
      </c>
      <c r="AP6" s="68">
        <f>IF(AO6=0,MAX($AP$2:AP5)+1,0)</f>
        <v>4</v>
      </c>
      <c r="AQ6" s="5" t="str">
        <f t="shared" si="14"/>
        <v>Barrage</v>
      </c>
      <c r="AR6" s="5" t="str">
        <f t="shared" si="15"/>
        <v>Barrage</v>
      </c>
      <c r="AS6" s="5"/>
      <c r="AT6">
        <f t="shared" si="16"/>
        <v>4</v>
      </c>
      <c r="AU6" s="5" t="str">
        <f t="shared" si="17"/>
        <v>Barrage</v>
      </c>
      <c r="AV6" s="68">
        <f>COUNTIF(Builder!$K$8:$N$8,AU6)</f>
        <v>0</v>
      </c>
      <c r="AW6" s="68" t="str">
        <f>IF(AV6=1,Stats!$N21,"")</f>
        <v/>
      </c>
      <c r="AX6" s="68" t="str">
        <f>IF(AV6=1,Stats!$O21,"")</f>
        <v/>
      </c>
      <c r="AY6" s="68" t="str">
        <f>IF(AV6=1,Stats!$P21,"")</f>
        <v/>
      </c>
      <c r="AZ6" s="68" t="str">
        <f>IF(AV6=1,Stats!$Q21,"")</f>
        <v/>
      </c>
      <c r="BA6" s="68" t="str">
        <f>IF(AV6=1,Stats!$R21,"")</f>
        <v/>
      </c>
      <c r="BB6" s="68" t="str">
        <f>IF(AV6=1,Stats!$S21,"")</f>
        <v/>
      </c>
      <c r="BC6" s="68">
        <f t="shared" si="18"/>
        <v>0</v>
      </c>
      <c r="BD6">
        <f t="shared" si="19"/>
        <v>0</v>
      </c>
      <c r="BE6" s="68">
        <f>IF(BD6=0,MAX($BE$2:BE5)+1,0)</f>
        <v>4</v>
      </c>
      <c r="BF6" s="5" t="str">
        <f t="shared" si="20"/>
        <v>Barrage</v>
      </c>
      <c r="BG6" s="5" t="str">
        <f t="shared" si="21"/>
        <v>Barrage</v>
      </c>
      <c r="BH6" s="5"/>
      <c r="BI6">
        <f t="shared" si="22"/>
        <v>4</v>
      </c>
      <c r="BJ6" s="5" t="str">
        <f t="shared" si="23"/>
        <v>Barrage</v>
      </c>
      <c r="BK6" s="68">
        <f>COUNTIF(Builder!$K$9:$N$9,BJ6)</f>
        <v>0</v>
      </c>
      <c r="BL6" s="68" t="str">
        <f>IF(BK6=1,Stats!$N21,"")</f>
        <v/>
      </c>
      <c r="BM6" s="68" t="str">
        <f>IF(BK6=1,Stats!$O21,"")</f>
        <v/>
      </c>
      <c r="BN6" s="68" t="str">
        <f>IF(BK6=1,Stats!$P21,"")</f>
        <v/>
      </c>
      <c r="BO6" s="68" t="str">
        <f>IF(BK6=1,Stats!$Q21,"")</f>
        <v/>
      </c>
      <c r="BP6" s="68" t="str">
        <f>IF(BK6=1,Stats!$R21,"")</f>
        <v/>
      </c>
      <c r="BQ6" s="68" t="str">
        <f>IF(BK6=1,Stats!$S21,"")</f>
        <v/>
      </c>
      <c r="BR6" s="68">
        <f t="shared" si="24"/>
        <v>0</v>
      </c>
      <c r="BS6">
        <f t="shared" si="25"/>
        <v>0</v>
      </c>
      <c r="BT6" s="68">
        <f>IF(BS6=0,MAX(BT$2:BT5)+1,0)</f>
        <v>4</v>
      </c>
      <c r="BU6" s="5" t="str">
        <f t="shared" si="26"/>
        <v>Barrage</v>
      </c>
      <c r="BV6" s="5" t="str">
        <f t="shared" si="27"/>
        <v>Barrage</v>
      </c>
      <c r="BX6">
        <f t="shared" si="28"/>
        <v>4</v>
      </c>
      <c r="BY6" s="5" t="str">
        <f t="shared" si="29"/>
        <v>Barrage</v>
      </c>
      <c r="BZ6" s="68">
        <f>COUNTIF(Builder!$K$10:$N$10,BY6)</f>
        <v>0</v>
      </c>
      <c r="CA6" s="68" t="str">
        <f>IF(BZ6=1,Stats!$N21,"")</f>
        <v/>
      </c>
      <c r="CB6" s="68" t="str">
        <f>IF(BZ6=1,Stats!$O21,"")</f>
        <v/>
      </c>
      <c r="CC6" s="68" t="str">
        <f>IF(BZ6=1,Stats!$P21,"")</f>
        <v/>
      </c>
      <c r="CD6" s="68" t="str">
        <f>IF(BZ6=1,Stats!$Q21,"")</f>
        <v/>
      </c>
      <c r="CE6" s="68" t="str">
        <f>IF(BZ6=1,Stats!$R21,"")</f>
        <v/>
      </c>
      <c r="CF6" s="68" t="str">
        <f>IF(BZ6=1,Stats!$S21,"")</f>
        <v/>
      </c>
      <c r="CG6" s="68">
        <f t="shared" si="30"/>
        <v>0</v>
      </c>
      <c r="CH6">
        <f t="shared" si="31"/>
        <v>0</v>
      </c>
      <c r="CI6" s="68">
        <f>IF(CH6=0,MAX(CI$2:CI5)+1,0)</f>
        <v>4</v>
      </c>
      <c r="CJ6" s="5" t="str">
        <f t="shared" si="32"/>
        <v>Barrage</v>
      </c>
      <c r="CK6" s="5" t="str">
        <f t="shared" si="33"/>
        <v>Barrage</v>
      </c>
      <c r="CM6">
        <f t="shared" si="34"/>
        <v>4</v>
      </c>
      <c r="CN6" s="5" t="str">
        <f t="shared" si="35"/>
        <v>Barrage</v>
      </c>
      <c r="CO6" s="68">
        <f>COUNTIF(Builder!$K$11:$N$11,CN6)</f>
        <v>0</v>
      </c>
      <c r="CP6" s="68" t="str">
        <f>IF(CO6=1,Stats!$N21,"")</f>
        <v/>
      </c>
      <c r="CQ6" s="68" t="str">
        <f>IF(CO6=1,Stats!$O21,"")</f>
        <v/>
      </c>
      <c r="CR6" s="68" t="str">
        <f>IF(CO6=1,Stats!$P21,"")</f>
        <v/>
      </c>
      <c r="CS6" s="68" t="str">
        <f>IF(CO6=1,Stats!$Q21,"")</f>
        <v/>
      </c>
      <c r="CT6" s="68" t="str">
        <f>IF(CO6=1,Stats!$R21,"")</f>
        <v/>
      </c>
      <c r="CU6" s="68" t="str">
        <f>IF(CO6=1,Stats!$S21,"")</f>
        <v/>
      </c>
      <c r="CV6" s="68">
        <f t="shared" si="36"/>
        <v>0</v>
      </c>
      <c r="CW6">
        <f t="shared" si="37"/>
        <v>0</v>
      </c>
      <c r="CX6" s="68">
        <f>IF(CW6=0,MAX(CX$2:CX5)+1,0)</f>
        <v>4</v>
      </c>
      <c r="CY6" s="5" t="str">
        <f t="shared" si="38"/>
        <v>Barrage</v>
      </c>
      <c r="CZ6" s="5" t="str">
        <f t="shared" si="39"/>
        <v>Barrage</v>
      </c>
      <c r="DB6">
        <f t="shared" si="40"/>
        <v>4</v>
      </c>
      <c r="DC6" s="5" t="str">
        <f t="shared" si="41"/>
        <v>Barrage</v>
      </c>
      <c r="DD6" s="68">
        <f>COUNTIF(Builder!$K$12:$N$12,DC6)</f>
        <v>0</v>
      </c>
      <c r="DE6" s="68" t="str">
        <f>IF(DD6=1,Stats!$N21,"")</f>
        <v/>
      </c>
      <c r="DF6" s="68" t="str">
        <f>IF(DD6=1,Stats!$O21,"")</f>
        <v/>
      </c>
      <c r="DG6" s="68" t="str">
        <f>IF(DD6=1,Stats!$P21,"")</f>
        <v/>
      </c>
      <c r="DH6" s="68" t="str">
        <f>IF(DD6=1,Stats!$Q21,"")</f>
        <v/>
      </c>
      <c r="DI6" s="68" t="str">
        <f>IF(DD6=1,Stats!$R21,"")</f>
        <v/>
      </c>
      <c r="DJ6" s="68" t="str">
        <f>IF(DD6=1,Stats!$S21,"")</f>
        <v/>
      </c>
      <c r="DK6" s="68">
        <f t="shared" si="42"/>
        <v>0</v>
      </c>
      <c r="DL6">
        <f t="shared" si="43"/>
        <v>0</v>
      </c>
      <c r="DM6" s="68">
        <f>IF(DL6=0,MAX(DM$2:DM5)+1,0)</f>
        <v>4</v>
      </c>
      <c r="DN6" s="5" t="str">
        <f t="shared" si="44"/>
        <v>Barrage</v>
      </c>
      <c r="DO6" s="5" t="str">
        <f t="shared" si="45"/>
        <v>Barrage</v>
      </c>
      <c r="DQ6">
        <f t="shared" si="46"/>
        <v>4</v>
      </c>
      <c r="DR6" s="5" t="str">
        <f t="shared" si="47"/>
        <v>Barrage</v>
      </c>
      <c r="DS6" s="68">
        <f>COUNTIF(Builder!$K$13:$N$13,DR6)</f>
        <v>0</v>
      </c>
      <c r="DT6" s="68" t="str">
        <f>IF(DS6=1,Stats!$N21,"")</f>
        <v/>
      </c>
      <c r="DU6" s="68" t="str">
        <f>IF(DS6=1,Stats!$O21,"")</f>
        <v/>
      </c>
      <c r="DV6" s="68" t="str">
        <f>IF(DS6=1,Stats!$P21,"")</f>
        <v/>
      </c>
      <c r="DW6" s="68" t="str">
        <f>IF(DS6=1,Stats!$Q21,"")</f>
        <v/>
      </c>
      <c r="DX6" s="68" t="str">
        <f>IF(DS6=1,Stats!$R21,"")</f>
        <v/>
      </c>
      <c r="DY6" s="68" t="str">
        <f>IF(DS6=1,Stats!$S21,"")</f>
        <v/>
      </c>
      <c r="DZ6" s="68">
        <f t="shared" si="48"/>
        <v>0</v>
      </c>
      <c r="EA6">
        <f t="shared" si="49"/>
        <v>0</v>
      </c>
      <c r="EB6" s="68">
        <f>IF(EA6=0,MAX(EB$2:EB5)+1,0)</f>
        <v>4</v>
      </c>
      <c r="EC6" s="5" t="str">
        <f t="shared" si="50"/>
        <v>Barrage</v>
      </c>
      <c r="ED6" s="5" t="str">
        <f t="shared" si="51"/>
        <v>Barrage</v>
      </c>
      <c r="EF6">
        <f t="shared" si="52"/>
        <v>4</v>
      </c>
      <c r="EG6" s="5" t="str">
        <f t="shared" si="53"/>
        <v>Barrage</v>
      </c>
      <c r="EH6" s="68">
        <f>COUNTIF(Builder!$K$14:$N$14,EG6)</f>
        <v>0</v>
      </c>
      <c r="EI6" s="68" t="str">
        <f>IF(EH6=1,Stats!$N21,"")</f>
        <v/>
      </c>
      <c r="EJ6" s="68" t="str">
        <f>IF(EH6=1,Stats!$O21,"")</f>
        <v/>
      </c>
      <c r="EK6" s="68" t="str">
        <f>IF(EH6=1,Stats!$P21,"")</f>
        <v/>
      </c>
      <c r="EL6" s="68" t="str">
        <f>IF(EH6=1,Stats!$Q21,"")</f>
        <v/>
      </c>
      <c r="EM6" s="68" t="str">
        <f>IF(EH6=1,Stats!$R21,"")</f>
        <v/>
      </c>
      <c r="EN6" s="68" t="str">
        <f>IF(EH6=1,Stats!$S21,"")</f>
        <v/>
      </c>
      <c r="EO6" s="68">
        <f t="shared" si="54"/>
        <v>0</v>
      </c>
      <c r="EP6">
        <f t="shared" si="55"/>
        <v>0</v>
      </c>
      <c r="EQ6" s="68">
        <f>IF(EP6=0,MAX(EQ$2:EQ5)+1,0)</f>
        <v>4</v>
      </c>
      <c r="ER6" s="5" t="str">
        <f t="shared" si="56"/>
        <v>Barrage</v>
      </c>
      <c r="ES6" s="5" t="str">
        <f t="shared" si="57"/>
        <v>Barrage</v>
      </c>
      <c r="EU6">
        <f t="shared" si="58"/>
        <v>4</v>
      </c>
      <c r="EV6" s="5" t="str">
        <f t="shared" si="59"/>
        <v>Barrage</v>
      </c>
      <c r="EW6" s="68">
        <f>COUNTIF(Builder!$K$15:$N$15,EV6)</f>
        <v>0</v>
      </c>
      <c r="EX6" s="68" t="str">
        <f>IF(EW6=1,Stats!$N21,"")</f>
        <v/>
      </c>
      <c r="EY6" s="68" t="str">
        <f>IF(EW6=1,Stats!$O21,"")</f>
        <v/>
      </c>
      <c r="EZ6" s="68" t="str">
        <f>IF(EW6=1,Stats!$P21,"")</f>
        <v/>
      </c>
      <c r="FA6" s="68" t="str">
        <f>IF(EW6=1,Stats!$Q21,"")</f>
        <v/>
      </c>
      <c r="FB6" s="68" t="str">
        <f>IF(EW6=1,Stats!$R21,"")</f>
        <v/>
      </c>
      <c r="FC6" s="68" t="str">
        <f>IF(EW6=1,Stats!$S21,"")</f>
        <v/>
      </c>
      <c r="FD6" s="68">
        <f t="shared" si="60"/>
        <v>0</v>
      </c>
      <c r="FE6">
        <f t="shared" si="61"/>
        <v>0</v>
      </c>
      <c r="FF6" s="68">
        <f>IF(FE6=0,MAX(FF$2:FF5)+1,0)</f>
        <v>4</v>
      </c>
      <c r="FG6" s="5" t="str">
        <f t="shared" si="62"/>
        <v>Barrage</v>
      </c>
      <c r="FH6" s="5" t="str">
        <f t="shared" si="63"/>
        <v>Barrage</v>
      </c>
      <c r="FJ6">
        <f t="shared" si="64"/>
        <v>4</v>
      </c>
      <c r="FK6" s="5" t="str">
        <f t="shared" si="65"/>
        <v>Barrage</v>
      </c>
      <c r="FL6" s="68">
        <f>COUNTIF(Builder!$K$16:$N$16,FK6)</f>
        <v>0</v>
      </c>
      <c r="FM6" s="68" t="str">
        <f>IF(FL6=1,Stats!$N21,"")</f>
        <v/>
      </c>
      <c r="FN6" s="68" t="str">
        <f>IF(FL6=1,Stats!$O21,"")</f>
        <v/>
      </c>
      <c r="FO6" s="68" t="str">
        <f>IF(FL6=1,Stats!$P21,"")</f>
        <v/>
      </c>
      <c r="FP6" s="68" t="str">
        <f>IF(FL6=1,Stats!$Q21,"")</f>
        <v/>
      </c>
      <c r="FQ6" s="68" t="str">
        <f>IF(FL6=1,Stats!$R21,"")</f>
        <v/>
      </c>
      <c r="FR6" s="68" t="str">
        <f>IF(FL6=1,Stats!$S21,"")</f>
        <v/>
      </c>
      <c r="FS6" s="68">
        <f t="shared" si="66"/>
        <v>0</v>
      </c>
      <c r="FT6">
        <f t="shared" si="67"/>
        <v>0</v>
      </c>
      <c r="FU6" s="68">
        <f>IF(FT6=0,MAX(FU$2:FU5)+1,0)</f>
        <v>4</v>
      </c>
      <c r="FV6" s="5" t="str">
        <f t="shared" si="68"/>
        <v>Barrage</v>
      </c>
      <c r="FW6" s="5" t="str">
        <f t="shared" si="69"/>
        <v>Barrage</v>
      </c>
      <c r="FY6">
        <f t="shared" si="70"/>
        <v>4</v>
      </c>
      <c r="FZ6" s="5" t="str">
        <f t="shared" si="71"/>
        <v>Barrage</v>
      </c>
      <c r="GA6" s="68">
        <f>COUNTIF(Builder!$K$17:$N$17,FZ6)</f>
        <v>0</v>
      </c>
      <c r="GB6" s="68" t="str">
        <f>IF(GA6=1,Stats!$N21,"")</f>
        <v/>
      </c>
      <c r="GC6" s="68" t="str">
        <f>IF(GA6=1,Stats!$O21,"")</f>
        <v/>
      </c>
      <c r="GD6" s="68" t="str">
        <f>IF(GA6=1,Stats!$P21,"")</f>
        <v/>
      </c>
      <c r="GE6" s="68" t="str">
        <f>IF(GA6=1,Stats!$Q21,"")</f>
        <v/>
      </c>
      <c r="GF6" s="68" t="str">
        <f>IF(GA6=1,Stats!$R21,"")</f>
        <v/>
      </c>
      <c r="GG6" s="68" t="str">
        <f>IF(GA6=1,Stats!$S21,"")</f>
        <v/>
      </c>
      <c r="GH6" s="68">
        <f t="shared" si="72"/>
        <v>0</v>
      </c>
      <c r="GI6">
        <f t="shared" si="73"/>
        <v>0</v>
      </c>
      <c r="GJ6" s="68">
        <f>IF(GI6=0,MAX(GJ$2:GJ5)+1,0)</f>
        <v>4</v>
      </c>
      <c r="GK6" s="5" t="str">
        <f t="shared" si="74"/>
        <v>Barrage</v>
      </c>
      <c r="GL6" s="5" t="str">
        <f t="shared" si="75"/>
        <v>Barrage</v>
      </c>
      <c r="GN6">
        <f t="shared" si="76"/>
        <v>4</v>
      </c>
      <c r="GO6" s="5" t="str">
        <f t="shared" si="77"/>
        <v>Barrage</v>
      </c>
      <c r="GP6" s="68">
        <f>COUNTIF(Builder!$K$18:$N$18,GO6)</f>
        <v>0</v>
      </c>
      <c r="GQ6" s="68" t="str">
        <f>IF(GP6=1,Stats!$N21,"")</f>
        <v/>
      </c>
      <c r="GR6" s="68" t="str">
        <f>IF(GP6=1,Stats!$O21,"")</f>
        <v/>
      </c>
      <c r="GS6" s="68" t="str">
        <f>IF(GP6=1,Stats!$P21,"")</f>
        <v/>
      </c>
      <c r="GT6" s="68" t="str">
        <f>IF(GP6=1,Stats!$Q21,"")</f>
        <v/>
      </c>
      <c r="GU6" s="68" t="str">
        <f>IF(GP6=1,Stats!$R21,"")</f>
        <v/>
      </c>
      <c r="GV6" s="68" t="str">
        <f>IF(GP6=1,Stats!$S21,"")</f>
        <v/>
      </c>
      <c r="GW6" s="68">
        <f t="shared" si="78"/>
        <v>0</v>
      </c>
      <c r="GX6">
        <f t="shared" si="79"/>
        <v>0</v>
      </c>
      <c r="GY6" s="68">
        <f>IF(GX6=0,MAX(GY$2:GY5)+1,0)</f>
        <v>4</v>
      </c>
      <c r="GZ6" s="5" t="str">
        <f t="shared" si="80"/>
        <v>Barrage</v>
      </c>
      <c r="HA6" s="5" t="str">
        <f t="shared" si="81"/>
        <v>Barrage</v>
      </c>
      <c r="HC6">
        <f t="shared" si="82"/>
        <v>4</v>
      </c>
      <c r="HD6" s="5" t="str">
        <f t="shared" si="83"/>
        <v>Barrage</v>
      </c>
      <c r="HE6" s="68">
        <f>COUNTIF(Builder!$K$19:$N$19,HD6)</f>
        <v>0</v>
      </c>
      <c r="HF6" s="68" t="str">
        <f>IF(HE6=1,Stats!$N21,"")</f>
        <v/>
      </c>
      <c r="HG6" s="68" t="str">
        <f>IF(HE6=1,Stats!$O21,"")</f>
        <v/>
      </c>
      <c r="HH6" s="68" t="str">
        <f>IF(HE6=1,Stats!$P21,"")</f>
        <v/>
      </c>
      <c r="HI6" s="68" t="str">
        <f>IF(HE6=1,Stats!$Q21,"")</f>
        <v/>
      </c>
      <c r="HJ6" s="68" t="str">
        <f>IF(HE6=1,Stats!$R21,"")</f>
        <v/>
      </c>
      <c r="HK6" s="68" t="str">
        <f>IF(HE6=1,Stats!$S21,"")</f>
        <v/>
      </c>
      <c r="HL6" s="68">
        <f t="shared" si="84"/>
        <v>0</v>
      </c>
      <c r="HM6">
        <f t="shared" si="85"/>
        <v>0</v>
      </c>
      <c r="HN6" s="68">
        <f>IF(HM6=0,MAX(HN$2:HN5)+1,0)</f>
        <v>4</v>
      </c>
      <c r="HO6" s="5" t="str">
        <f t="shared" si="86"/>
        <v>Barrage</v>
      </c>
      <c r="HP6" s="5" t="str">
        <f t="shared" si="87"/>
        <v>Barrage</v>
      </c>
      <c r="HR6">
        <f t="shared" si="88"/>
        <v>4</v>
      </c>
      <c r="HS6" s="5" t="str">
        <f t="shared" si="89"/>
        <v>Barrage</v>
      </c>
      <c r="HT6" s="68">
        <f>COUNTIF(Builder!$K$20:$N$20,HS6)</f>
        <v>0</v>
      </c>
      <c r="HU6" s="68" t="str">
        <f>IF(HT6=1,Stats!$N21,"")</f>
        <v/>
      </c>
      <c r="HV6" s="68" t="str">
        <f>IF(HT6=1,Stats!$O21,"")</f>
        <v/>
      </c>
      <c r="HW6" s="68" t="str">
        <f>IF(HT6=1,Stats!$P21,"")</f>
        <v/>
      </c>
      <c r="HX6" s="68" t="str">
        <f>IF(HT6=1,Stats!$Q21,"")</f>
        <v/>
      </c>
      <c r="HY6" s="68" t="str">
        <f>IF(HT6=1,Stats!$R21,"")</f>
        <v/>
      </c>
      <c r="HZ6" s="68" t="str">
        <f>IF(HT6=1,Stats!$S21,"")</f>
        <v/>
      </c>
      <c r="IA6" s="68">
        <f t="shared" si="90"/>
        <v>0</v>
      </c>
      <c r="IB6">
        <f t="shared" si="91"/>
        <v>0</v>
      </c>
      <c r="IC6" s="68">
        <f>IF(IB6=0,MAX(IC$2:IC5)+1,0)</f>
        <v>4</v>
      </c>
      <c r="ID6" s="5" t="str">
        <f t="shared" si="92"/>
        <v>Barrage</v>
      </c>
      <c r="IE6" s="5" t="str">
        <f t="shared" si="93"/>
        <v>Barrage</v>
      </c>
      <c r="IG6">
        <f t="shared" si="94"/>
        <v>4</v>
      </c>
      <c r="IH6" s="5" t="str">
        <f t="shared" si="95"/>
        <v>Barrage</v>
      </c>
      <c r="II6" s="68">
        <f>COUNTIF(Builder!$K$21:$N$21,IH6)</f>
        <v>0</v>
      </c>
      <c r="IJ6" s="68" t="str">
        <f>IF(II6=1,Stats!$N21,"")</f>
        <v/>
      </c>
      <c r="IK6" s="68" t="str">
        <f>IF(II6=1,Stats!$O21,"")</f>
        <v/>
      </c>
      <c r="IL6" s="68" t="str">
        <f>IF(II6=1,Stats!$P21,"")</f>
        <v/>
      </c>
      <c r="IM6" s="68" t="str">
        <f>IF(II6=1,Stats!$Q21,"")</f>
        <v/>
      </c>
      <c r="IN6" s="68" t="str">
        <f>IF(II6=1,Stats!$R21,"")</f>
        <v/>
      </c>
      <c r="IO6" s="68" t="str">
        <f>IF(II6=1,Stats!$S21,"")</f>
        <v/>
      </c>
      <c r="IP6" s="68">
        <f t="shared" si="96"/>
        <v>0</v>
      </c>
      <c r="IQ6">
        <f t="shared" si="97"/>
        <v>0</v>
      </c>
      <c r="IR6" s="68">
        <f>IF(IQ6=0,MAX(IR$2:IR5)+1,0)</f>
        <v>4</v>
      </c>
      <c r="IS6" s="5" t="str">
        <f t="shared" si="98"/>
        <v>Barrage</v>
      </c>
      <c r="IT6" s="5" t="str">
        <f t="shared" si="99"/>
        <v>Barrage</v>
      </c>
      <c r="IV6">
        <f t="shared" si="100"/>
        <v>4</v>
      </c>
      <c r="IW6" s="5" t="str">
        <f t="shared" si="101"/>
        <v>Barrage</v>
      </c>
      <c r="IX6" s="68">
        <f>COUNTIF(Builder!$K$22:$N$22,IW6)</f>
        <v>0</v>
      </c>
      <c r="IY6" s="68" t="str">
        <f>IF(IX6=1,Stats!$N21,"")</f>
        <v/>
      </c>
      <c r="IZ6" s="68" t="str">
        <f>IF(IX6=1,Stats!$O21,"")</f>
        <v/>
      </c>
      <c r="JA6" s="68" t="str">
        <f>IF(IX6=1,Stats!$P21,"")</f>
        <v/>
      </c>
      <c r="JB6" s="68" t="str">
        <f>IF(IX6=1,Stats!$Q21,"")</f>
        <v/>
      </c>
      <c r="JC6" s="68" t="str">
        <f>IF(IX6=1,Stats!$R21,"")</f>
        <v/>
      </c>
      <c r="JD6" s="68" t="str">
        <f>IF(IX6=1,Stats!$S21,"")</f>
        <v/>
      </c>
      <c r="JE6" s="68">
        <f t="shared" si="102"/>
        <v>0</v>
      </c>
      <c r="JF6">
        <f t="shared" si="103"/>
        <v>0</v>
      </c>
      <c r="JG6" s="68">
        <f>IF(JF6=0,MAX(JG$2:JG5)+1,0)</f>
        <v>4</v>
      </c>
      <c r="JH6" s="5" t="str">
        <f t="shared" si="104"/>
        <v>Barrage</v>
      </c>
      <c r="JI6" s="5" t="str">
        <f t="shared" si="105"/>
        <v>Barrage</v>
      </c>
      <c r="JK6">
        <f t="shared" si="106"/>
        <v>4</v>
      </c>
      <c r="JL6" s="5" t="str">
        <f t="shared" si="107"/>
        <v>Barrage</v>
      </c>
      <c r="JM6" s="68">
        <f>COUNTIF(Builder!$K$23:$N$23,JL6)</f>
        <v>0</v>
      </c>
      <c r="JN6" s="68" t="str">
        <f>IF(JM6=1,Stats!$N21,"")</f>
        <v/>
      </c>
      <c r="JO6" s="68" t="str">
        <f>IF(JM6=1,Stats!$O21,"")</f>
        <v/>
      </c>
      <c r="JP6" s="68" t="str">
        <f>IF(JM6=1,Stats!$P21,"")</f>
        <v/>
      </c>
      <c r="JQ6" s="68" t="str">
        <f>IF(JM6=1,Stats!$Q21,"")</f>
        <v/>
      </c>
      <c r="JR6" s="68" t="str">
        <f>IF(JM6=1,Stats!$R21,"")</f>
        <v/>
      </c>
      <c r="JS6" s="68" t="str">
        <f>IF(JM6=1,Stats!$S21,"")</f>
        <v/>
      </c>
      <c r="JT6" s="68">
        <f t="shared" si="108"/>
        <v>0</v>
      </c>
      <c r="JU6">
        <f t="shared" si="109"/>
        <v>0</v>
      </c>
      <c r="JV6" s="68">
        <f>IF(JU6=0,MAX(JV$2:JV5)+1,0)</f>
        <v>4</v>
      </c>
      <c r="JW6" s="5" t="str">
        <f t="shared" si="110"/>
        <v>Barrage</v>
      </c>
      <c r="JX6" s="5" t="str">
        <f t="shared" si="111"/>
        <v>Barrage</v>
      </c>
      <c r="JZ6">
        <f t="shared" si="112"/>
        <v>4</v>
      </c>
      <c r="KA6" s="5" t="str">
        <f t="shared" si="113"/>
        <v>Barrage</v>
      </c>
      <c r="KB6" s="68">
        <f>COUNTIF(Builder!$K$24:$N$24,KA6)</f>
        <v>0</v>
      </c>
      <c r="KC6" s="68" t="str">
        <f>IF(KB6=1,Stats!$N21,"")</f>
        <v/>
      </c>
      <c r="KD6" s="68" t="str">
        <f>IF(KB6=1,Stats!$O21,"")</f>
        <v/>
      </c>
      <c r="KE6" s="68" t="str">
        <f>IF(KB6=1,Stats!$P21,"")</f>
        <v/>
      </c>
      <c r="KF6" s="68" t="str">
        <f>IF(KB6=1,Stats!$Q21,"")</f>
        <v/>
      </c>
      <c r="KG6" s="68" t="str">
        <f>IF(KB6=1,Stats!$R21,"")</f>
        <v/>
      </c>
      <c r="KH6" s="68" t="str">
        <f>IF(KB6=1,Stats!$S21,"")</f>
        <v/>
      </c>
      <c r="KI6" s="68">
        <f t="shared" si="114"/>
        <v>0</v>
      </c>
      <c r="KJ6">
        <f t="shared" si="115"/>
        <v>0</v>
      </c>
      <c r="KK6" s="68">
        <f>IF(KJ6=0,MAX(KK$2:KK5)+1,0)</f>
        <v>4</v>
      </c>
      <c r="KL6" s="5" t="str">
        <f t="shared" si="116"/>
        <v>Barrage</v>
      </c>
      <c r="KM6" s="5" t="str">
        <f t="shared" si="117"/>
        <v>Barrage</v>
      </c>
      <c r="KO6">
        <f t="shared" si="118"/>
        <v>4</v>
      </c>
      <c r="KP6" s="5" t="str">
        <f t="shared" si="119"/>
        <v>Barrage</v>
      </c>
      <c r="KQ6" s="68">
        <f>COUNTIF(Builder!$K$25:$N$25,KP6)</f>
        <v>0</v>
      </c>
      <c r="KR6" s="68" t="str">
        <f>IF(KQ6=1,Stats!$N21,"")</f>
        <v/>
      </c>
      <c r="KS6" s="68" t="str">
        <f>IF(KQ6=1,Stats!$O21,"")</f>
        <v/>
      </c>
      <c r="KT6" s="68" t="str">
        <f>IF(KQ6=1,Stats!$P21,"")</f>
        <v/>
      </c>
      <c r="KU6" s="68" t="str">
        <f>IF(KQ6=1,Stats!$Q21,"")</f>
        <v/>
      </c>
      <c r="KV6" s="68" t="str">
        <f>IF(KQ6=1,Stats!$R21,"")</f>
        <v/>
      </c>
      <c r="KW6" s="68" t="str">
        <f>IF(KQ6=1,Stats!$S21,"")</f>
        <v/>
      </c>
      <c r="KX6" s="68">
        <f t="shared" si="120"/>
        <v>0</v>
      </c>
      <c r="KY6">
        <f t="shared" si="121"/>
        <v>0</v>
      </c>
      <c r="KZ6" s="68">
        <f>IF(KY6=0,MAX(KZ$2:KZ5)+1,0)</f>
        <v>4</v>
      </c>
      <c r="LA6" s="5" t="str">
        <f t="shared" si="122"/>
        <v>Barrage</v>
      </c>
      <c r="LB6" s="5" t="str">
        <f t="shared" si="123"/>
        <v>Barrage</v>
      </c>
      <c r="LD6">
        <f t="shared" si="124"/>
        <v>4</v>
      </c>
      <c r="LE6" s="5" t="str">
        <f t="shared" si="125"/>
        <v>Barrage</v>
      </c>
      <c r="LF6" s="68">
        <f>COUNTIF(Builder!$K$26:$N$26,LE6)</f>
        <v>0</v>
      </c>
      <c r="LG6" s="68" t="str">
        <f>IF(LF6=1,Stats!$N21,"")</f>
        <v/>
      </c>
      <c r="LH6" s="68" t="str">
        <f>IF(LF6=1,Stats!$O21,"")</f>
        <v/>
      </c>
      <c r="LI6" s="68" t="str">
        <f>IF(LF6=1,Stats!$P21,"")</f>
        <v/>
      </c>
      <c r="LJ6" s="68" t="str">
        <f>IF(LF6=1,Stats!$Q21,"")</f>
        <v/>
      </c>
      <c r="LK6" s="68" t="str">
        <f>IF(LF6=1,Stats!$R21,"")</f>
        <v/>
      </c>
      <c r="LL6" s="68" t="str">
        <f>IF(LF6=1,Stats!$S21,"")</f>
        <v/>
      </c>
      <c r="LM6" s="68">
        <f t="shared" si="126"/>
        <v>0</v>
      </c>
      <c r="LN6">
        <f t="shared" si="127"/>
        <v>0</v>
      </c>
      <c r="LO6" s="68">
        <f>IF(LN6=0,MAX(LO$2:LO5)+1,0)</f>
        <v>4</v>
      </c>
      <c r="LP6" s="5" t="str">
        <f t="shared" si="128"/>
        <v>Barrage</v>
      </c>
      <c r="LQ6" s="5" t="str">
        <f t="shared" si="129"/>
        <v>Barrage</v>
      </c>
      <c r="LS6">
        <f t="shared" si="130"/>
        <v>4</v>
      </c>
      <c r="LT6" s="5" t="str">
        <f t="shared" si="131"/>
        <v>Barrage</v>
      </c>
      <c r="LU6" s="68">
        <f>COUNTIF(Builder!$K$27:$N$27,LT6)</f>
        <v>0</v>
      </c>
      <c r="LV6" s="68" t="str">
        <f>IF(LU6=1,Stats!$N21,"")</f>
        <v/>
      </c>
      <c r="LW6" s="68" t="str">
        <f>IF(LU6=1,Stats!$O21,"")</f>
        <v/>
      </c>
      <c r="LX6" s="68" t="str">
        <f>IF(LU6=1,Stats!$P21,"")</f>
        <v/>
      </c>
      <c r="LY6" s="68" t="str">
        <f>IF(LU6=1,Stats!$Q21,"")</f>
        <v/>
      </c>
      <c r="LZ6" s="68" t="str">
        <f>IF(LU6=1,Stats!$R21,"")</f>
        <v/>
      </c>
      <c r="MA6" s="68" t="str">
        <f>IF(LU6=1,Stats!$S21,"")</f>
        <v/>
      </c>
      <c r="MB6" s="68">
        <f t="shared" si="132"/>
        <v>0</v>
      </c>
      <c r="MC6">
        <f t="shared" si="133"/>
        <v>0</v>
      </c>
      <c r="MD6" s="68">
        <f>IF(MC6=0,MAX(MD$2:MD5)+1,0)</f>
        <v>4</v>
      </c>
      <c r="ME6" s="5" t="str">
        <f t="shared" si="134"/>
        <v>Barrage</v>
      </c>
      <c r="MF6" s="5" t="str">
        <f t="shared" si="135"/>
        <v>Barrage</v>
      </c>
      <c r="MH6">
        <f t="shared" si="136"/>
        <v>4</v>
      </c>
      <c r="MI6" s="5" t="str">
        <f t="shared" si="137"/>
        <v>Barrage</v>
      </c>
      <c r="MJ6" s="68">
        <f>COUNTIF(Builder!$K$28:$N$28,MI6)</f>
        <v>0</v>
      </c>
      <c r="MK6" s="68" t="str">
        <f>IF(MJ6=1,Stats!$N21,"")</f>
        <v/>
      </c>
      <c r="ML6" s="68" t="str">
        <f>IF(MJ6=1,Stats!$O21,"")</f>
        <v/>
      </c>
      <c r="MM6" s="68" t="str">
        <f>IF(MJ6=1,Stats!$P21,"")</f>
        <v/>
      </c>
      <c r="MN6" s="68" t="str">
        <f>IF(MJ6=1,Stats!$Q21,"")</f>
        <v/>
      </c>
      <c r="MO6" s="68" t="str">
        <f>IF(MJ6=1,Stats!$R21,"")</f>
        <v/>
      </c>
      <c r="MP6" s="68" t="str">
        <f>IF(MJ6=1,Stats!$S21,"")</f>
        <v/>
      </c>
      <c r="MQ6" s="68">
        <f t="shared" si="138"/>
        <v>0</v>
      </c>
      <c r="MR6">
        <f t="shared" si="139"/>
        <v>0</v>
      </c>
      <c r="MS6" s="68">
        <f>IF(MR6=0,MAX(MS$2:MS5)+1,0)</f>
        <v>4</v>
      </c>
      <c r="MT6" s="5" t="str">
        <f t="shared" si="140"/>
        <v>Barrage</v>
      </c>
      <c r="MU6" s="5" t="str">
        <f t="shared" si="141"/>
        <v>Barrage</v>
      </c>
      <c r="MW6">
        <f t="shared" si="142"/>
        <v>4</v>
      </c>
      <c r="MX6" s="5" t="str">
        <f t="shared" si="143"/>
        <v>Barrage</v>
      </c>
      <c r="MY6" s="68">
        <f>COUNTIF(Builder!$K$29:$N$29,MX6)</f>
        <v>0</v>
      </c>
      <c r="MZ6" s="68" t="str">
        <f>IF(MY6=1,Stats!$N21,"")</f>
        <v/>
      </c>
      <c r="NA6" s="68" t="str">
        <f>IF(MY6=1,Stats!$O21,"")</f>
        <v/>
      </c>
      <c r="NB6" s="68" t="str">
        <f>IF(MY6=1,Stats!$P21,"")</f>
        <v/>
      </c>
      <c r="NC6" s="68" t="str">
        <f>IF(MY6=1,Stats!$Q21,"")</f>
        <v/>
      </c>
      <c r="ND6" s="68" t="str">
        <f>IF(MY6=1,Stats!$R21,"")</f>
        <v/>
      </c>
      <c r="NE6" s="68" t="str">
        <f>IF(MY6=1,Stats!$S21,"")</f>
        <v/>
      </c>
      <c r="NF6" s="68">
        <f t="shared" si="144"/>
        <v>0</v>
      </c>
      <c r="NG6">
        <f t="shared" si="145"/>
        <v>0</v>
      </c>
      <c r="NH6" s="68">
        <f>IF(NG6=0,MAX(NH$2:NH5)+1,0)</f>
        <v>4</v>
      </c>
      <c r="NI6" s="5" t="str">
        <f t="shared" si="146"/>
        <v>Barrage</v>
      </c>
      <c r="NJ6" s="5" t="str">
        <f t="shared" si="147"/>
        <v>Barrage</v>
      </c>
    </row>
    <row r="7" spans="1:374" ht="15" x14ac:dyDescent="0.3">
      <c r="A7">
        <v>5</v>
      </c>
      <c r="B7" s="5" t="s">
        <v>204</v>
      </c>
      <c r="C7" s="68">
        <f>COUNTIF(Builder!$K$5:$N$5,B7)</f>
        <v>0</v>
      </c>
      <c r="D7" s="68" t="str">
        <f>IF(C7=1,Stats!$N22,"")</f>
        <v/>
      </c>
      <c r="E7" s="68" t="str">
        <f>IF(C7=1,Stats!$O22,"")</f>
        <v/>
      </c>
      <c r="F7" s="68" t="str">
        <f>IF(C7=1,Stats!$P22,"")</f>
        <v/>
      </c>
      <c r="G7" s="68" t="str">
        <f>IF(C7=1,Stats!$Q22,"")</f>
        <v/>
      </c>
      <c r="H7" s="68" t="str">
        <f>IF(C7=1,Stats!$R22,"")</f>
        <v/>
      </c>
      <c r="I7" s="68" t="str">
        <f>IF(C7=1,Stats!$S22,"")</f>
        <v/>
      </c>
      <c r="J7" s="68">
        <f t="shared" si="0"/>
        <v>0</v>
      </c>
      <c r="K7">
        <f t="shared" si="1"/>
        <v>0</v>
      </c>
      <c r="L7" s="68">
        <f>IF(K7=0,MAX($L$2:L6)+1,0)</f>
        <v>5</v>
      </c>
      <c r="M7" s="5" t="str">
        <f t="shared" si="2"/>
        <v>Belligerent</v>
      </c>
      <c r="N7" s="5" t="str">
        <f t="shared" si="3"/>
        <v>Belligerent</v>
      </c>
      <c r="O7" s="5"/>
      <c r="P7">
        <f t="shared" si="4"/>
        <v>5</v>
      </c>
      <c r="Q7" s="5" t="str">
        <f t="shared" si="5"/>
        <v>Belligerent</v>
      </c>
      <c r="R7" s="68">
        <f>COUNTIF(Builder!$K$6:$N$6,Q7)</f>
        <v>0</v>
      </c>
      <c r="S7" s="68" t="str">
        <f>IF(R7=1,Stats!$N22,"")</f>
        <v/>
      </c>
      <c r="T7" s="68" t="str">
        <f>IF(R7=1,Stats!$O22,"")</f>
        <v/>
      </c>
      <c r="U7" s="68" t="str">
        <f>IF(R7=1,Stats!$P22,"")</f>
        <v/>
      </c>
      <c r="V7" s="68" t="str">
        <f>IF(R7=1,Stats!$Q22,"")</f>
        <v/>
      </c>
      <c r="W7" s="68" t="str">
        <f>IF(R7=1,Stats!$R22,"")</f>
        <v/>
      </c>
      <c r="X7" s="68" t="str">
        <f>IF(R7=1,Stats!$S22,"")</f>
        <v/>
      </c>
      <c r="Y7" s="68">
        <f t="shared" si="6"/>
        <v>0</v>
      </c>
      <c r="Z7">
        <f t="shared" si="7"/>
        <v>0</v>
      </c>
      <c r="AA7" s="68">
        <f>IF(Z7=0,MAX($AA$2:AA6)+1,0)</f>
        <v>5</v>
      </c>
      <c r="AB7" s="5" t="str">
        <f t="shared" si="8"/>
        <v>Belligerent</v>
      </c>
      <c r="AC7" s="5" t="str">
        <f t="shared" si="9"/>
        <v>Belligerent</v>
      </c>
      <c r="AD7" s="5"/>
      <c r="AE7">
        <f t="shared" si="10"/>
        <v>5</v>
      </c>
      <c r="AF7" s="5" t="str">
        <f t="shared" si="11"/>
        <v>Belligerent</v>
      </c>
      <c r="AG7" s="68">
        <f>COUNTIF(Builder!$K$7:$N$7,AF7)</f>
        <v>0</v>
      </c>
      <c r="AH7" s="68" t="str">
        <f>IF(AG7=1,Stats!$N22,"")</f>
        <v/>
      </c>
      <c r="AI7" s="68" t="str">
        <f>IF(AG7=1,Stats!$O22,"")</f>
        <v/>
      </c>
      <c r="AJ7" s="68" t="str">
        <f>IF(AG7=1,Stats!$P22,"")</f>
        <v/>
      </c>
      <c r="AK7" s="68" t="str">
        <f>IF(AG7=1,Stats!$Q22,"")</f>
        <v/>
      </c>
      <c r="AL7" s="68" t="str">
        <f>IF(AG7=1,Stats!$R22,"")</f>
        <v/>
      </c>
      <c r="AM7" s="68" t="str">
        <f>IF(AG7=1,Stats!$S22,"")</f>
        <v/>
      </c>
      <c r="AN7" s="68">
        <f t="shared" si="12"/>
        <v>0</v>
      </c>
      <c r="AO7">
        <f t="shared" si="13"/>
        <v>0</v>
      </c>
      <c r="AP7" s="68">
        <f>IF(AO7=0,MAX($AP$2:AP6)+1,0)</f>
        <v>5</v>
      </c>
      <c r="AQ7" s="5" t="str">
        <f t="shared" si="14"/>
        <v>Belligerent</v>
      </c>
      <c r="AR7" s="5" t="str">
        <f t="shared" si="15"/>
        <v>Belligerent</v>
      </c>
      <c r="AS7" s="5"/>
      <c r="AT7">
        <f t="shared" si="16"/>
        <v>5</v>
      </c>
      <c r="AU7" s="5" t="str">
        <f t="shared" si="17"/>
        <v>Belligerent</v>
      </c>
      <c r="AV7" s="68">
        <f>COUNTIF(Builder!$K$8:$N$8,AU7)</f>
        <v>0</v>
      </c>
      <c r="AW7" s="68" t="str">
        <f>IF(AV7=1,Stats!$N22,"")</f>
        <v/>
      </c>
      <c r="AX7" s="68" t="str">
        <f>IF(AV7=1,Stats!$O22,"")</f>
        <v/>
      </c>
      <c r="AY7" s="68" t="str">
        <f>IF(AV7=1,Stats!$P22,"")</f>
        <v/>
      </c>
      <c r="AZ7" s="68" t="str">
        <f>IF(AV7=1,Stats!$Q22,"")</f>
        <v/>
      </c>
      <c r="BA7" s="68" t="str">
        <f>IF(AV7=1,Stats!$R22,"")</f>
        <v/>
      </c>
      <c r="BB7" s="68" t="str">
        <f>IF(AV7=1,Stats!$S22,"")</f>
        <v/>
      </c>
      <c r="BC7" s="68">
        <f t="shared" si="18"/>
        <v>0</v>
      </c>
      <c r="BD7">
        <f t="shared" si="19"/>
        <v>0</v>
      </c>
      <c r="BE7" s="68">
        <f>IF(BD7=0,MAX($BE$2:BE6)+1,0)</f>
        <v>5</v>
      </c>
      <c r="BF7" s="5" t="str">
        <f t="shared" si="20"/>
        <v>Belligerent</v>
      </c>
      <c r="BG7" s="5" t="str">
        <f t="shared" si="21"/>
        <v>Belligerent</v>
      </c>
      <c r="BH7" s="5"/>
      <c r="BI7">
        <f t="shared" si="22"/>
        <v>5</v>
      </c>
      <c r="BJ7" s="5" t="str">
        <f t="shared" si="23"/>
        <v>Belligerent</v>
      </c>
      <c r="BK7" s="68">
        <f>COUNTIF(Builder!$K$9:$N$9,BJ7)</f>
        <v>0</v>
      </c>
      <c r="BL7" s="68" t="str">
        <f>IF(BK7=1,Stats!$N22,"")</f>
        <v/>
      </c>
      <c r="BM7" s="68" t="str">
        <f>IF(BK7=1,Stats!$O22,"")</f>
        <v/>
      </c>
      <c r="BN7" s="68" t="str">
        <f>IF(BK7=1,Stats!$P22,"")</f>
        <v/>
      </c>
      <c r="BO7" s="68" t="str">
        <f>IF(BK7=1,Stats!$Q22,"")</f>
        <v/>
      </c>
      <c r="BP7" s="68" t="str">
        <f>IF(BK7=1,Stats!$R22,"")</f>
        <v/>
      </c>
      <c r="BQ7" s="68" t="str">
        <f>IF(BK7=1,Stats!$S22,"")</f>
        <v/>
      </c>
      <c r="BR7" s="68">
        <f t="shared" si="24"/>
        <v>0</v>
      </c>
      <c r="BS7">
        <f t="shared" si="25"/>
        <v>0</v>
      </c>
      <c r="BT7" s="68">
        <f>IF(BS7=0,MAX(BT$2:BT6)+1,0)</f>
        <v>5</v>
      </c>
      <c r="BU7" s="5" t="str">
        <f t="shared" si="26"/>
        <v>Belligerent</v>
      </c>
      <c r="BV7" s="5" t="str">
        <f t="shared" si="27"/>
        <v>Belligerent</v>
      </c>
      <c r="BX7">
        <f t="shared" si="28"/>
        <v>5</v>
      </c>
      <c r="BY7" s="5" t="str">
        <f t="shared" si="29"/>
        <v>Belligerent</v>
      </c>
      <c r="BZ7" s="68">
        <f>COUNTIF(Builder!$K$10:$N$10,BY7)</f>
        <v>0</v>
      </c>
      <c r="CA7" s="68" t="str">
        <f>IF(BZ7=1,Stats!$N22,"")</f>
        <v/>
      </c>
      <c r="CB7" s="68" t="str">
        <f>IF(BZ7=1,Stats!$O22,"")</f>
        <v/>
      </c>
      <c r="CC7" s="68" t="str">
        <f>IF(BZ7=1,Stats!$P22,"")</f>
        <v/>
      </c>
      <c r="CD7" s="68" t="str">
        <f>IF(BZ7=1,Stats!$Q22,"")</f>
        <v/>
      </c>
      <c r="CE7" s="68" t="str">
        <f>IF(BZ7=1,Stats!$R22,"")</f>
        <v/>
      </c>
      <c r="CF7" s="68" t="str">
        <f>IF(BZ7=1,Stats!$S22,"")</f>
        <v/>
      </c>
      <c r="CG7" s="68">
        <f t="shared" si="30"/>
        <v>0</v>
      </c>
      <c r="CH7">
        <f t="shared" si="31"/>
        <v>0</v>
      </c>
      <c r="CI7" s="68">
        <f>IF(CH7=0,MAX(CI$2:CI6)+1,0)</f>
        <v>5</v>
      </c>
      <c r="CJ7" s="5" t="str">
        <f t="shared" si="32"/>
        <v>Belligerent</v>
      </c>
      <c r="CK7" s="5" t="str">
        <f t="shared" si="33"/>
        <v>Belligerent</v>
      </c>
      <c r="CM7">
        <f t="shared" si="34"/>
        <v>5</v>
      </c>
      <c r="CN7" s="5" t="str">
        <f t="shared" si="35"/>
        <v>Belligerent</v>
      </c>
      <c r="CO7" s="68">
        <f>COUNTIF(Builder!$K$11:$N$11,CN7)</f>
        <v>0</v>
      </c>
      <c r="CP7" s="68" t="str">
        <f>IF(CO7=1,Stats!$N22,"")</f>
        <v/>
      </c>
      <c r="CQ7" s="68" t="str">
        <f>IF(CO7=1,Stats!$O22,"")</f>
        <v/>
      </c>
      <c r="CR7" s="68" t="str">
        <f>IF(CO7=1,Stats!$P22,"")</f>
        <v/>
      </c>
      <c r="CS7" s="68" t="str">
        <f>IF(CO7=1,Stats!$Q22,"")</f>
        <v/>
      </c>
      <c r="CT7" s="68" t="str">
        <f>IF(CO7=1,Stats!$R22,"")</f>
        <v/>
      </c>
      <c r="CU7" s="68" t="str">
        <f>IF(CO7=1,Stats!$S22,"")</f>
        <v/>
      </c>
      <c r="CV7" s="68">
        <f t="shared" si="36"/>
        <v>0</v>
      </c>
      <c r="CW7">
        <f t="shared" si="37"/>
        <v>0</v>
      </c>
      <c r="CX7" s="68">
        <f>IF(CW7=0,MAX(CX$2:CX6)+1,0)</f>
        <v>5</v>
      </c>
      <c r="CY7" s="5" t="str">
        <f t="shared" si="38"/>
        <v>Belligerent</v>
      </c>
      <c r="CZ7" s="5" t="str">
        <f t="shared" si="39"/>
        <v>Belligerent</v>
      </c>
      <c r="DB7">
        <f t="shared" si="40"/>
        <v>5</v>
      </c>
      <c r="DC7" s="5" t="str">
        <f t="shared" si="41"/>
        <v>Belligerent</v>
      </c>
      <c r="DD7" s="68">
        <f>COUNTIF(Builder!$K$12:$N$12,DC7)</f>
        <v>0</v>
      </c>
      <c r="DE7" s="68" t="str">
        <f>IF(DD7=1,Stats!$N22,"")</f>
        <v/>
      </c>
      <c r="DF7" s="68" t="str">
        <f>IF(DD7=1,Stats!$O22,"")</f>
        <v/>
      </c>
      <c r="DG7" s="68" t="str">
        <f>IF(DD7=1,Stats!$P22,"")</f>
        <v/>
      </c>
      <c r="DH7" s="68" t="str">
        <f>IF(DD7=1,Stats!$Q22,"")</f>
        <v/>
      </c>
      <c r="DI7" s="68" t="str">
        <f>IF(DD7=1,Stats!$R22,"")</f>
        <v/>
      </c>
      <c r="DJ7" s="68" t="str">
        <f>IF(DD7=1,Stats!$S22,"")</f>
        <v/>
      </c>
      <c r="DK7" s="68">
        <f t="shared" si="42"/>
        <v>0</v>
      </c>
      <c r="DL7">
        <f t="shared" si="43"/>
        <v>0</v>
      </c>
      <c r="DM7" s="68">
        <f>IF(DL7=0,MAX(DM$2:DM6)+1,0)</f>
        <v>5</v>
      </c>
      <c r="DN7" s="5" t="str">
        <f t="shared" si="44"/>
        <v>Belligerent</v>
      </c>
      <c r="DO7" s="5" t="str">
        <f t="shared" si="45"/>
        <v>Belligerent</v>
      </c>
      <c r="DQ7">
        <f t="shared" si="46"/>
        <v>5</v>
      </c>
      <c r="DR7" s="5" t="str">
        <f t="shared" si="47"/>
        <v>Belligerent</v>
      </c>
      <c r="DS7" s="68">
        <f>COUNTIF(Builder!$K$13:$N$13,DR7)</f>
        <v>0</v>
      </c>
      <c r="DT7" s="68" t="str">
        <f>IF(DS7=1,Stats!$N22,"")</f>
        <v/>
      </c>
      <c r="DU7" s="68" t="str">
        <f>IF(DS7=1,Stats!$O22,"")</f>
        <v/>
      </c>
      <c r="DV7" s="68" t="str">
        <f>IF(DS7=1,Stats!$P22,"")</f>
        <v/>
      </c>
      <c r="DW7" s="68" t="str">
        <f>IF(DS7=1,Stats!$Q22,"")</f>
        <v/>
      </c>
      <c r="DX7" s="68" t="str">
        <f>IF(DS7=1,Stats!$R22,"")</f>
        <v/>
      </c>
      <c r="DY7" s="68" t="str">
        <f>IF(DS7=1,Stats!$S22,"")</f>
        <v/>
      </c>
      <c r="DZ7" s="68">
        <f t="shared" si="48"/>
        <v>0</v>
      </c>
      <c r="EA7">
        <f t="shared" si="49"/>
        <v>0</v>
      </c>
      <c r="EB7" s="68">
        <f>IF(EA7=0,MAX(EB$2:EB6)+1,0)</f>
        <v>5</v>
      </c>
      <c r="EC7" s="5" t="str">
        <f t="shared" si="50"/>
        <v>Belligerent</v>
      </c>
      <c r="ED7" s="5" t="str">
        <f t="shared" si="51"/>
        <v>Belligerent</v>
      </c>
      <c r="EF7">
        <f t="shared" si="52"/>
        <v>5</v>
      </c>
      <c r="EG7" s="5" t="str">
        <f t="shared" si="53"/>
        <v>Belligerent</v>
      </c>
      <c r="EH7" s="68">
        <f>COUNTIF(Builder!$K$14:$N$14,EG7)</f>
        <v>0</v>
      </c>
      <c r="EI7" s="68" t="str">
        <f>IF(EH7=1,Stats!$N22,"")</f>
        <v/>
      </c>
      <c r="EJ7" s="68" t="str">
        <f>IF(EH7=1,Stats!$O22,"")</f>
        <v/>
      </c>
      <c r="EK7" s="68" t="str">
        <f>IF(EH7=1,Stats!$P22,"")</f>
        <v/>
      </c>
      <c r="EL7" s="68" t="str">
        <f>IF(EH7=1,Stats!$Q22,"")</f>
        <v/>
      </c>
      <c r="EM7" s="68" t="str">
        <f>IF(EH7=1,Stats!$R22,"")</f>
        <v/>
      </c>
      <c r="EN7" s="68" t="str">
        <f>IF(EH7=1,Stats!$S22,"")</f>
        <v/>
      </c>
      <c r="EO7" s="68">
        <f t="shared" si="54"/>
        <v>0</v>
      </c>
      <c r="EP7">
        <f t="shared" si="55"/>
        <v>0</v>
      </c>
      <c r="EQ7" s="68">
        <f>IF(EP7=0,MAX(EQ$2:EQ6)+1,0)</f>
        <v>5</v>
      </c>
      <c r="ER7" s="5" t="str">
        <f t="shared" si="56"/>
        <v>Belligerent</v>
      </c>
      <c r="ES7" s="5" t="str">
        <f t="shared" si="57"/>
        <v>Belligerent</v>
      </c>
      <c r="EU7">
        <f t="shared" si="58"/>
        <v>5</v>
      </c>
      <c r="EV7" s="5" t="str">
        <f t="shared" si="59"/>
        <v>Belligerent</v>
      </c>
      <c r="EW7" s="68">
        <f>COUNTIF(Builder!$K$15:$N$15,EV7)</f>
        <v>0</v>
      </c>
      <c r="EX7" s="68" t="str">
        <f>IF(EW7=1,Stats!$N22,"")</f>
        <v/>
      </c>
      <c r="EY7" s="68" t="str">
        <f>IF(EW7=1,Stats!$O22,"")</f>
        <v/>
      </c>
      <c r="EZ7" s="68" t="str">
        <f>IF(EW7=1,Stats!$P22,"")</f>
        <v/>
      </c>
      <c r="FA7" s="68" t="str">
        <f>IF(EW7=1,Stats!$Q22,"")</f>
        <v/>
      </c>
      <c r="FB7" s="68" t="str">
        <f>IF(EW7=1,Stats!$R22,"")</f>
        <v/>
      </c>
      <c r="FC7" s="68" t="str">
        <f>IF(EW7=1,Stats!$S22,"")</f>
        <v/>
      </c>
      <c r="FD7" s="68">
        <f t="shared" si="60"/>
        <v>0</v>
      </c>
      <c r="FE7">
        <f t="shared" si="61"/>
        <v>0</v>
      </c>
      <c r="FF7" s="68">
        <f>IF(FE7=0,MAX(FF$2:FF6)+1,0)</f>
        <v>5</v>
      </c>
      <c r="FG7" s="5" t="str">
        <f t="shared" si="62"/>
        <v>Belligerent</v>
      </c>
      <c r="FH7" s="5" t="str">
        <f t="shared" si="63"/>
        <v>Belligerent</v>
      </c>
      <c r="FJ7">
        <f t="shared" si="64"/>
        <v>5</v>
      </c>
      <c r="FK7" s="5" t="str">
        <f t="shared" si="65"/>
        <v>Belligerent</v>
      </c>
      <c r="FL7" s="68">
        <f>COUNTIF(Builder!$K$16:$N$16,FK7)</f>
        <v>0</v>
      </c>
      <c r="FM7" s="68" t="str">
        <f>IF(FL7=1,Stats!$N22,"")</f>
        <v/>
      </c>
      <c r="FN7" s="68" t="str">
        <f>IF(FL7=1,Stats!$O22,"")</f>
        <v/>
      </c>
      <c r="FO7" s="68" t="str">
        <f>IF(FL7=1,Stats!$P22,"")</f>
        <v/>
      </c>
      <c r="FP7" s="68" t="str">
        <f>IF(FL7=1,Stats!$Q22,"")</f>
        <v/>
      </c>
      <c r="FQ7" s="68" t="str">
        <f>IF(FL7=1,Stats!$R22,"")</f>
        <v/>
      </c>
      <c r="FR7" s="68" t="str">
        <f>IF(FL7=1,Stats!$S22,"")</f>
        <v/>
      </c>
      <c r="FS7" s="68">
        <f t="shared" si="66"/>
        <v>0</v>
      </c>
      <c r="FT7">
        <f t="shared" si="67"/>
        <v>0</v>
      </c>
      <c r="FU7" s="68">
        <f>IF(FT7=0,MAX(FU$2:FU6)+1,0)</f>
        <v>5</v>
      </c>
      <c r="FV7" s="5" t="str">
        <f t="shared" si="68"/>
        <v>Belligerent</v>
      </c>
      <c r="FW7" s="5" t="str">
        <f t="shared" si="69"/>
        <v>Belligerent</v>
      </c>
      <c r="FY7">
        <f t="shared" si="70"/>
        <v>5</v>
      </c>
      <c r="FZ7" s="5" t="str">
        <f t="shared" si="71"/>
        <v>Belligerent</v>
      </c>
      <c r="GA7" s="68">
        <f>COUNTIF(Builder!$K$17:$N$17,FZ7)</f>
        <v>0</v>
      </c>
      <c r="GB7" s="68" t="str">
        <f>IF(GA7=1,Stats!$N22,"")</f>
        <v/>
      </c>
      <c r="GC7" s="68" t="str">
        <f>IF(GA7=1,Stats!$O22,"")</f>
        <v/>
      </c>
      <c r="GD7" s="68" t="str">
        <f>IF(GA7=1,Stats!$P22,"")</f>
        <v/>
      </c>
      <c r="GE7" s="68" t="str">
        <f>IF(GA7=1,Stats!$Q22,"")</f>
        <v/>
      </c>
      <c r="GF7" s="68" t="str">
        <f>IF(GA7=1,Stats!$R22,"")</f>
        <v/>
      </c>
      <c r="GG7" s="68" t="str">
        <f>IF(GA7=1,Stats!$S22,"")</f>
        <v/>
      </c>
      <c r="GH7" s="68">
        <f t="shared" si="72"/>
        <v>0</v>
      </c>
      <c r="GI7">
        <f t="shared" si="73"/>
        <v>0</v>
      </c>
      <c r="GJ7" s="68">
        <f>IF(GI7=0,MAX(GJ$2:GJ6)+1,0)</f>
        <v>5</v>
      </c>
      <c r="GK7" s="5" t="str">
        <f t="shared" si="74"/>
        <v>Belligerent</v>
      </c>
      <c r="GL7" s="5" t="str">
        <f t="shared" si="75"/>
        <v>Belligerent</v>
      </c>
      <c r="GN7">
        <f t="shared" si="76"/>
        <v>5</v>
      </c>
      <c r="GO7" s="5" t="str">
        <f t="shared" si="77"/>
        <v>Belligerent</v>
      </c>
      <c r="GP7" s="68">
        <f>COUNTIF(Builder!$K$18:$N$18,GO7)</f>
        <v>0</v>
      </c>
      <c r="GQ7" s="68" t="str">
        <f>IF(GP7=1,Stats!$N22,"")</f>
        <v/>
      </c>
      <c r="GR7" s="68" t="str">
        <f>IF(GP7=1,Stats!$O22,"")</f>
        <v/>
      </c>
      <c r="GS7" s="68" t="str">
        <f>IF(GP7=1,Stats!$P22,"")</f>
        <v/>
      </c>
      <c r="GT7" s="68" t="str">
        <f>IF(GP7=1,Stats!$Q22,"")</f>
        <v/>
      </c>
      <c r="GU7" s="68" t="str">
        <f>IF(GP7=1,Stats!$R22,"")</f>
        <v/>
      </c>
      <c r="GV7" s="68" t="str">
        <f>IF(GP7=1,Stats!$S22,"")</f>
        <v/>
      </c>
      <c r="GW7" s="68">
        <f t="shared" si="78"/>
        <v>0</v>
      </c>
      <c r="GX7">
        <f t="shared" si="79"/>
        <v>0</v>
      </c>
      <c r="GY7" s="68">
        <f>IF(GX7=0,MAX(GY$2:GY6)+1,0)</f>
        <v>5</v>
      </c>
      <c r="GZ7" s="5" t="str">
        <f t="shared" si="80"/>
        <v>Belligerent</v>
      </c>
      <c r="HA7" s="5" t="str">
        <f t="shared" si="81"/>
        <v>Belligerent</v>
      </c>
      <c r="HC7">
        <f t="shared" si="82"/>
        <v>5</v>
      </c>
      <c r="HD7" s="5" t="str">
        <f t="shared" si="83"/>
        <v>Belligerent</v>
      </c>
      <c r="HE7" s="68">
        <f>COUNTIF(Builder!$K$19:$N$19,HD7)</f>
        <v>0</v>
      </c>
      <c r="HF7" s="68" t="str">
        <f>IF(HE7=1,Stats!$N22,"")</f>
        <v/>
      </c>
      <c r="HG7" s="68" t="str">
        <f>IF(HE7=1,Stats!$O22,"")</f>
        <v/>
      </c>
      <c r="HH7" s="68" t="str">
        <f>IF(HE7=1,Stats!$P22,"")</f>
        <v/>
      </c>
      <c r="HI7" s="68" t="str">
        <f>IF(HE7=1,Stats!$Q22,"")</f>
        <v/>
      </c>
      <c r="HJ7" s="68" t="str">
        <f>IF(HE7=1,Stats!$R22,"")</f>
        <v/>
      </c>
      <c r="HK7" s="68" t="str">
        <f>IF(HE7=1,Stats!$S22,"")</f>
        <v/>
      </c>
      <c r="HL7" s="68">
        <f t="shared" si="84"/>
        <v>0</v>
      </c>
      <c r="HM7">
        <f t="shared" si="85"/>
        <v>0</v>
      </c>
      <c r="HN7" s="68">
        <f>IF(HM7=0,MAX(HN$2:HN6)+1,0)</f>
        <v>5</v>
      </c>
      <c r="HO7" s="5" t="str">
        <f t="shared" si="86"/>
        <v>Belligerent</v>
      </c>
      <c r="HP7" s="5" t="str">
        <f t="shared" si="87"/>
        <v>Belligerent</v>
      </c>
      <c r="HR7">
        <f t="shared" si="88"/>
        <v>5</v>
      </c>
      <c r="HS7" s="5" t="str">
        <f t="shared" si="89"/>
        <v>Belligerent</v>
      </c>
      <c r="HT7" s="68">
        <f>COUNTIF(Builder!$K$20:$N$20,HS7)</f>
        <v>0</v>
      </c>
      <c r="HU7" s="68" t="str">
        <f>IF(HT7=1,Stats!$N22,"")</f>
        <v/>
      </c>
      <c r="HV7" s="68" t="str">
        <f>IF(HT7=1,Stats!$O22,"")</f>
        <v/>
      </c>
      <c r="HW7" s="68" t="str">
        <f>IF(HT7=1,Stats!$P22,"")</f>
        <v/>
      </c>
      <c r="HX7" s="68" t="str">
        <f>IF(HT7=1,Stats!$Q22,"")</f>
        <v/>
      </c>
      <c r="HY7" s="68" t="str">
        <f>IF(HT7=1,Stats!$R22,"")</f>
        <v/>
      </c>
      <c r="HZ7" s="68" t="str">
        <f>IF(HT7=1,Stats!$S22,"")</f>
        <v/>
      </c>
      <c r="IA7" s="68">
        <f t="shared" si="90"/>
        <v>0</v>
      </c>
      <c r="IB7">
        <f t="shared" si="91"/>
        <v>0</v>
      </c>
      <c r="IC7" s="68">
        <f>IF(IB7=0,MAX(IC$2:IC6)+1,0)</f>
        <v>5</v>
      </c>
      <c r="ID7" s="5" t="str">
        <f t="shared" si="92"/>
        <v>Belligerent</v>
      </c>
      <c r="IE7" s="5" t="str">
        <f t="shared" si="93"/>
        <v>Belligerent</v>
      </c>
      <c r="IG7">
        <f t="shared" si="94"/>
        <v>5</v>
      </c>
      <c r="IH7" s="5" t="str">
        <f t="shared" si="95"/>
        <v>Belligerent</v>
      </c>
      <c r="II7" s="68">
        <f>COUNTIF(Builder!$K$21:$N$21,IH7)</f>
        <v>0</v>
      </c>
      <c r="IJ7" s="68" t="str">
        <f>IF(II7=1,Stats!$N22,"")</f>
        <v/>
      </c>
      <c r="IK7" s="68" t="str">
        <f>IF(II7=1,Stats!$O22,"")</f>
        <v/>
      </c>
      <c r="IL7" s="68" t="str">
        <f>IF(II7=1,Stats!$P22,"")</f>
        <v/>
      </c>
      <c r="IM7" s="68" t="str">
        <f>IF(II7=1,Stats!$Q22,"")</f>
        <v/>
      </c>
      <c r="IN7" s="68" t="str">
        <f>IF(II7=1,Stats!$R22,"")</f>
        <v/>
      </c>
      <c r="IO7" s="68" t="str">
        <f>IF(II7=1,Stats!$S22,"")</f>
        <v/>
      </c>
      <c r="IP7" s="68">
        <f t="shared" si="96"/>
        <v>0</v>
      </c>
      <c r="IQ7">
        <f t="shared" si="97"/>
        <v>0</v>
      </c>
      <c r="IR7" s="68">
        <f>IF(IQ7=0,MAX(IR$2:IR6)+1,0)</f>
        <v>5</v>
      </c>
      <c r="IS7" s="5" t="str">
        <f t="shared" si="98"/>
        <v>Belligerent</v>
      </c>
      <c r="IT7" s="5" t="str">
        <f t="shared" si="99"/>
        <v>Belligerent</v>
      </c>
      <c r="IV7">
        <f t="shared" si="100"/>
        <v>5</v>
      </c>
      <c r="IW7" s="5" t="str">
        <f t="shared" si="101"/>
        <v>Belligerent</v>
      </c>
      <c r="IX7" s="68">
        <f>COUNTIF(Builder!$K$22:$N$22,IW7)</f>
        <v>0</v>
      </c>
      <c r="IY7" s="68" t="str">
        <f>IF(IX7=1,Stats!$N22,"")</f>
        <v/>
      </c>
      <c r="IZ7" s="68" t="str">
        <f>IF(IX7=1,Stats!$O22,"")</f>
        <v/>
      </c>
      <c r="JA7" s="68" t="str">
        <f>IF(IX7=1,Stats!$P22,"")</f>
        <v/>
      </c>
      <c r="JB7" s="68" t="str">
        <f>IF(IX7=1,Stats!$Q22,"")</f>
        <v/>
      </c>
      <c r="JC7" s="68" t="str">
        <f>IF(IX7=1,Stats!$R22,"")</f>
        <v/>
      </c>
      <c r="JD7" s="68" t="str">
        <f>IF(IX7=1,Stats!$S22,"")</f>
        <v/>
      </c>
      <c r="JE7" s="68">
        <f t="shared" si="102"/>
        <v>0</v>
      </c>
      <c r="JF7">
        <f t="shared" si="103"/>
        <v>0</v>
      </c>
      <c r="JG7" s="68">
        <f>IF(JF7=0,MAX(JG$2:JG6)+1,0)</f>
        <v>5</v>
      </c>
      <c r="JH7" s="5" t="str">
        <f t="shared" si="104"/>
        <v>Belligerent</v>
      </c>
      <c r="JI7" s="5" t="str">
        <f t="shared" si="105"/>
        <v>Belligerent</v>
      </c>
      <c r="JK7">
        <f t="shared" si="106"/>
        <v>5</v>
      </c>
      <c r="JL7" s="5" t="str">
        <f t="shared" si="107"/>
        <v>Belligerent</v>
      </c>
      <c r="JM7" s="68">
        <f>COUNTIF(Builder!$K$23:$N$23,JL7)</f>
        <v>0</v>
      </c>
      <c r="JN7" s="68" t="str">
        <f>IF(JM7=1,Stats!$N22,"")</f>
        <v/>
      </c>
      <c r="JO7" s="68" t="str">
        <f>IF(JM7=1,Stats!$O22,"")</f>
        <v/>
      </c>
      <c r="JP7" s="68" t="str">
        <f>IF(JM7=1,Stats!$P22,"")</f>
        <v/>
      </c>
      <c r="JQ7" s="68" t="str">
        <f>IF(JM7=1,Stats!$Q22,"")</f>
        <v/>
      </c>
      <c r="JR7" s="68" t="str">
        <f>IF(JM7=1,Stats!$R22,"")</f>
        <v/>
      </c>
      <c r="JS7" s="68" t="str">
        <f>IF(JM7=1,Stats!$S22,"")</f>
        <v/>
      </c>
      <c r="JT7" s="68">
        <f t="shared" si="108"/>
        <v>0</v>
      </c>
      <c r="JU7">
        <f t="shared" si="109"/>
        <v>0</v>
      </c>
      <c r="JV7" s="68">
        <f>IF(JU7=0,MAX(JV$2:JV6)+1,0)</f>
        <v>5</v>
      </c>
      <c r="JW7" s="5" t="str">
        <f t="shared" si="110"/>
        <v>Belligerent</v>
      </c>
      <c r="JX7" s="5" t="str">
        <f t="shared" si="111"/>
        <v>Belligerent</v>
      </c>
      <c r="JZ7">
        <f t="shared" si="112"/>
        <v>5</v>
      </c>
      <c r="KA7" s="5" t="str">
        <f t="shared" si="113"/>
        <v>Belligerent</v>
      </c>
      <c r="KB7" s="68">
        <f>COUNTIF(Builder!$K$24:$N$24,KA7)</f>
        <v>0</v>
      </c>
      <c r="KC7" s="68" t="str">
        <f>IF(KB7=1,Stats!$N22,"")</f>
        <v/>
      </c>
      <c r="KD7" s="68" t="str">
        <f>IF(KB7=1,Stats!$O22,"")</f>
        <v/>
      </c>
      <c r="KE7" s="68" t="str">
        <f>IF(KB7=1,Stats!$P22,"")</f>
        <v/>
      </c>
      <c r="KF7" s="68" t="str">
        <f>IF(KB7=1,Stats!$Q22,"")</f>
        <v/>
      </c>
      <c r="KG7" s="68" t="str">
        <f>IF(KB7=1,Stats!$R22,"")</f>
        <v/>
      </c>
      <c r="KH7" s="68" t="str">
        <f>IF(KB7=1,Stats!$S22,"")</f>
        <v/>
      </c>
      <c r="KI7" s="68">
        <f t="shared" si="114"/>
        <v>0</v>
      </c>
      <c r="KJ7">
        <f t="shared" si="115"/>
        <v>0</v>
      </c>
      <c r="KK7" s="68">
        <f>IF(KJ7=0,MAX(KK$2:KK6)+1,0)</f>
        <v>5</v>
      </c>
      <c r="KL7" s="5" t="str">
        <f t="shared" si="116"/>
        <v>Belligerent</v>
      </c>
      <c r="KM7" s="5" t="str">
        <f t="shared" si="117"/>
        <v>Belligerent</v>
      </c>
      <c r="KO7">
        <f t="shared" si="118"/>
        <v>5</v>
      </c>
      <c r="KP7" s="5" t="str">
        <f t="shared" si="119"/>
        <v>Belligerent</v>
      </c>
      <c r="KQ7" s="68">
        <f>COUNTIF(Builder!$K$25:$N$25,KP7)</f>
        <v>0</v>
      </c>
      <c r="KR7" s="68" t="str">
        <f>IF(KQ7=1,Stats!$N22,"")</f>
        <v/>
      </c>
      <c r="KS7" s="68" t="str">
        <f>IF(KQ7=1,Stats!$O22,"")</f>
        <v/>
      </c>
      <c r="KT7" s="68" t="str">
        <f>IF(KQ7=1,Stats!$P22,"")</f>
        <v/>
      </c>
      <c r="KU7" s="68" t="str">
        <f>IF(KQ7=1,Stats!$Q22,"")</f>
        <v/>
      </c>
      <c r="KV7" s="68" t="str">
        <f>IF(KQ7=1,Stats!$R22,"")</f>
        <v/>
      </c>
      <c r="KW7" s="68" t="str">
        <f>IF(KQ7=1,Stats!$S22,"")</f>
        <v/>
      </c>
      <c r="KX7" s="68">
        <f t="shared" si="120"/>
        <v>0</v>
      </c>
      <c r="KY7">
        <f t="shared" si="121"/>
        <v>0</v>
      </c>
      <c r="KZ7" s="68">
        <f>IF(KY7=0,MAX(KZ$2:KZ6)+1,0)</f>
        <v>5</v>
      </c>
      <c r="LA7" s="5" t="str">
        <f t="shared" si="122"/>
        <v>Belligerent</v>
      </c>
      <c r="LB7" s="5" t="str">
        <f t="shared" si="123"/>
        <v>Belligerent</v>
      </c>
      <c r="LD7">
        <f t="shared" si="124"/>
        <v>5</v>
      </c>
      <c r="LE7" s="5" t="str">
        <f t="shared" si="125"/>
        <v>Belligerent</v>
      </c>
      <c r="LF7" s="68">
        <f>COUNTIF(Builder!$K$26:$N$26,LE7)</f>
        <v>0</v>
      </c>
      <c r="LG7" s="68" t="str">
        <f>IF(LF7=1,Stats!$N22,"")</f>
        <v/>
      </c>
      <c r="LH7" s="68" t="str">
        <f>IF(LF7=1,Stats!$O22,"")</f>
        <v/>
      </c>
      <c r="LI7" s="68" t="str">
        <f>IF(LF7=1,Stats!$P22,"")</f>
        <v/>
      </c>
      <c r="LJ7" s="68" t="str">
        <f>IF(LF7=1,Stats!$Q22,"")</f>
        <v/>
      </c>
      <c r="LK7" s="68" t="str">
        <f>IF(LF7=1,Stats!$R22,"")</f>
        <v/>
      </c>
      <c r="LL7" s="68" t="str">
        <f>IF(LF7=1,Stats!$S22,"")</f>
        <v/>
      </c>
      <c r="LM7" s="68">
        <f t="shared" si="126"/>
        <v>0</v>
      </c>
      <c r="LN7">
        <f t="shared" si="127"/>
        <v>0</v>
      </c>
      <c r="LO7" s="68">
        <f>IF(LN7=0,MAX(LO$2:LO6)+1,0)</f>
        <v>5</v>
      </c>
      <c r="LP7" s="5" t="str">
        <f t="shared" si="128"/>
        <v>Belligerent</v>
      </c>
      <c r="LQ7" s="5" t="str">
        <f t="shared" si="129"/>
        <v>Belligerent</v>
      </c>
      <c r="LS7">
        <f t="shared" si="130"/>
        <v>5</v>
      </c>
      <c r="LT7" s="5" t="str">
        <f t="shared" si="131"/>
        <v>Belligerent</v>
      </c>
      <c r="LU7" s="68">
        <f>COUNTIF(Builder!$K$27:$N$27,LT7)</f>
        <v>0</v>
      </c>
      <c r="LV7" s="68" t="str">
        <f>IF(LU7=1,Stats!$N22,"")</f>
        <v/>
      </c>
      <c r="LW7" s="68" t="str">
        <f>IF(LU7=1,Stats!$O22,"")</f>
        <v/>
      </c>
      <c r="LX7" s="68" t="str">
        <f>IF(LU7=1,Stats!$P22,"")</f>
        <v/>
      </c>
      <c r="LY7" s="68" t="str">
        <f>IF(LU7=1,Stats!$Q22,"")</f>
        <v/>
      </c>
      <c r="LZ7" s="68" t="str">
        <f>IF(LU7=1,Stats!$R22,"")</f>
        <v/>
      </c>
      <c r="MA7" s="68" t="str">
        <f>IF(LU7=1,Stats!$S22,"")</f>
        <v/>
      </c>
      <c r="MB7" s="68">
        <f t="shared" si="132"/>
        <v>0</v>
      </c>
      <c r="MC7">
        <f t="shared" si="133"/>
        <v>0</v>
      </c>
      <c r="MD7" s="68">
        <f>IF(MC7=0,MAX(MD$2:MD6)+1,0)</f>
        <v>5</v>
      </c>
      <c r="ME7" s="5" t="str">
        <f t="shared" si="134"/>
        <v>Belligerent</v>
      </c>
      <c r="MF7" s="5" t="str">
        <f t="shared" si="135"/>
        <v>Belligerent</v>
      </c>
      <c r="MH7">
        <f t="shared" si="136"/>
        <v>5</v>
      </c>
      <c r="MI7" s="5" t="str">
        <f t="shared" si="137"/>
        <v>Belligerent</v>
      </c>
      <c r="MJ7" s="68">
        <f>COUNTIF(Builder!$K$28:$N$28,MI7)</f>
        <v>0</v>
      </c>
      <c r="MK7" s="68" t="str">
        <f>IF(MJ7=1,Stats!$N22,"")</f>
        <v/>
      </c>
      <c r="ML7" s="68" t="str">
        <f>IF(MJ7=1,Stats!$O22,"")</f>
        <v/>
      </c>
      <c r="MM7" s="68" t="str">
        <f>IF(MJ7=1,Stats!$P22,"")</f>
        <v/>
      </c>
      <c r="MN7" s="68" t="str">
        <f>IF(MJ7=1,Stats!$Q22,"")</f>
        <v/>
      </c>
      <c r="MO7" s="68" t="str">
        <f>IF(MJ7=1,Stats!$R22,"")</f>
        <v/>
      </c>
      <c r="MP7" s="68" t="str">
        <f>IF(MJ7=1,Stats!$S22,"")</f>
        <v/>
      </c>
      <c r="MQ7" s="68">
        <f t="shared" si="138"/>
        <v>0</v>
      </c>
      <c r="MR7">
        <f t="shared" si="139"/>
        <v>0</v>
      </c>
      <c r="MS7" s="68">
        <f>IF(MR7=0,MAX(MS$2:MS6)+1,0)</f>
        <v>5</v>
      </c>
      <c r="MT7" s="5" t="str">
        <f t="shared" si="140"/>
        <v>Belligerent</v>
      </c>
      <c r="MU7" s="5" t="str">
        <f t="shared" si="141"/>
        <v>Belligerent</v>
      </c>
      <c r="MW7">
        <f t="shared" si="142"/>
        <v>5</v>
      </c>
      <c r="MX7" s="5" t="str">
        <f t="shared" si="143"/>
        <v>Belligerent</v>
      </c>
      <c r="MY7" s="68">
        <f>COUNTIF(Builder!$K$29:$N$29,MX7)</f>
        <v>0</v>
      </c>
      <c r="MZ7" s="68" t="str">
        <f>IF(MY7=1,Stats!$N22,"")</f>
        <v/>
      </c>
      <c r="NA7" s="68" t="str">
        <f>IF(MY7=1,Stats!$O22,"")</f>
        <v/>
      </c>
      <c r="NB7" s="68" t="str">
        <f>IF(MY7=1,Stats!$P22,"")</f>
        <v/>
      </c>
      <c r="NC7" s="68" t="str">
        <f>IF(MY7=1,Stats!$Q22,"")</f>
        <v/>
      </c>
      <c r="ND7" s="68" t="str">
        <f>IF(MY7=1,Stats!$R22,"")</f>
        <v/>
      </c>
      <c r="NE7" s="68" t="str">
        <f>IF(MY7=1,Stats!$S22,"")</f>
        <v/>
      </c>
      <c r="NF7" s="68">
        <f t="shared" si="144"/>
        <v>0</v>
      </c>
      <c r="NG7">
        <f t="shared" si="145"/>
        <v>0</v>
      </c>
      <c r="NH7" s="68">
        <f>IF(NG7=0,MAX(NH$2:NH6)+1,0)</f>
        <v>5</v>
      </c>
      <c r="NI7" s="5" t="str">
        <f t="shared" si="146"/>
        <v>Belligerent</v>
      </c>
      <c r="NJ7" s="5" t="str">
        <f t="shared" si="147"/>
        <v>Belligerent</v>
      </c>
    </row>
    <row r="8" spans="1:374" ht="15" x14ac:dyDescent="0.3">
      <c r="A8">
        <v>6</v>
      </c>
      <c r="B8" s="5" t="s">
        <v>24</v>
      </c>
      <c r="C8" s="68">
        <f>COUNTIF(Builder!$K$5:$N$5,B8)</f>
        <v>0</v>
      </c>
      <c r="D8" s="68" t="str">
        <f>IF(C8=1,Stats!$N23,"")</f>
        <v/>
      </c>
      <c r="E8" s="68" t="str">
        <f>IF(C8=1,Stats!$O23,"")</f>
        <v/>
      </c>
      <c r="F8" s="68" t="str">
        <f>IF(C8=1,Stats!$P23,"")</f>
        <v/>
      </c>
      <c r="G8" s="68" t="str">
        <f>IF(C8=1,Stats!$Q23,"")</f>
        <v/>
      </c>
      <c r="H8" s="68" t="str">
        <f>IF(C8=1,Stats!$R23,"")</f>
        <v/>
      </c>
      <c r="I8" s="68" t="str">
        <f>IF(C8=1,Stats!$S23,"")</f>
        <v/>
      </c>
      <c r="J8" s="68">
        <f t="shared" si="0"/>
        <v>0</v>
      </c>
      <c r="K8">
        <f t="shared" si="1"/>
        <v>0</v>
      </c>
      <c r="L8" s="68">
        <f>IF(K8=0,MAX($L$2:L7)+1,0)</f>
        <v>6</v>
      </c>
      <c r="M8" s="5" t="str">
        <f t="shared" si="2"/>
        <v>Berserk</v>
      </c>
      <c r="N8" s="5" t="str">
        <f t="shared" si="3"/>
        <v>Berserk</v>
      </c>
      <c r="O8" s="5"/>
      <c r="P8">
        <f t="shared" si="4"/>
        <v>6</v>
      </c>
      <c r="Q8" s="5" t="str">
        <f t="shared" si="5"/>
        <v>Berserk</v>
      </c>
      <c r="R8" s="68">
        <f>COUNTIF(Builder!$K$6:$N$6,Q8)</f>
        <v>0</v>
      </c>
      <c r="S8" s="68" t="str">
        <f>IF(R8=1,Stats!$N23,"")</f>
        <v/>
      </c>
      <c r="T8" s="68" t="str">
        <f>IF(R8=1,Stats!$O23,"")</f>
        <v/>
      </c>
      <c r="U8" s="68" t="str">
        <f>IF(R8=1,Stats!$P23,"")</f>
        <v/>
      </c>
      <c r="V8" s="68" t="str">
        <f>IF(R8=1,Stats!$Q23,"")</f>
        <v/>
      </c>
      <c r="W8" s="68" t="str">
        <f>IF(R8=1,Stats!$R23,"")</f>
        <v/>
      </c>
      <c r="X8" s="68" t="str">
        <f>IF(R8=1,Stats!$S23,"")</f>
        <v/>
      </c>
      <c r="Y8" s="68">
        <f t="shared" si="6"/>
        <v>0</v>
      </c>
      <c r="Z8">
        <f t="shared" si="7"/>
        <v>0</v>
      </c>
      <c r="AA8" s="68">
        <f>IF(Z8=0,MAX($AA$2:AA7)+1,0)</f>
        <v>6</v>
      </c>
      <c r="AB8" s="5" t="str">
        <f t="shared" si="8"/>
        <v>Berserk</v>
      </c>
      <c r="AC8" s="5" t="str">
        <f t="shared" si="9"/>
        <v>Berserk</v>
      </c>
      <c r="AD8" s="5"/>
      <c r="AE8">
        <f t="shared" si="10"/>
        <v>6</v>
      </c>
      <c r="AF8" s="5" t="str">
        <f t="shared" si="11"/>
        <v>Berserk</v>
      </c>
      <c r="AG8" s="68">
        <f>COUNTIF(Builder!$K$7:$N$7,AF8)</f>
        <v>0</v>
      </c>
      <c r="AH8" s="68" t="str">
        <f>IF(AG8=1,Stats!$N23,"")</f>
        <v/>
      </c>
      <c r="AI8" s="68" t="str">
        <f>IF(AG8=1,Stats!$O23,"")</f>
        <v/>
      </c>
      <c r="AJ8" s="68" t="str">
        <f>IF(AG8=1,Stats!$P23,"")</f>
        <v/>
      </c>
      <c r="AK8" s="68" t="str">
        <f>IF(AG8=1,Stats!$Q23,"")</f>
        <v/>
      </c>
      <c r="AL8" s="68" t="str">
        <f>IF(AG8=1,Stats!$R23,"")</f>
        <v/>
      </c>
      <c r="AM8" s="68" t="str">
        <f>IF(AG8=1,Stats!$S23,"")</f>
        <v/>
      </c>
      <c r="AN8" s="68">
        <f t="shared" si="12"/>
        <v>0</v>
      </c>
      <c r="AO8">
        <f t="shared" si="13"/>
        <v>0</v>
      </c>
      <c r="AP8" s="68">
        <f>IF(AO8=0,MAX($AP$2:AP7)+1,0)</f>
        <v>6</v>
      </c>
      <c r="AQ8" s="5" t="str">
        <f t="shared" si="14"/>
        <v>Berserk</v>
      </c>
      <c r="AR8" s="5" t="str">
        <f t="shared" si="15"/>
        <v>Berserk</v>
      </c>
      <c r="AS8" s="5"/>
      <c r="AT8">
        <f t="shared" si="16"/>
        <v>6</v>
      </c>
      <c r="AU8" s="5" t="str">
        <f t="shared" si="17"/>
        <v>Berserk</v>
      </c>
      <c r="AV8" s="68">
        <f>COUNTIF(Builder!$K$8:$N$8,AU8)</f>
        <v>0</v>
      </c>
      <c r="AW8" s="68" t="str">
        <f>IF(AV8=1,Stats!$N23,"")</f>
        <v/>
      </c>
      <c r="AX8" s="68" t="str">
        <f>IF(AV8=1,Stats!$O23,"")</f>
        <v/>
      </c>
      <c r="AY8" s="68" t="str">
        <f>IF(AV8=1,Stats!$P23,"")</f>
        <v/>
      </c>
      <c r="AZ8" s="68" t="str">
        <f>IF(AV8=1,Stats!$Q23,"")</f>
        <v/>
      </c>
      <c r="BA8" s="68" t="str">
        <f>IF(AV8=1,Stats!$R23,"")</f>
        <v/>
      </c>
      <c r="BB8" s="68" t="str">
        <f>IF(AV8=1,Stats!$S23,"")</f>
        <v/>
      </c>
      <c r="BC8" s="68">
        <f t="shared" si="18"/>
        <v>0</v>
      </c>
      <c r="BD8">
        <f t="shared" si="19"/>
        <v>0</v>
      </c>
      <c r="BE8" s="68">
        <f>IF(BD8=0,MAX($BE$2:BE7)+1,0)</f>
        <v>6</v>
      </c>
      <c r="BF8" s="5" t="str">
        <f t="shared" si="20"/>
        <v>Berserk</v>
      </c>
      <c r="BG8" s="5" t="str">
        <f t="shared" si="21"/>
        <v>Berserk</v>
      </c>
      <c r="BH8" s="5"/>
      <c r="BI8">
        <f t="shared" ref="BI8:BI55" si="148">A8</f>
        <v>6</v>
      </c>
      <c r="BJ8" s="5" t="str">
        <f t="shared" ref="BJ8:BJ55" si="149">B8</f>
        <v>Berserk</v>
      </c>
      <c r="BK8" s="68">
        <f>COUNTIF(Builder!$K$9:$N$9,BJ8)</f>
        <v>0</v>
      </c>
      <c r="BL8" s="68" t="str">
        <f>IF(BK8=1,Stats!$N23,"")</f>
        <v/>
      </c>
      <c r="BM8" s="68" t="str">
        <f>IF(BK8=1,Stats!$O23,"")</f>
        <v/>
      </c>
      <c r="BN8" s="68" t="str">
        <f>IF(BK8=1,Stats!$P23,"")</f>
        <v/>
      </c>
      <c r="BO8" s="68" t="str">
        <f>IF(BK8=1,Stats!$Q23,"")</f>
        <v/>
      </c>
      <c r="BP8" s="68" t="str">
        <f>IF(BK8=1,Stats!$R23,"")</f>
        <v/>
      </c>
      <c r="BQ8" s="68" t="str">
        <f>IF(BK8=1,Stats!$S23,"")</f>
        <v/>
      </c>
      <c r="BR8" s="68">
        <f t="shared" ref="BR8:BR55" si="150">COUNTIF($BL$3:$BQ$55,BJ8)</f>
        <v>0</v>
      </c>
      <c r="BS8">
        <f t="shared" ref="BS8:BS55" si="151">BR8+BK8</f>
        <v>0</v>
      </c>
      <c r="BT8" s="68">
        <f>IF(BS8=0,MAX(BT$2:BT7)+1,0)</f>
        <v>6</v>
      </c>
      <c r="BU8" s="5" t="str">
        <f t="shared" ref="BU8:BU55" si="152">B8</f>
        <v>Berserk</v>
      </c>
      <c r="BV8" s="5" t="str">
        <f t="shared" si="27"/>
        <v>Berserk</v>
      </c>
      <c r="BX8">
        <f t="shared" ref="BX8:BX55" si="153">A8</f>
        <v>6</v>
      </c>
      <c r="BY8" s="5" t="str">
        <f t="shared" ref="BY8:BY55" si="154">B8</f>
        <v>Berserk</v>
      </c>
      <c r="BZ8" s="68">
        <f>COUNTIF(Builder!$K$10:$N$10,BY8)</f>
        <v>0</v>
      </c>
      <c r="CA8" s="68" t="str">
        <f>IF(BZ8=1,Stats!$N23,"")</f>
        <v/>
      </c>
      <c r="CB8" s="68" t="str">
        <f>IF(BZ8=1,Stats!$O23,"")</f>
        <v/>
      </c>
      <c r="CC8" s="68" t="str">
        <f>IF(BZ8=1,Stats!$P23,"")</f>
        <v/>
      </c>
      <c r="CD8" s="68" t="str">
        <f>IF(BZ8=1,Stats!$Q23,"")</f>
        <v/>
      </c>
      <c r="CE8" s="68" t="str">
        <f>IF(BZ8=1,Stats!$R23,"")</f>
        <v/>
      </c>
      <c r="CF8" s="68" t="str">
        <f>IF(BZ8=1,Stats!$S23,"")</f>
        <v/>
      </c>
      <c r="CG8" s="68">
        <f t="shared" ref="CG8:CG55" si="155">COUNTIF($CA$3:$CF$55,BY8)</f>
        <v>0</v>
      </c>
      <c r="CH8">
        <f t="shared" ref="CH8:CH55" si="156">CG8+BZ8</f>
        <v>0</v>
      </c>
      <c r="CI8" s="68">
        <f>IF(CH8=0,MAX(CI$2:CI7)+1,0)</f>
        <v>6</v>
      </c>
      <c r="CJ8" s="5" t="str">
        <f t="shared" ref="CJ8:CJ55" si="157">B8</f>
        <v>Berserk</v>
      </c>
      <c r="CK8" s="5" t="str">
        <f t="shared" si="33"/>
        <v>Berserk</v>
      </c>
      <c r="CM8">
        <f t="shared" si="34"/>
        <v>6</v>
      </c>
      <c r="CN8" s="5" t="str">
        <f t="shared" si="35"/>
        <v>Berserk</v>
      </c>
      <c r="CO8" s="68">
        <f>COUNTIF(Builder!$K$11:$N$11,CN8)</f>
        <v>0</v>
      </c>
      <c r="CP8" s="68" t="str">
        <f>IF(CO8=1,Stats!$N23,"")</f>
        <v/>
      </c>
      <c r="CQ8" s="68" t="str">
        <f>IF(CO8=1,Stats!$O23,"")</f>
        <v/>
      </c>
      <c r="CR8" s="68" t="str">
        <f>IF(CO8=1,Stats!$P23,"")</f>
        <v/>
      </c>
      <c r="CS8" s="68" t="str">
        <f>IF(CO8=1,Stats!$Q23,"")</f>
        <v/>
      </c>
      <c r="CT8" s="68" t="str">
        <f>IF(CO8=1,Stats!$R23,"")</f>
        <v/>
      </c>
      <c r="CU8" s="68" t="str">
        <f>IF(CO8=1,Stats!$S23,"")</f>
        <v/>
      </c>
      <c r="CV8" s="68">
        <f t="shared" si="36"/>
        <v>0</v>
      </c>
      <c r="CW8">
        <f t="shared" si="37"/>
        <v>0</v>
      </c>
      <c r="CX8" s="68">
        <f>IF(CW8=0,MAX(CX$2:CX7)+1,0)</f>
        <v>6</v>
      </c>
      <c r="CY8" s="5" t="str">
        <f t="shared" si="38"/>
        <v>Berserk</v>
      </c>
      <c r="CZ8" s="5" t="str">
        <f t="shared" si="39"/>
        <v>Berserk</v>
      </c>
      <c r="DB8">
        <f t="shared" ref="DB8:DB55" si="158">A8</f>
        <v>6</v>
      </c>
      <c r="DC8" s="5" t="str">
        <f t="shared" ref="DC8:DC55" si="159">B8</f>
        <v>Berserk</v>
      </c>
      <c r="DD8" s="68">
        <f>COUNTIF(Builder!$K$12:$N$12,DC8)</f>
        <v>0</v>
      </c>
      <c r="DE8" s="68" t="str">
        <f>IF(DD8=1,Stats!$N23,"")</f>
        <v/>
      </c>
      <c r="DF8" s="68" t="str">
        <f>IF(DD8=1,Stats!$O23,"")</f>
        <v/>
      </c>
      <c r="DG8" s="68" t="str">
        <f>IF(DD8=1,Stats!$P23,"")</f>
        <v/>
      </c>
      <c r="DH8" s="68" t="str">
        <f>IF(DD8=1,Stats!$Q23,"")</f>
        <v/>
      </c>
      <c r="DI8" s="68" t="str">
        <f>IF(DD8=1,Stats!$R23,"")</f>
        <v/>
      </c>
      <c r="DJ8" s="68" t="str">
        <f>IF(DD8=1,Stats!$S23,"")</f>
        <v/>
      </c>
      <c r="DK8" s="68">
        <f t="shared" ref="DK8:DK55" si="160">COUNTIF($DE$3:$DJ$55,DC8)</f>
        <v>0</v>
      </c>
      <c r="DL8">
        <f t="shared" ref="DL8:DL55" si="161">DK8+DD8</f>
        <v>0</v>
      </c>
      <c r="DM8" s="68">
        <f>IF(DL8=0,MAX(DM$2:DM7)+1,0)</f>
        <v>6</v>
      </c>
      <c r="DN8" s="5" t="str">
        <f t="shared" ref="DN8:DN55" si="162">B8</f>
        <v>Berserk</v>
      </c>
      <c r="DO8" s="5" t="str">
        <f t="shared" si="45"/>
        <v>Berserk</v>
      </c>
      <c r="DQ8">
        <f t="shared" ref="DQ8:DQ55" si="163">A8</f>
        <v>6</v>
      </c>
      <c r="DR8" s="5" t="str">
        <f t="shared" ref="DR8:DR55" si="164">B8</f>
        <v>Berserk</v>
      </c>
      <c r="DS8" s="68">
        <f>COUNTIF(Builder!$K$13:$N$13,DR8)</f>
        <v>0</v>
      </c>
      <c r="DT8" s="68" t="str">
        <f>IF(DS8=1,Stats!$N23,"")</f>
        <v/>
      </c>
      <c r="DU8" s="68" t="str">
        <f>IF(DS8=1,Stats!$O23,"")</f>
        <v/>
      </c>
      <c r="DV8" s="68" t="str">
        <f>IF(DS8=1,Stats!$P23,"")</f>
        <v/>
      </c>
      <c r="DW8" s="68" t="str">
        <f>IF(DS8=1,Stats!$Q23,"")</f>
        <v/>
      </c>
      <c r="DX8" s="68" t="str">
        <f>IF(DS8=1,Stats!$R23,"")</f>
        <v/>
      </c>
      <c r="DY8" s="68" t="str">
        <f>IF(DS8=1,Stats!$S23,"")</f>
        <v/>
      </c>
      <c r="DZ8" s="68">
        <f t="shared" ref="DZ8:DZ55" si="165">COUNTIF($DT$3:$DY$55,DR8)</f>
        <v>0</v>
      </c>
      <c r="EA8">
        <f t="shared" ref="EA8:EA55" si="166">DZ8+DS8</f>
        <v>0</v>
      </c>
      <c r="EB8" s="68">
        <f>IF(EA8=0,MAX(EB$2:EB7)+1,0)</f>
        <v>6</v>
      </c>
      <c r="EC8" s="5" t="str">
        <f t="shared" ref="EC8:EC55" si="167">B8</f>
        <v>Berserk</v>
      </c>
      <c r="ED8" s="5" t="str">
        <f t="shared" si="51"/>
        <v>Berserk</v>
      </c>
      <c r="EF8">
        <f t="shared" si="52"/>
        <v>6</v>
      </c>
      <c r="EG8" s="5" t="str">
        <f t="shared" si="53"/>
        <v>Berserk</v>
      </c>
      <c r="EH8" s="68">
        <f>COUNTIF(Builder!$K$14:$N$14,EG8)</f>
        <v>0</v>
      </c>
      <c r="EI8" s="68" t="str">
        <f>IF(EH8=1,Stats!$N23,"")</f>
        <v/>
      </c>
      <c r="EJ8" s="68" t="str">
        <f>IF(EH8=1,Stats!$O23,"")</f>
        <v/>
      </c>
      <c r="EK8" s="68" t="str">
        <f>IF(EH8=1,Stats!$P23,"")</f>
        <v/>
      </c>
      <c r="EL8" s="68" t="str">
        <f>IF(EH8=1,Stats!$Q23,"")</f>
        <v/>
      </c>
      <c r="EM8" s="68" t="str">
        <f>IF(EH8=1,Stats!$R23,"")</f>
        <v/>
      </c>
      <c r="EN8" s="68" t="str">
        <f>IF(EH8=1,Stats!$S23,"")</f>
        <v/>
      </c>
      <c r="EO8" s="68">
        <f t="shared" si="54"/>
        <v>0</v>
      </c>
      <c r="EP8">
        <f t="shared" si="55"/>
        <v>0</v>
      </c>
      <c r="EQ8" s="68">
        <f>IF(EP8=0,MAX(EQ$2:EQ7)+1,0)</f>
        <v>6</v>
      </c>
      <c r="ER8" s="5" t="str">
        <f t="shared" si="56"/>
        <v>Berserk</v>
      </c>
      <c r="ES8" s="5" t="str">
        <f t="shared" si="57"/>
        <v>Berserk</v>
      </c>
      <c r="EU8">
        <f t="shared" si="58"/>
        <v>6</v>
      </c>
      <c r="EV8" s="5" t="str">
        <f t="shared" si="59"/>
        <v>Berserk</v>
      </c>
      <c r="EW8" s="68">
        <f>COUNTIF(Builder!$K$15:$N$15,EV8)</f>
        <v>0</v>
      </c>
      <c r="EX8" s="68" t="str">
        <f>IF(EW8=1,Stats!$N23,"")</f>
        <v/>
      </c>
      <c r="EY8" s="68" t="str">
        <f>IF(EW8=1,Stats!$O23,"")</f>
        <v/>
      </c>
      <c r="EZ8" s="68" t="str">
        <f>IF(EW8=1,Stats!$P23,"")</f>
        <v/>
      </c>
      <c r="FA8" s="68" t="str">
        <f>IF(EW8=1,Stats!$Q23,"")</f>
        <v/>
      </c>
      <c r="FB8" s="68" t="str">
        <f>IF(EW8=1,Stats!$R23,"")</f>
        <v/>
      </c>
      <c r="FC8" s="68" t="str">
        <f>IF(EW8=1,Stats!$S23,"")</f>
        <v/>
      </c>
      <c r="FD8" s="68">
        <f t="shared" si="60"/>
        <v>0</v>
      </c>
      <c r="FE8">
        <f t="shared" si="61"/>
        <v>0</v>
      </c>
      <c r="FF8" s="68">
        <f>IF(FE8=0,MAX(FF$2:FF7)+1,0)</f>
        <v>6</v>
      </c>
      <c r="FG8" s="5" t="str">
        <f t="shared" si="62"/>
        <v>Berserk</v>
      </c>
      <c r="FH8" s="5" t="str">
        <f t="shared" si="63"/>
        <v>Berserk</v>
      </c>
      <c r="FJ8">
        <f t="shared" si="64"/>
        <v>6</v>
      </c>
      <c r="FK8" s="5" t="str">
        <f t="shared" si="65"/>
        <v>Berserk</v>
      </c>
      <c r="FL8" s="68">
        <f>COUNTIF(Builder!$K$16:$N$16,FK8)</f>
        <v>0</v>
      </c>
      <c r="FM8" s="68" t="str">
        <f>IF(FL8=1,Stats!$N23,"")</f>
        <v/>
      </c>
      <c r="FN8" s="68" t="str">
        <f>IF(FL8=1,Stats!$O23,"")</f>
        <v/>
      </c>
      <c r="FO8" s="68" t="str">
        <f>IF(FL8=1,Stats!$P23,"")</f>
        <v/>
      </c>
      <c r="FP8" s="68" t="str">
        <f>IF(FL8=1,Stats!$Q23,"")</f>
        <v/>
      </c>
      <c r="FQ8" s="68" t="str">
        <f>IF(FL8=1,Stats!$R23,"")</f>
        <v/>
      </c>
      <c r="FR8" s="68" t="str">
        <f>IF(FL8=1,Stats!$S23,"")</f>
        <v/>
      </c>
      <c r="FS8" s="68">
        <f t="shared" si="66"/>
        <v>0</v>
      </c>
      <c r="FT8">
        <f t="shared" si="67"/>
        <v>0</v>
      </c>
      <c r="FU8" s="68">
        <f>IF(FT8=0,MAX(FU$2:FU7)+1,0)</f>
        <v>6</v>
      </c>
      <c r="FV8" s="5" t="str">
        <f t="shared" si="68"/>
        <v>Berserk</v>
      </c>
      <c r="FW8" s="5" t="str">
        <f t="shared" si="69"/>
        <v>Berserk</v>
      </c>
      <c r="FY8">
        <f t="shared" ref="FY8:FY55" si="168">A8</f>
        <v>6</v>
      </c>
      <c r="FZ8" s="5" t="str">
        <f t="shared" ref="FZ8:FZ55" si="169">B8</f>
        <v>Berserk</v>
      </c>
      <c r="GA8" s="68">
        <f>COUNTIF(Builder!$K$17:$N$17,FZ8)</f>
        <v>0</v>
      </c>
      <c r="GB8" s="68" t="str">
        <f>IF(GA8=1,Stats!$N23,"")</f>
        <v/>
      </c>
      <c r="GC8" s="68" t="str">
        <f>IF(GA8=1,Stats!$O23,"")</f>
        <v/>
      </c>
      <c r="GD8" s="68" t="str">
        <f>IF(GA8=1,Stats!$P23,"")</f>
        <v/>
      </c>
      <c r="GE8" s="68" t="str">
        <f>IF(GA8=1,Stats!$Q23,"")</f>
        <v/>
      </c>
      <c r="GF8" s="68" t="str">
        <f>IF(GA8=1,Stats!$R23,"")</f>
        <v/>
      </c>
      <c r="GG8" s="68" t="str">
        <f>IF(GA8=1,Stats!$S23,"")</f>
        <v/>
      </c>
      <c r="GH8" s="68">
        <f t="shared" ref="GH8:GH55" si="170">COUNTIF($GB$3:$GG$55,FZ8)</f>
        <v>0</v>
      </c>
      <c r="GI8">
        <f t="shared" ref="GI8:GI55" si="171">GH8+GA8</f>
        <v>0</v>
      </c>
      <c r="GJ8" s="68">
        <f>IF(GI8=0,MAX(GJ$2:GJ7)+1,0)</f>
        <v>6</v>
      </c>
      <c r="GK8" s="5" t="str">
        <f t="shared" ref="GK8:GK55" si="172">B8</f>
        <v>Berserk</v>
      </c>
      <c r="GL8" s="5" t="str">
        <f t="shared" si="75"/>
        <v>Berserk</v>
      </c>
      <c r="GN8">
        <f t="shared" si="76"/>
        <v>6</v>
      </c>
      <c r="GO8" s="5" t="str">
        <f t="shared" si="77"/>
        <v>Berserk</v>
      </c>
      <c r="GP8" s="68">
        <f>COUNTIF(Builder!$K$18:$N$18,GO8)</f>
        <v>0</v>
      </c>
      <c r="GQ8" s="68" t="str">
        <f>IF(GP8=1,Stats!$N23,"")</f>
        <v/>
      </c>
      <c r="GR8" s="68" t="str">
        <f>IF(GP8=1,Stats!$O23,"")</f>
        <v/>
      </c>
      <c r="GS8" s="68" t="str">
        <f>IF(GP8=1,Stats!$P23,"")</f>
        <v/>
      </c>
      <c r="GT8" s="68" t="str">
        <f>IF(GP8=1,Stats!$Q23,"")</f>
        <v/>
      </c>
      <c r="GU8" s="68" t="str">
        <f>IF(GP8=1,Stats!$R23,"")</f>
        <v/>
      </c>
      <c r="GV8" s="68" t="str">
        <f>IF(GP8=1,Stats!$S23,"")</f>
        <v/>
      </c>
      <c r="GW8" s="68">
        <f t="shared" si="78"/>
        <v>0</v>
      </c>
      <c r="GX8">
        <f t="shared" si="79"/>
        <v>0</v>
      </c>
      <c r="GY8" s="68">
        <f>IF(GX8=0,MAX(GY$2:GY7)+1,0)</f>
        <v>6</v>
      </c>
      <c r="GZ8" s="5" t="str">
        <f t="shared" si="80"/>
        <v>Berserk</v>
      </c>
      <c r="HA8" s="5" t="str">
        <f t="shared" si="81"/>
        <v>Berserk</v>
      </c>
      <c r="HC8">
        <f t="shared" si="82"/>
        <v>6</v>
      </c>
      <c r="HD8" s="5" t="str">
        <f t="shared" si="83"/>
        <v>Berserk</v>
      </c>
      <c r="HE8" s="68">
        <f>COUNTIF(Builder!$K$19:$N$19,HD8)</f>
        <v>0</v>
      </c>
      <c r="HF8" s="68" t="str">
        <f>IF(HE8=1,Stats!$N23,"")</f>
        <v/>
      </c>
      <c r="HG8" s="68" t="str">
        <f>IF(HE8=1,Stats!$O23,"")</f>
        <v/>
      </c>
      <c r="HH8" s="68" t="str">
        <f>IF(HE8=1,Stats!$P23,"")</f>
        <v/>
      </c>
      <c r="HI8" s="68" t="str">
        <f>IF(HE8=1,Stats!$Q23,"")</f>
        <v/>
      </c>
      <c r="HJ8" s="68" t="str">
        <f>IF(HE8=1,Stats!$R23,"")</f>
        <v/>
      </c>
      <c r="HK8" s="68" t="str">
        <f>IF(HE8=1,Stats!$S23,"")</f>
        <v/>
      </c>
      <c r="HL8" s="68">
        <f t="shared" si="84"/>
        <v>0</v>
      </c>
      <c r="HM8">
        <f t="shared" si="85"/>
        <v>0</v>
      </c>
      <c r="HN8" s="68">
        <f>IF(HM8=0,MAX(HN$2:HN7)+1,0)</f>
        <v>6</v>
      </c>
      <c r="HO8" s="5" t="str">
        <f t="shared" si="86"/>
        <v>Berserk</v>
      </c>
      <c r="HP8" s="5" t="str">
        <f t="shared" si="87"/>
        <v>Berserk</v>
      </c>
      <c r="HR8">
        <f t="shared" si="88"/>
        <v>6</v>
      </c>
      <c r="HS8" s="5" t="str">
        <f t="shared" si="89"/>
        <v>Berserk</v>
      </c>
      <c r="HT8" s="68">
        <f>COUNTIF(Builder!$K$20:$N$20,HS8)</f>
        <v>0</v>
      </c>
      <c r="HU8" s="68" t="str">
        <f>IF(HT8=1,Stats!$N23,"")</f>
        <v/>
      </c>
      <c r="HV8" s="68" t="str">
        <f>IF(HT8=1,Stats!$O23,"")</f>
        <v/>
      </c>
      <c r="HW8" s="68" t="str">
        <f>IF(HT8=1,Stats!$P23,"")</f>
        <v/>
      </c>
      <c r="HX8" s="68" t="str">
        <f>IF(HT8=1,Stats!$Q23,"")</f>
        <v/>
      </c>
      <c r="HY8" s="68" t="str">
        <f>IF(HT8=1,Stats!$R23,"")</f>
        <v/>
      </c>
      <c r="HZ8" s="68" t="str">
        <f>IF(HT8=1,Stats!$S23,"")</f>
        <v/>
      </c>
      <c r="IA8" s="68">
        <f t="shared" si="90"/>
        <v>0</v>
      </c>
      <c r="IB8">
        <f t="shared" si="91"/>
        <v>0</v>
      </c>
      <c r="IC8" s="68">
        <f>IF(IB8=0,MAX(IC$2:IC7)+1,0)</f>
        <v>6</v>
      </c>
      <c r="ID8" s="5" t="str">
        <f t="shared" si="92"/>
        <v>Berserk</v>
      </c>
      <c r="IE8" s="5" t="str">
        <f t="shared" si="93"/>
        <v>Berserk</v>
      </c>
      <c r="IG8">
        <f t="shared" si="94"/>
        <v>6</v>
      </c>
      <c r="IH8" s="5" t="str">
        <f t="shared" si="95"/>
        <v>Berserk</v>
      </c>
      <c r="II8" s="68">
        <f>COUNTIF(Builder!$K$21:$N$21,IH8)</f>
        <v>0</v>
      </c>
      <c r="IJ8" s="68" t="str">
        <f>IF(II8=1,Stats!$N23,"")</f>
        <v/>
      </c>
      <c r="IK8" s="68" t="str">
        <f>IF(II8=1,Stats!$O23,"")</f>
        <v/>
      </c>
      <c r="IL8" s="68" t="str">
        <f>IF(II8=1,Stats!$P23,"")</f>
        <v/>
      </c>
      <c r="IM8" s="68" t="str">
        <f>IF(II8=1,Stats!$Q23,"")</f>
        <v/>
      </c>
      <c r="IN8" s="68" t="str">
        <f>IF(II8=1,Stats!$R23,"")</f>
        <v/>
      </c>
      <c r="IO8" s="68" t="str">
        <f>IF(II8=1,Stats!$S23,"")</f>
        <v/>
      </c>
      <c r="IP8" s="68">
        <f t="shared" si="96"/>
        <v>0</v>
      </c>
      <c r="IQ8">
        <f t="shared" si="97"/>
        <v>0</v>
      </c>
      <c r="IR8" s="68">
        <f>IF(IQ8=0,MAX(IR$2:IR7)+1,0)</f>
        <v>6</v>
      </c>
      <c r="IS8" s="5" t="str">
        <f t="shared" si="98"/>
        <v>Berserk</v>
      </c>
      <c r="IT8" s="5" t="str">
        <f t="shared" si="99"/>
        <v>Berserk</v>
      </c>
      <c r="IV8">
        <f t="shared" si="100"/>
        <v>6</v>
      </c>
      <c r="IW8" s="5" t="str">
        <f t="shared" si="101"/>
        <v>Berserk</v>
      </c>
      <c r="IX8" s="68">
        <f>COUNTIF(Builder!$K$22:$N$22,IW8)</f>
        <v>0</v>
      </c>
      <c r="IY8" s="68" t="str">
        <f>IF(IX8=1,Stats!$N23,"")</f>
        <v/>
      </c>
      <c r="IZ8" s="68" t="str">
        <f>IF(IX8=1,Stats!$O23,"")</f>
        <v/>
      </c>
      <c r="JA8" s="68" t="str">
        <f>IF(IX8=1,Stats!$P23,"")</f>
        <v/>
      </c>
      <c r="JB8" s="68" t="str">
        <f>IF(IX8=1,Stats!$Q23,"")</f>
        <v/>
      </c>
      <c r="JC8" s="68" t="str">
        <f>IF(IX8=1,Stats!$R23,"")</f>
        <v/>
      </c>
      <c r="JD8" s="68" t="str">
        <f>IF(IX8=1,Stats!$S23,"")</f>
        <v/>
      </c>
      <c r="JE8" s="68">
        <f t="shared" si="102"/>
        <v>0</v>
      </c>
      <c r="JF8">
        <f t="shared" si="103"/>
        <v>0</v>
      </c>
      <c r="JG8" s="68">
        <f>IF(JF8=0,MAX(JG$2:JG7)+1,0)</f>
        <v>6</v>
      </c>
      <c r="JH8" s="5" t="str">
        <f t="shared" si="104"/>
        <v>Berserk</v>
      </c>
      <c r="JI8" s="5" t="str">
        <f t="shared" si="105"/>
        <v>Berserk</v>
      </c>
      <c r="JK8">
        <f t="shared" si="106"/>
        <v>6</v>
      </c>
      <c r="JL8" s="5" t="str">
        <f t="shared" si="107"/>
        <v>Berserk</v>
      </c>
      <c r="JM8" s="68">
        <f>COUNTIF(Builder!$K$23:$N$23,JL8)</f>
        <v>0</v>
      </c>
      <c r="JN8" s="68" t="str">
        <f>IF(JM8=1,Stats!$N23,"")</f>
        <v/>
      </c>
      <c r="JO8" s="68" t="str">
        <f>IF(JM8=1,Stats!$O23,"")</f>
        <v/>
      </c>
      <c r="JP8" s="68" t="str">
        <f>IF(JM8=1,Stats!$P23,"")</f>
        <v/>
      </c>
      <c r="JQ8" s="68" t="str">
        <f>IF(JM8=1,Stats!$Q23,"")</f>
        <v/>
      </c>
      <c r="JR8" s="68" t="str">
        <f>IF(JM8=1,Stats!$R23,"")</f>
        <v/>
      </c>
      <c r="JS8" s="68" t="str">
        <f>IF(JM8=1,Stats!$S23,"")</f>
        <v/>
      </c>
      <c r="JT8" s="68">
        <f t="shared" si="108"/>
        <v>0</v>
      </c>
      <c r="JU8">
        <f t="shared" si="109"/>
        <v>0</v>
      </c>
      <c r="JV8" s="68">
        <f>IF(JU8=0,MAX(JV$2:JV7)+1,0)</f>
        <v>6</v>
      </c>
      <c r="JW8" s="5" t="str">
        <f t="shared" si="110"/>
        <v>Berserk</v>
      </c>
      <c r="JX8" s="5" t="str">
        <f t="shared" si="111"/>
        <v>Berserk</v>
      </c>
      <c r="JZ8">
        <f t="shared" si="112"/>
        <v>6</v>
      </c>
      <c r="KA8" s="5" t="str">
        <f t="shared" si="113"/>
        <v>Berserk</v>
      </c>
      <c r="KB8" s="68">
        <f>COUNTIF(Builder!$K$24:$N$24,KA8)</f>
        <v>0</v>
      </c>
      <c r="KC8" s="68" t="str">
        <f>IF(KB8=1,Stats!$N23,"")</f>
        <v/>
      </c>
      <c r="KD8" s="68" t="str">
        <f>IF(KB8=1,Stats!$O23,"")</f>
        <v/>
      </c>
      <c r="KE8" s="68" t="str">
        <f>IF(KB8=1,Stats!$P23,"")</f>
        <v/>
      </c>
      <c r="KF8" s="68" t="str">
        <f>IF(KB8=1,Stats!$Q23,"")</f>
        <v/>
      </c>
      <c r="KG8" s="68" t="str">
        <f>IF(KB8=1,Stats!$R23,"")</f>
        <v/>
      </c>
      <c r="KH8" s="68" t="str">
        <f>IF(KB8=1,Stats!$S23,"")</f>
        <v/>
      </c>
      <c r="KI8" s="68">
        <f t="shared" si="114"/>
        <v>0</v>
      </c>
      <c r="KJ8">
        <f t="shared" si="115"/>
        <v>0</v>
      </c>
      <c r="KK8" s="68">
        <f>IF(KJ8=0,MAX(KK$2:KK7)+1,0)</f>
        <v>6</v>
      </c>
      <c r="KL8" s="5" t="str">
        <f t="shared" si="116"/>
        <v>Berserk</v>
      </c>
      <c r="KM8" s="5" t="str">
        <f t="shared" si="117"/>
        <v>Berserk</v>
      </c>
      <c r="KO8">
        <f t="shared" si="118"/>
        <v>6</v>
      </c>
      <c r="KP8" s="5" t="str">
        <f t="shared" si="119"/>
        <v>Berserk</v>
      </c>
      <c r="KQ8" s="68">
        <f>COUNTIF(Builder!$K$25:$N$25,KP8)</f>
        <v>0</v>
      </c>
      <c r="KR8" s="68" t="str">
        <f>IF(KQ8=1,Stats!$N23,"")</f>
        <v/>
      </c>
      <c r="KS8" s="68" t="str">
        <f>IF(KQ8=1,Stats!$O23,"")</f>
        <v/>
      </c>
      <c r="KT8" s="68" t="str">
        <f>IF(KQ8=1,Stats!$P23,"")</f>
        <v/>
      </c>
      <c r="KU8" s="68" t="str">
        <f>IF(KQ8=1,Stats!$Q23,"")</f>
        <v/>
      </c>
      <c r="KV8" s="68" t="str">
        <f>IF(KQ8=1,Stats!$R23,"")</f>
        <v/>
      </c>
      <c r="KW8" s="68" t="str">
        <f>IF(KQ8=1,Stats!$S23,"")</f>
        <v/>
      </c>
      <c r="KX8" s="68">
        <f t="shared" si="120"/>
        <v>0</v>
      </c>
      <c r="KY8">
        <f t="shared" si="121"/>
        <v>0</v>
      </c>
      <c r="KZ8" s="68">
        <f>IF(KY8=0,MAX(KZ$2:KZ7)+1,0)</f>
        <v>6</v>
      </c>
      <c r="LA8" s="5" t="str">
        <f t="shared" si="122"/>
        <v>Berserk</v>
      </c>
      <c r="LB8" s="5" t="str">
        <f t="shared" si="123"/>
        <v>Berserk</v>
      </c>
      <c r="LD8">
        <f t="shared" si="124"/>
        <v>6</v>
      </c>
      <c r="LE8" s="5" t="str">
        <f t="shared" si="125"/>
        <v>Berserk</v>
      </c>
      <c r="LF8" s="68">
        <f>COUNTIF(Builder!$K$26:$N$26,LE8)</f>
        <v>0</v>
      </c>
      <c r="LG8" s="68" t="str">
        <f>IF(LF8=1,Stats!$N23,"")</f>
        <v/>
      </c>
      <c r="LH8" s="68" t="str">
        <f>IF(LF8=1,Stats!$O23,"")</f>
        <v/>
      </c>
      <c r="LI8" s="68" t="str">
        <f>IF(LF8=1,Stats!$P23,"")</f>
        <v/>
      </c>
      <c r="LJ8" s="68" t="str">
        <f>IF(LF8=1,Stats!$Q23,"")</f>
        <v/>
      </c>
      <c r="LK8" s="68" t="str">
        <f>IF(LF8=1,Stats!$R23,"")</f>
        <v/>
      </c>
      <c r="LL8" s="68" t="str">
        <f>IF(LF8=1,Stats!$S23,"")</f>
        <v/>
      </c>
      <c r="LM8" s="68">
        <f t="shared" si="126"/>
        <v>0</v>
      </c>
      <c r="LN8">
        <f t="shared" si="127"/>
        <v>0</v>
      </c>
      <c r="LO8" s="68">
        <f>IF(LN8=0,MAX(LO$2:LO7)+1,0)</f>
        <v>6</v>
      </c>
      <c r="LP8" s="5" t="str">
        <f t="shared" si="128"/>
        <v>Berserk</v>
      </c>
      <c r="LQ8" s="5" t="str">
        <f t="shared" si="129"/>
        <v>Berserk</v>
      </c>
      <c r="LS8">
        <f t="shared" si="130"/>
        <v>6</v>
      </c>
      <c r="LT8" s="5" t="str">
        <f t="shared" si="131"/>
        <v>Berserk</v>
      </c>
      <c r="LU8" s="68">
        <f>COUNTIF(Builder!$K$27:$N$27,LT8)</f>
        <v>0</v>
      </c>
      <c r="LV8" s="68" t="str">
        <f>IF(LU8=1,Stats!$N23,"")</f>
        <v/>
      </c>
      <c r="LW8" s="68" t="str">
        <f>IF(LU8=1,Stats!$O23,"")</f>
        <v/>
      </c>
      <c r="LX8" s="68" t="str">
        <f>IF(LU8=1,Stats!$P23,"")</f>
        <v/>
      </c>
      <c r="LY8" s="68" t="str">
        <f>IF(LU8=1,Stats!$Q23,"")</f>
        <v/>
      </c>
      <c r="LZ8" s="68" t="str">
        <f>IF(LU8=1,Stats!$R23,"")</f>
        <v/>
      </c>
      <c r="MA8" s="68" t="str">
        <f>IF(LU8=1,Stats!$S23,"")</f>
        <v/>
      </c>
      <c r="MB8" s="68">
        <f t="shared" si="132"/>
        <v>0</v>
      </c>
      <c r="MC8">
        <f t="shared" si="133"/>
        <v>0</v>
      </c>
      <c r="MD8" s="68">
        <f>IF(MC8=0,MAX(MD$2:MD7)+1,0)</f>
        <v>6</v>
      </c>
      <c r="ME8" s="5" t="str">
        <f t="shared" si="134"/>
        <v>Berserk</v>
      </c>
      <c r="MF8" s="5" t="str">
        <f t="shared" si="135"/>
        <v>Berserk</v>
      </c>
      <c r="MH8">
        <f t="shared" si="136"/>
        <v>6</v>
      </c>
      <c r="MI8" s="5" t="str">
        <f t="shared" si="137"/>
        <v>Berserk</v>
      </c>
      <c r="MJ8" s="68">
        <f>COUNTIF(Builder!$K$28:$N$28,MI8)</f>
        <v>0</v>
      </c>
      <c r="MK8" s="68" t="str">
        <f>IF(MJ8=1,Stats!$N23,"")</f>
        <v/>
      </c>
      <c r="ML8" s="68" t="str">
        <f>IF(MJ8=1,Stats!$O23,"")</f>
        <v/>
      </c>
      <c r="MM8" s="68" t="str">
        <f>IF(MJ8=1,Stats!$P23,"")</f>
        <v/>
      </c>
      <c r="MN8" s="68" t="str">
        <f>IF(MJ8=1,Stats!$Q23,"")</f>
        <v/>
      </c>
      <c r="MO8" s="68" t="str">
        <f>IF(MJ8=1,Stats!$R23,"")</f>
        <v/>
      </c>
      <c r="MP8" s="68" t="str">
        <f>IF(MJ8=1,Stats!$S23,"")</f>
        <v/>
      </c>
      <c r="MQ8" s="68">
        <f t="shared" si="138"/>
        <v>0</v>
      </c>
      <c r="MR8">
        <f t="shared" si="139"/>
        <v>0</v>
      </c>
      <c r="MS8" s="68">
        <f>IF(MR8=0,MAX(MS$2:MS7)+1,0)</f>
        <v>6</v>
      </c>
      <c r="MT8" s="5" t="str">
        <f t="shared" si="140"/>
        <v>Berserk</v>
      </c>
      <c r="MU8" s="5" t="str">
        <f t="shared" si="141"/>
        <v>Berserk</v>
      </c>
      <c r="MW8">
        <f t="shared" si="142"/>
        <v>6</v>
      </c>
      <c r="MX8" s="5" t="str">
        <f t="shared" si="143"/>
        <v>Berserk</v>
      </c>
      <c r="MY8" s="68">
        <f>COUNTIF(Builder!$K$29:$N$29,MX8)</f>
        <v>0</v>
      </c>
      <c r="MZ8" s="68" t="str">
        <f>IF(MY8=1,Stats!$N23,"")</f>
        <v/>
      </c>
      <c r="NA8" s="68" t="str">
        <f>IF(MY8=1,Stats!$O23,"")</f>
        <v/>
      </c>
      <c r="NB8" s="68" t="str">
        <f>IF(MY8=1,Stats!$P23,"")</f>
        <v/>
      </c>
      <c r="NC8" s="68" t="str">
        <f>IF(MY8=1,Stats!$Q23,"")</f>
        <v/>
      </c>
      <c r="ND8" s="68" t="str">
        <f>IF(MY8=1,Stats!$R23,"")</f>
        <v/>
      </c>
      <c r="NE8" s="68" t="str">
        <f>IF(MY8=1,Stats!$S23,"")</f>
        <v/>
      </c>
      <c r="NF8" s="68">
        <f t="shared" si="144"/>
        <v>0</v>
      </c>
      <c r="NG8">
        <f t="shared" si="145"/>
        <v>0</v>
      </c>
      <c r="NH8" s="68">
        <f>IF(NG8=0,MAX(NH$2:NH7)+1,0)</f>
        <v>6</v>
      </c>
      <c r="NI8" s="5" t="str">
        <f t="shared" si="146"/>
        <v>Berserk</v>
      </c>
      <c r="NJ8" s="5" t="str">
        <f t="shared" si="147"/>
        <v>Berserk</v>
      </c>
    </row>
    <row r="9" spans="1:374" ht="15" x14ac:dyDescent="0.3">
      <c r="A9">
        <v>7</v>
      </c>
      <c r="B9" s="5" t="s">
        <v>113</v>
      </c>
      <c r="C9" s="68">
        <f>COUNTIF(Builder!$K$5:$N$5,B9)</f>
        <v>0</v>
      </c>
      <c r="D9" s="68" t="str">
        <f>IF(C9=1,Stats!$N24,"")</f>
        <v/>
      </c>
      <c r="E9" s="68" t="str">
        <f>IF(C9=1,Stats!$O24,"")</f>
        <v/>
      </c>
      <c r="F9" s="68" t="str">
        <f>IF(C9=1,Stats!$P24,"")</f>
        <v/>
      </c>
      <c r="G9" s="68" t="str">
        <f>IF(C9=1,Stats!$Q24,"")</f>
        <v/>
      </c>
      <c r="H9" s="68" t="str">
        <f>IF(C9=1,Stats!$R24,"")</f>
        <v/>
      </c>
      <c r="I9" s="68" t="str">
        <f>IF(C9=1,Stats!$S24,"")</f>
        <v/>
      </c>
      <c r="J9" s="68">
        <f t="shared" si="0"/>
        <v>0</v>
      </c>
      <c r="K9">
        <f t="shared" si="1"/>
        <v>0</v>
      </c>
      <c r="L9" s="68">
        <f>IF(K9=0,MAX($L$2:L8)+1,0)</f>
        <v>7</v>
      </c>
      <c r="M9" s="5" t="str">
        <f t="shared" si="2"/>
        <v>Character (Warlord)</v>
      </c>
      <c r="N9" s="5" t="str">
        <f t="shared" si="3"/>
        <v>Character (Warlord)</v>
      </c>
      <c r="O9" s="5"/>
      <c r="P9">
        <f t="shared" si="4"/>
        <v>7</v>
      </c>
      <c r="Q9" s="5" t="str">
        <f t="shared" si="5"/>
        <v>Character (Warlord)</v>
      </c>
      <c r="R9" s="68">
        <f>COUNTIF(Builder!$K$6:$N$6,Q9)</f>
        <v>0</v>
      </c>
      <c r="S9" s="68" t="str">
        <f>IF(R9=1,Stats!$N24,"")</f>
        <v/>
      </c>
      <c r="T9" s="68" t="str">
        <f>IF(R9=1,Stats!$O24,"")</f>
        <v/>
      </c>
      <c r="U9" s="68" t="str">
        <f>IF(R9=1,Stats!$P24,"")</f>
        <v/>
      </c>
      <c r="V9" s="68" t="str">
        <f>IF(R9=1,Stats!$Q24,"")</f>
        <v/>
      </c>
      <c r="W9" s="68" t="str">
        <f>IF(R9=1,Stats!$R24,"")</f>
        <v/>
      </c>
      <c r="X9" s="68" t="str">
        <f>IF(R9=1,Stats!$S24,"")</f>
        <v/>
      </c>
      <c r="Y9" s="68">
        <f t="shared" si="6"/>
        <v>0</v>
      </c>
      <c r="Z9">
        <f t="shared" si="7"/>
        <v>0</v>
      </c>
      <c r="AA9" s="68">
        <f>IF(Z9=0,MAX($AA$2:AA8)+1,0)</f>
        <v>7</v>
      </c>
      <c r="AB9" s="5" t="str">
        <f t="shared" si="8"/>
        <v>Character (Warlord)</v>
      </c>
      <c r="AC9" s="5" t="str">
        <f t="shared" si="9"/>
        <v>Character (Warlord)</v>
      </c>
      <c r="AD9" s="5"/>
      <c r="AE9">
        <f t="shared" si="10"/>
        <v>7</v>
      </c>
      <c r="AF9" s="5" t="str">
        <f t="shared" si="11"/>
        <v>Character (Warlord)</v>
      </c>
      <c r="AG9" s="68">
        <f>COUNTIF(Builder!$K$7:$N$7,AF9)</f>
        <v>0</v>
      </c>
      <c r="AH9" s="68" t="str">
        <f>IF(AG9=1,Stats!$N24,"")</f>
        <v/>
      </c>
      <c r="AI9" s="68" t="str">
        <f>IF(AG9=1,Stats!$O24,"")</f>
        <v/>
      </c>
      <c r="AJ9" s="68" t="str">
        <f>IF(AG9=1,Stats!$P24,"")</f>
        <v/>
      </c>
      <c r="AK9" s="68" t="str">
        <f>IF(AG9=1,Stats!$Q24,"")</f>
        <v/>
      </c>
      <c r="AL9" s="68" t="str">
        <f>IF(AG9=1,Stats!$R24,"")</f>
        <v/>
      </c>
      <c r="AM9" s="68" t="str">
        <f>IF(AG9=1,Stats!$S24,"")</f>
        <v/>
      </c>
      <c r="AN9" s="68">
        <f t="shared" si="12"/>
        <v>0</v>
      </c>
      <c r="AO9">
        <f t="shared" si="13"/>
        <v>0</v>
      </c>
      <c r="AP9" s="68">
        <f>IF(AO9=0,MAX($AP$2:AP8)+1,0)</f>
        <v>7</v>
      </c>
      <c r="AQ9" s="5" t="str">
        <f t="shared" si="14"/>
        <v>Character (Warlord)</v>
      </c>
      <c r="AR9" s="5" t="str">
        <f t="shared" si="15"/>
        <v>Character (Warlord)</v>
      </c>
      <c r="AS9" s="5"/>
      <c r="AT9">
        <f t="shared" si="16"/>
        <v>7</v>
      </c>
      <c r="AU9" s="5" t="str">
        <f t="shared" si="17"/>
        <v>Character (Warlord)</v>
      </c>
      <c r="AV9" s="68">
        <f>COUNTIF(Builder!$K$8:$N$8,AU9)</f>
        <v>0</v>
      </c>
      <c r="AW9" s="68" t="str">
        <f>IF(AV9=1,Stats!$N24,"")</f>
        <v/>
      </c>
      <c r="AX9" s="68" t="str">
        <f>IF(AV9=1,Stats!$O24,"")</f>
        <v/>
      </c>
      <c r="AY9" s="68" t="str">
        <f>IF(AV9=1,Stats!$P24,"")</f>
        <v/>
      </c>
      <c r="AZ9" s="68" t="str">
        <f>IF(AV9=1,Stats!$Q24,"")</f>
        <v/>
      </c>
      <c r="BA9" s="68" t="str">
        <f>IF(AV9=1,Stats!$R24,"")</f>
        <v/>
      </c>
      <c r="BB9" s="68" t="str">
        <f>IF(AV9=1,Stats!$S24,"")</f>
        <v/>
      </c>
      <c r="BC9" s="68">
        <f t="shared" si="18"/>
        <v>0</v>
      </c>
      <c r="BD9">
        <f t="shared" si="19"/>
        <v>0</v>
      </c>
      <c r="BE9" s="68">
        <f>IF(BD9=0,MAX($BE$2:BE8)+1,0)</f>
        <v>7</v>
      </c>
      <c r="BF9" s="5" t="str">
        <f t="shared" si="20"/>
        <v>Character (Warlord)</v>
      </c>
      <c r="BG9" s="5" t="str">
        <f t="shared" si="21"/>
        <v>Character (Warlord)</v>
      </c>
      <c r="BH9" s="5"/>
      <c r="BI9">
        <f t="shared" si="148"/>
        <v>7</v>
      </c>
      <c r="BJ9" s="5" t="str">
        <f t="shared" si="149"/>
        <v>Character (Warlord)</v>
      </c>
      <c r="BK9" s="68">
        <f>COUNTIF(Builder!$K$9:$N$9,BJ9)</f>
        <v>0</v>
      </c>
      <c r="BL9" s="68" t="str">
        <f>IF(BK9=1,Stats!$N24,"")</f>
        <v/>
      </c>
      <c r="BM9" s="68" t="str">
        <f>IF(BK9=1,Stats!$O24,"")</f>
        <v/>
      </c>
      <c r="BN9" s="68" t="str">
        <f>IF(BK9=1,Stats!$P24,"")</f>
        <v/>
      </c>
      <c r="BO9" s="68" t="str">
        <f>IF(BK9=1,Stats!$Q24,"")</f>
        <v/>
      </c>
      <c r="BP9" s="68" t="str">
        <f>IF(BK9=1,Stats!$R24,"")</f>
        <v/>
      </c>
      <c r="BQ9" s="68" t="str">
        <f>IF(BK9=1,Stats!$S24,"")</f>
        <v/>
      </c>
      <c r="BR9" s="68">
        <f t="shared" si="150"/>
        <v>0</v>
      </c>
      <c r="BS9">
        <f t="shared" si="151"/>
        <v>0</v>
      </c>
      <c r="BT9" s="68">
        <f>IF(BS9=0,MAX(BT$2:BT8)+1,0)</f>
        <v>7</v>
      </c>
      <c r="BU9" s="5" t="str">
        <f t="shared" si="152"/>
        <v>Character (Warlord)</v>
      </c>
      <c r="BV9" s="5" t="str">
        <f t="shared" si="27"/>
        <v>Character (Warlord)</v>
      </c>
      <c r="BX9">
        <f t="shared" si="153"/>
        <v>7</v>
      </c>
      <c r="BY9" s="5" t="str">
        <f t="shared" si="154"/>
        <v>Character (Warlord)</v>
      </c>
      <c r="BZ9" s="68">
        <f>COUNTIF(Builder!$K$10:$N$10,BY9)</f>
        <v>0</v>
      </c>
      <c r="CA9" s="68" t="str">
        <f>IF(BZ9=1,Stats!$N24,"")</f>
        <v/>
      </c>
      <c r="CB9" s="68" t="str">
        <f>IF(BZ9=1,Stats!$O24,"")</f>
        <v/>
      </c>
      <c r="CC9" s="68" t="str">
        <f>IF(BZ9=1,Stats!$P24,"")</f>
        <v/>
      </c>
      <c r="CD9" s="68" t="str">
        <f>IF(BZ9=1,Stats!$Q24,"")</f>
        <v/>
      </c>
      <c r="CE9" s="68" t="str">
        <f>IF(BZ9=1,Stats!$R24,"")</f>
        <v/>
      </c>
      <c r="CF9" s="68" t="str">
        <f>IF(BZ9=1,Stats!$S24,"")</f>
        <v/>
      </c>
      <c r="CG9" s="68">
        <f t="shared" si="155"/>
        <v>0</v>
      </c>
      <c r="CH9">
        <f t="shared" si="156"/>
        <v>0</v>
      </c>
      <c r="CI9" s="68">
        <f>IF(CH9=0,MAX(CI$2:CI8)+1,0)</f>
        <v>7</v>
      </c>
      <c r="CJ9" s="5" t="str">
        <f t="shared" si="157"/>
        <v>Character (Warlord)</v>
      </c>
      <c r="CK9" s="5" t="str">
        <f t="shared" si="33"/>
        <v>Character (Warlord)</v>
      </c>
      <c r="CM9">
        <f t="shared" si="34"/>
        <v>7</v>
      </c>
      <c r="CN9" s="5" t="str">
        <f t="shared" si="35"/>
        <v>Character (Warlord)</v>
      </c>
      <c r="CO9" s="68">
        <f>COUNTIF(Builder!$K$11:$N$11,CN9)</f>
        <v>0</v>
      </c>
      <c r="CP9" s="68" t="str">
        <f>IF(CO9=1,Stats!$N24,"")</f>
        <v/>
      </c>
      <c r="CQ9" s="68" t="str">
        <f>IF(CO9=1,Stats!$O24,"")</f>
        <v/>
      </c>
      <c r="CR9" s="68" t="str">
        <f>IF(CO9=1,Stats!$P24,"")</f>
        <v/>
      </c>
      <c r="CS9" s="68" t="str">
        <f>IF(CO9=1,Stats!$Q24,"")</f>
        <v/>
      </c>
      <c r="CT9" s="68" t="str">
        <f>IF(CO9=1,Stats!$R24,"")</f>
        <v/>
      </c>
      <c r="CU9" s="68" t="str">
        <f>IF(CO9=1,Stats!$S24,"")</f>
        <v/>
      </c>
      <c r="CV9" s="68">
        <f t="shared" si="36"/>
        <v>0</v>
      </c>
      <c r="CW9">
        <f t="shared" si="37"/>
        <v>0</v>
      </c>
      <c r="CX9" s="68">
        <f>IF(CW9=0,MAX(CX$2:CX8)+1,0)</f>
        <v>7</v>
      </c>
      <c r="CY9" s="5" t="str">
        <f t="shared" si="38"/>
        <v>Character (Warlord)</v>
      </c>
      <c r="CZ9" s="5" t="str">
        <f t="shared" si="39"/>
        <v>Character (Warlord)</v>
      </c>
      <c r="DB9">
        <f t="shared" si="158"/>
        <v>7</v>
      </c>
      <c r="DC9" s="5" t="str">
        <f t="shared" si="159"/>
        <v>Character (Warlord)</v>
      </c>
      <c r="DD9" s="68">
        <f>COUNTIF(Builder!$K$12:$N$12,DC9)</f>
        <v>0</v>
      </c>
      <c r="DE9" s="68" t="str">
        <f>IF(DD9=1,Stats!$N24,"")</f>
        <v/>
      </c>
      <c r="DF9" s="68" t="str">
        <f>IF(DD9=1,Stats!$O24,"")</f>
        <v/>
      </c>
      <c r="DG9" s="68" t="str">
        <f>IF(DD9=1,Stats!$P24,"")</f>
        <v/>
      </c>
      <c r="DH9" s="68" t="str">
        <f>IF(DD9=1,Stats!$Q24,"")</f>
        <v/>
      </c>
      <c r="DI9" s="68" t="str">
        <f>IF(DD9=1,Stats!$R24,"")</f>
        <v/>
      </c>
      <c r="DJ9" s="68" t="str">
        <f>IF(DD9=1,Stats!$S24,"")</f>
        <v/>
      </c>
      <c r="DK9" s="68">
        <f t="shared" si="160"/>
        <v>0</v>
      </c>
      <c r="DL9">
        <f t="shared" si="161"/>
        <v>0</v>
      </c>
      <c r="DM9" s="68">
        <f>IF(DL9=0,MAX(DM$2:DM8)+1,0)</f>
        <v>7</v>
      </c>
      <c r="DN9" s="5" t="str">
        <f t="shared" si="162"/>
        <v>Character (Warlord)</v>
      </c>
      <c r="DO9" s="5" t="str">
        <f t="shared" si="45"/>
        <v>Character (Warlord)</v>
      </c>
      <c r="DQ9">
        <f t="shared" si="163"/>
        <v>7</v>
      </c>
      <c r="DR9" s="5" t="str">
        <f t="shared" si="164"/>
        <v>Character (Warlord)</v>
      </c>
      <c r="DS9" s="68">
        <f>COUNTIF(Builder!$K$13:$N$13,DR9)</f>
        <v>0</v>
      </c>
      <c r="DT9" s="68" t="str">
        <f>IF(DS9=1,Stats!$N24,"")</f>
        <v/>
      </c>
      <c r="DU9" s="68" t="str">
        <f>IF(DS9=1,Stats!$O24,"")</f>
        <v/>
      </c>
      <c r="DV9" s="68" t="str">
        <f>IF(DS9=1,Stats!$P24,"")</f>
        <v/>
      </c>
      <c r="DW9" s="68" t="str">
        <f>IF(DS9=1,Stats!$Q24,"")</f>
        <v/>
      </c>
      <c r="DX9" s="68" t="str">
        <f>IF(DS9=1,Stats!$R24,"")</f>
        <v/>
      </c>
      <c r="DY9" s="68" t="str">
        <f>IF(DS9=1,Stats!$S24,"")</f>
        <v/>
      </c>
      <c r="DZ9" s="68">
        <f t="shared" si="165"/>
        <v>0</v>
      </c>
      <c r="EA9">
        <f t="shared" si="166"/>
        <v>0</v>
      </c>
      <c r="EB9" s="68">
        <f>IF(EA9=0,MAX(EB$2:EB8)+1,0)</f>
        <v>7</v>
      </c>
      <c r="EC9" s="5" t="str">
        <f t="shared" si="167"/>
        <v>Character (Warlord)</v>
      </c>
      <c r="ED9" s="5" t="str">
        <f t="shared" si="51"/>
        <v>Character (Warlord)</v>
      </c>
      <c r="EF9">
        <f t="shared" si="52"/>
        <v>7</v>
      </c>
      <c r="EG9" s="5" t="str">
        <f t="shared" si="53"/>
        <v>Character (Warlord)</v>
      </c>
      <c r="EH9" s="68">
        <f>COUNTIF(Builder!$K$14:$N$14,EG9)</f>
        <v>0</v>
      </c>
      <c r="EI9" s="68" t="str">
        <f>IF(EH9=1,Stats!$N24,"")</f>
        <v/>
      </c>
      <c r="EJ9" s="68" t="str">
        <f>IF(EH9=1,Stats!$O24,"")</f>
        <v/>
      </c>
      <c r="EK9" s="68" t="str">
        <f>IF(EH9=1,Stats!$P24,"")</f>
        <v/>
      </c>
      <c r="EL9" s="68" t="str">
        <f>IF(EH9=1,Stats!$Q24,"")</f>
        <v/>
      </c>
      <c r="EM9" s="68" t="str">
        <f>IF(EH9=1,Stats!$R24,"")</f>
        <v/>
      </c>
      <c r="EN9" s="68" t="str">
        <f>IF(EH9=1,Stats!$S24,"")</f>
        <v/>
      </c>
      <c r="EO9" s="68">
        <f t="shared" si="54"/>
        <v>0</v>
      </c>
      <c r="EP9">
        <f t="shared" si="55"/>
        <v>0</v>
      </c>
      <c r="EQ9" s="68">
        <f>IF(EP9=0,MAX(EQ$2:EQ8)+1,0)</f>
        <v>7</v>
      </c>
      <c r="ER9" s="5" t="str">
        <f t="shared" si="56"/>
        <v>Character (Warlord)</v>
      </c>
      <c r="ES9" s="5" t="str">
        <f t="shared" si="57"/>
        <v>Character (Warlord)</v>
      </c>
      <c r="EU9">
        <f t="shared" si="58"/>
        <v>7</v>
      </c>
      <c r="EV9" s="5" t="str">
        <f t="shared" si="59"/>
        <v>Character (Warlord)</v>
      </c>
      <c r="EW9" s="68">
        <f>COUNTIF(Builder!$K$15:$N$15,EV9)</f>
        <v>0</v>
      </c>
      <c r="EX9" s="68" t="str">
        <f>IF(EW9=1,Stats!$N24,"")</f>
        <v/>
      </c>
      <c r="EY9" s="68" t="str">
        <f>IF(EW9=1,Stats!$O24,"")</f>
        <v/>
      </c>
      <c r="EZ9" s="68" t="str">
        <f>IF(EW9=1,Stats!$P24,"")</f>
        <v/>
      </c>
      <c r="FA9" s="68" t="str">
        <f>IF(EW9=1,Stats!$Q24,"")</f>
        <v/>
      </c>
      <c r="FB9" s="68" t="str">
        <f>IF(EW9=1,Stats!$R24,"")</f>
        <v/>
      </c>
      <c r="FC9" s="68" t="str">
        <f>IF(EW9=1,Stats!$S24,"")</f>
        <v/>
      </c>
      <c r="FD9" s="68">
        <f t="shared" si="60"/>
        <v>0</v>
      </c>
      <c r="FE9">
        <f t="shared" si="61"/>
        <v>0</v>
      </c>
      <c r="FF9" s="68">
        <f>IF(FE9=0,MAX(FF$2:FF8)+1,0)</f>
        <v>7</v>
      </c>
      <c r="FG9" s="5" t="str">
        <f t="shared" si="62"/>
        <v>Character (Warlord)</v>
      </c>
      <c r="FH9" s="5" t="str">
        <f t="shared" si="63"/>
        <v>Character (Warlord)</v>
      </c>
      <c r="FJ9">
        <f t="shared" si="64"/>
        <v>7</v>
      </c>
      <c r="FK9" s="5" t="str">
        <f t="shared" si="65"/>
        <v>Character (Warlord)</v>
      </c>
      <c r="FL9" s="68">
        <f>COUNTIF(Builder!$K$16:$N$16,FK9)</f>
        <v>0</v>
      </c>
      <c r="FM9" s="68" t="str">
        <f>IF(FL9=1,Stats!$N24,"")</f>
        <v/>
      </c>
      <c r="FN9" s="68" t="str">
        <f>IF(FL9=1,Stats!$O24,"")</f>
        <v/>
      </c>
      <c r="FO9" s="68" t="str">
        <f>IF(FL9=1,Stats!$P24,"")</f>
        <v/>
      </c>
      <c r="FP9" s="68" t="str">
        <f>IF(FL9=1,Stats!$Q24,"")</f>
        <v/>
      </c>
      <c r="FQ9" s="68" t="str">
        <f>IF(FL9=1,Stats!$R24,"")</f>
        <v/>
      </c>
      <c r="FR9" s="68" t="str">
        <f>IF(FL9=1,Stats!$S24,"")</f>
        <v/>
      </c>
      <c r="FS9" s="68">
        <f t="shared" si="66"/>
        <v>0</v>
      </c>
      <c r="FT9">
        <f t="shared" si="67"/>
        <v>0</v>
      </c>
      <c r="FU9" s="68">
        <f>IF(FT9=0,MAX(FU$2:FU8)+1,0)</f>
        <v>7</v>
      </c>
      <c r="FV9" s="5" t="str">
        <f t="shared" si="68"/>
        <v>Character (Warlord)</v>
      </c>
      <c r="FW9" s="5" t="str">
        <f t="shared" si="69"/>
        <v>Character (Warlord)</v>
      </c>
      <c r="FY9">
        <f t="shared" si="168"/>
        <v>7</v>
      </c>
      <c r="FZ9" s="5" t="str">
        <f t="shared" si="169"/>
        <v>Character (Warlord)</v>
      </c>
      <c r="GA9" s="68">
        <f>COUNTIF(Builder!$K$17:$N$17,FZ9)</f>
        <v>0</v>
      </c>
      <c r="GB9" s="68" t="str">
        <f>IF(GA9=1,Stats!$N24,"")</f>
        <v/>
      </c>
      <c r="GC9" s="68" t="str">
        <f>IF(GA9=1,Stats!$O24,"")</f>
        <v/>
      </c>
      <c r="GD9" s="68" t="str">
        <f>IF(GA9=1,Stats!$P24,"")</f>
        <v/>
      </c>
      <c r="GE9" s="68" t="str">
        <f>IF(GA9=1,Stats!$Q24,"")</f>
        <v/>
      </c>
      <c r="GF9" s="68" t="str">
        <f>IF(GA9=1,Stats!$R24,"")</f>
        <v/>
      </c>
      <c r="GG9" s="68" t="str">
        <f>IF(GA9=1,Stats!$S24,"")</f>
        <v/>
      </c>
      <c r="GH9" s="68">
        <f t="shared" si="170"/>
        <v>0</v>
      </c>
      <c r="GI9">
        <f t="shared" si="171"/>
        <v>0</v>
      </c>
      <c r="GJ9" s="68">
        <f>IF(GI9=0,MAX(GJ$2:GJ8)+1,0)</f>
        <v>7</v>
      </c>
      <c r="GK9" s="5" t="str">
        <f t="shared" si="172"/>
        <v>Character (Warlord)</v>
      </c>
      <c r="GL9" s="5" t="str">
        <f t="shared" si="75"/>
        <v>Character (Warlord)</v>
      </c>
      <c r="GN9">
        <f t="shared" si="76"/>
        <v>7</v>
      </c>
      <c r="GO9" s="5" t="str">
        <f t="shared" si="77"/>
        <v>Character (Warlord)</v>
      </c>
      <c r="GP9" s="68">
        <f>COUNTIF(Builder!$K$18:$N$18,GO9)</f>
        <v>0</v>
      </c>
      <c r="GQ9" s="68" t="str">
        <f>IF(GP9=1,Stats!$N24,"")</f>
        <v/>
      </c>
      <c r="GR9" s="68" t="str">
        <f>IF(GP9=1,Stats!$O24,"")</f>
        <v/>
      </c>
      <c r="GS9" s="68" t="str">
        <f>IF(GP9=1,Stats!$P24,"")</f>
        <v/>
      </c>
      <c r="GT9" s="68" t="str">
        <f>IF(GP9=1,Stats!$Q24,"")</f>
        <v/>
      </c>
      <c r="GU9" s="68" t="str">
        <f>IF(GP9=1,Stats!$R24,"")</f>
        <v/>
      </c>
      <c r="GV9" s="68" t="str">
        <f>IF(GP9=1,Stats!$S24,"")</f>
        <v/>
      </c>
      <c r="GW9" s="68">
        <f t="shared" si="78"/>
        <v>0</v>
      </c>
      <c r="GX9">
        <f t="shared" si="79"/>
        <v>0</v>
      </c>
      <c r="GY9" s="68">
        <f>IF(GX9=0,MAX(GY$2:GY8)+1,0)</f>
        <v>7</v>
      </c>
      <c r="GZ9" s="5" t="str">
        <f t="shared" si="80"/>
        <v>Character (Warlord)</v>
      </c>
      <c r="HA9" s="5" t="str">
        <f t="shared" si="81"/>
        <v>Character (Warlord)</v>
      </c>
      <c r="HC9">
        <f t="shared" si="82"/>
        <v>7</v>
      </c>
      <c r="HD9" s="5" t="str">
        <f t="shared" si="83"/>
        <v>Character (Warlord)</v>
      </c>
      <c r="HE9" s="68">
        <f>COUNTIF(Builder!$K$19:$N$19,HD9)</f>
        <v>0</v>
      </c>
      <c r="HF9" s="68" t="str">
        <f>IF(HE9=1,Stats!$N24,"")</f>
        <v/>
      </c>
      <c r="HG9" s="68" t="str">
        <f>IF(HE9=1,Stats!$O24,"")</f>
        <v/>
      </c>
      <c r="HH9" s="68" t="str">
        <f>IF(HE9=1,Stats!$P24,"")</f>
        <v/>
      </c>
      <c r="HI9" s="68" t="str">
        <f>IF(HE9=1,Stats!$Q24,"")</f>
        <v/>
      </c>
      <c r="HJ9" s="68" t="str">
        <f>IF(HE9=1,Stats!$R24,"")</f>
        <v/>
      </c>
      <c r="HK9" s="68" t="str">
        <f>IF(HE9=1,Stats!$S24,"")</f>
        <v/>
      </c>
      <c r="HL9" s="68">
        <f t="shared" si="84"/>
        <v>0</v>
      </c>
      <c r="HM9">
        <f t="shared" si="85"/>
        <v>0</v>
      </c>
      <c r="HN9" s="68">
        <f>IF(HM9=0,MAX(HN$2:HN8)+1,0)</f>
        <v>7</v>
      </c>
      <c r="HO9" s="5" t="str">
        <f t="shared" si="86"/>
        <v>Character (Warlord)</v>
      </c>
      <c r="HP9" s="5" t="str">
        <f t="shared" si="87"/>
        <v>Character (Warlord)</v>
      </c>
      <c r="HR9">
        <f t="shared" si="88"/>
        <v>7</v>
      </c>
      <c r="HS9" s="5" t="str">
        <f t="shared" si="89"/>
        <v>Character (Warlord)</v>
      </c>
      <c r="HT9" s="68">
        <f>COUNTIF(Builder!$K$20:$N$20,HS9)</f>
        <v>0</v>
      </c>
      <c r="HU9" s="68" t="str">
        <f>IF(HT9=1,Stats!$N24,"")</f>
        <v/>
      </c>
      <c r="HV9" s="68" t="str">
        <f>IF(HT9=1,Stats!$O24,"")</f>
        <v/>
      </c>
      <c r="HW9" s="68" t="str">
        <f>IF(HT9=1,Stats!$P24,"")</f>
        <v/>
      </c>
      <c r="HX9" s="68" t="str">
        <f>IF(HT9=1,Stats!$Q24,"")</f>
        <v/>
      </c>
      <c r="HY9" s="68" t="str">
        <f>IF(HT9=1,Stats!$R24,"")</f>
        <v/>
      </c>
      <c r="HZ9" s="68" t="str">
        <f>IF(HT9=1,Stats!$S24,"")</f>
        <v/>
      </c>
      <c r="IA9" s="68">
        <f t="shared" si="90"/>
        <v>0</v>
      </c>
      <c r="IB9">
        <f t="shared" si="91"/>
        <v>0</v>
      </c>
      <c r="IC9" s="68">
        <f>IF(IB9=0,MAX(IC$2:IC8)+1,0)</f>
        <v>7</v>
      </c>
      <c r="ID9" s="5" t="str">
        <f t="shared" si="92"/>
        <v>Character (Warlord)</v>
      </c>
      <c r="IE9" s="5" t="str">
        <f t="shared" si="93"/>
        <v>Character (Warlord)</v>
      </c>
      <c r="IG9">
        <f t="shared" si="94"/>
        <v>7</v>
      </c>
      <c r="IH9" s="5" t="str">
        <f t="shared" si="95"/>
        <v>Character (Warlord)</v>
      </c>
      <c r="II9" s="68">
        <f>COUNTIF(Builder!$K$21:$N$21,IH9)</f>
        <v>0</v>
      </c>
      <c r="IJ9" s="68" t="str">
        <f>IF(II9=1,Stats!$N24,"")</f>
        <v/>
      </c>
      <c r="IK9" s="68" t="str">
        <f>IF(II9=1,Stats!$O24,"")</f>
        <v/>
      </c>
      <c r="IL9" s="68" t="str">
        <f>IF(II9=1,Stats!$P24,"")</f>
        <v/>
      </c>
      <c r="IM9" s="68" t="str">
        <f>IF(II9=1,Stats!$Q24,"")</f>
        <v/>
      </c>
      <c r="IN9" s="68" t="str">
        <f>IF(II9=1,Stats!$R24,"")</f>
        <v/>
      </c>
      <c r="IO9" s="68" t="str">
        <f>IF(II9=1,Stats!$S24,"")</f>
        <v/>
      </c>
      <c r="IP9" s="68">
        <f t="shared" si="96"/>
        <v>0</v>
      </c>
      <c r="IQ9">
        <f t="shared" si="97"/>
        <v>0</v>
      </c>
      <c r="IR9" s="68">
        <f>IF(IQ9=0,MAX(IR$2:IR8)+1,0)</f>
        <v>7</v>
      </c>
      <c r="IS9" s="5" t="str">
        <f t="shared" si="98"/>
        <v>Character (Warlord)</v>
      </c>
      <c r="IT9" s="5" t="str">
        <f t="shared" si="99"/>
        <v>Character (Warlord)</v>
      </c>
      <c r="IV9">
        <f t="shared" si="100"/>
        <v>7</v>
      </c>
      <c r="IW9" s="5" t="str">
        <f t="shared" si="101"/>
        <v>Character (Warlord)</v>
      </c>
      <c r="IX9" s="68">
        <f>COUNTIF(Builder!$K$22:$N$22,IW9)</f>
        <v>0</v>
      </c>
      <c r="IY9" s="68" t="str">
        <f>IF(IX9=1,Stats!$N24,"")</f>
        <v/>
      </c>
      <c r="IZ9" s="68" t="str">
        <f>IF(IX9=1,Stats!$O24,"")</f>
        <v/>
      </c>
      <c r="JA9" s="68" t="str">
        <f>IF(IX9=1,Stats!$P24,"")</f>
        <v/>
      </c>
      <c r="JB9" s="68" t="str">
        <f>IF(IX9=1,Stats!$Q24,"")</f>
        <v/>
      </c>
      <c r="JC9" s="68" t="str">
        <f>IF(IX9=1,Stats!$R24,"")</f>
        <v/>
      </c>
      <c r="JD9" s="68" t="str">
        <f>IF(IX9=1,Stats!$S24,"")</f>
        <v/>
      </c>
      <c r="JE9" s="68">
        <f t="shared" si="102"/>
        <v>0</v>
      </c>
      <c r="JF9">
        <f t="shared" si="103"/>
        <v>0</v>
      </c>
      <c r="JG9" s="68">
        <f>IF(JF9=0,MAX(JG$2:JG8)+1,0)</f>
        <v>7</v>
      </c>
      <c r="JH9" s="5" t="str">
        <f t="shared" si="104"/>
        <v>Character (Warlord)</v>
      </c>
      <c r="JI9" s="5" t="str">
        <f t="shared" si="105"/>
        <v>Character (Warlord)</v>
      </c>
      <c r="JK9">
        <f t="shared" si="106"/>
        <v>7</v>
      </c>
      <c r="JL9" s="5" t="str">
        <f t="shared" si="107"/>
        <v>Character (Warlord)</v>
      </c>
      <c r="JM9" s="68">
        <f>COUNTIF(Builder!$K$23:$N$23,JL9)</f>
        <v>0</v>
      </c>
      <c r="JN9" s="68" t="str">
        <f>IF(JM9=1,Stats!$N24,"")</f>
        <v/>
      </c>
      <c r="JO9" s="68" t="str">
        <f>IF(JM9=1,Stats!$O24,"")</f>
        <v/>
      </c>
      <c r="JP9" s="68" t="str">
        <f>IF(JM9=1,Stats!$P24,"")</f>
        <v/>
      </c>
      <c r="JQ9" s="68" t="str">
        <f>IF(JM9=1,Stats!$Q24,"")</f>
        <v/>
      </c>
      <c r="JR9" s="68" t="str">
        <f>IF(JM9=1,Stats!$R24,"")</f>
        <v/>
      </c>
      <c r="JS9" s="68" t="str">
        <f>IF(JM9=1,Stats!$S24,"")</f>
        <v/>
      </c>
      <c r="JT9" s="68">
        <f t="shared" si="108"/>
        <v>0</v>
      </c>
      <c r="JU9">
        <f t="shared" si="109"/>
        <v>0</v>
      </c>
      <c r="JV9" s="68">
        <f>IF(JU9=0,MAX(JV$2:JV8)+1,0)</f>
        <v>7</v>
      </c>
      <c r="JW9" s="5" t="str">
        <f t="shared" si="110"/>
        <v>Character (Warlord)</v>
      </c>
      <c r="JX9" s="5" t="str">
        <f t="shared" si="111"/>
        <v>Character (Warlord)</v>
      </c>
      <c r="JZ9">
        <f t="shared" si="112"/>
        <v>7</v>
      </c>
      <c r="KA9" s="5" t="str">
        <f t="shared" si="113"/>
        <v>Character (Warlord)</v>
      </c>
      <c r="KB9" s="68">
        <f>COUNTIF(Builder!$K$24:$N$24,KA9)</f>
        <v>0</v>
      </c>
      <c r="KC9" s="68" t="str">
        <f>IF(KB9=1,Stats!$N24,"")</f>
        <v/>
      </c>
      <c r="KD9" s="68" t="str">
        <f>IF(KB9=1,Stats!$O24,"")</f>
        <v/>
      </c>
      <c r="KE9" s="68" t="str">
        <f>IF(KB9=1,Stats!$P24,"")</f>
        <v/>
      </c>
      <c r="KF9" s="68" t="str">
        <f>IF(KB9=1,Stats!$Q24,"")</f>
        <v/>
      </c>
      <c r="KG9" s="68" t="str">
        <f>IF(KB9=1,Stats!$R24,"")</f>
        <v/>
      </c>
      <c r="KH9" s="68" t="str">
        <f>IF(KB9=1,Stats!$S24,"")</f>
        <v/>
      </c>
      <c r="KI9" s="68">
        <f t="shared" si="114"/>
        <v>0</v>
      </c>
      <c r="KJ9">
        <f t="shared" si="115"/>
        <v>0</v>
      </c>
      <c r="KK9" s="68">
        <f>IF(KJ9=0,MAX(KK$2:KK8)+1,0)</f>
        <v>7</v>
      </c>
      <c r="KL9" s="5" t="str">
        <f t="shared" si="116"/>
        <v>Character (Warlord)</v>
      </c>
      <c r="KM9" s="5" t="str">
        <f t="shared" si="117"/>
        <v>Character (Warlord)</v>
      </c>
      <c r="KO9">
        <f t="shared" si="118"/>
        <v>7</v>
      </c>
      <c r="KP9" s="5" t="str">
        <f t="shared" si="119"/>
        <v>Character (Warlord)</v>
      </c>
      <c r="KQ9" s="68">
        <f>COUNTIF(Builder!$K$25:$N$25,KP9)</f>
        <v>0</v>
      </c>
      <c r="KR9" s="68" t="str">
        <f>IF(KQ9=1,Stats!$N24,"")</f>
        <v/>
      </c>
      <c r="KS9" s="68" t="str">
        <f>IF(KQ9=1,Stats!$O24,"")</f>
        <v/>
      </c>
      <c r="KT9" s="68" t="str">
        <f>IF(KQ9=1,Stats!$P24,"")</f>
        <v/>
      </c>
      <c r="KU9" s="68" t="str">
        <f>IF(KQ9=1,Stats!$Q24,"")</f>
        <v/>
      </c>
      <c r="KV9" s="68" t="str">
        <f>IF(KQ9=1,Stats!$R24,"")</f>
        <v/>
      </c>
      <c r="KW9" s="68" t="str">
        <f>IF(KQ9=1,Stats!$S24,"")</f>
        <v/>
      </c>
      <c r="KX9" s="68">
        <f t="shared" si="120"/>
        <v>0</v>
      </c>
      <c r="KY9">
        <f t="shared" si="121"/>
        <v>0</v>
      </c>
      <c r="KZ9" s="68">
        <f>IF(KY9=0,MAX(KZ$2:KZ8)+1,0)</f>
        <v>7</v>
      </c>
      <c r="LA9" s="5" t="str">
        <f t="shared" si="122"/>
        <v>Character (Warlord)</v>
      </c>
      <c r="LB9" s="5" t="str">
        <f t="shared" si="123"/>
        <v>Character (Warlord)</v>
      </c>
      <c r="LD9">
        <f t="shared" si="124"/>
        <v>7</v>
      </c>
      <c r="LE9" s="5" t="str">
        <f t="shared" si="125"/>
        <v>Character (Warlord)</v>
      </c>
      <c r="LF9" s="68">
        <f>COUNTIF(Builder!$K$26:$N$26,LE9)</f>
        <v>0</v>
      </c>
      <c r="LG9" s="68" t="str">
        <f>IF(LF9=1,Stats!$N24,"")</f>
        <v/>
      </c>
      <c r="LH9" s="68" t="str">
        <f>IF(LF9=1,Stats!$O24,"")</f>
        <v/>
      </c>
      <c r="LI9" s="68" t="str">
        <f>IF(LF9=1,Stats!$P24,"")</f>
        <v/>
      </c>
      <c r="LJ9" s="68" t="str">
        <f>IF(LF9=1,Stats!$Q24,"")</f>
        <v/>
      </c>
      <c r="LK9" s="68" t="str">
        <f>IF(LF9=1,Stats!$R24,"")</f>
        <v/>
      </c>
      <c r="LL9" s="68" t="str">
        <f>IF(LF9=1,Stats!$S24,"")</f>
        <v/>
      </c>
      <c r="LM9" s="68">
        <f t="shared" si="126"/>
        <v>0</v>
      </c>
      <c r="LN9">
        <f t="shared" si="127"/>
        <v>0</v>
      </c>
      <c r="LO9" s="68">
        <f>IF(LN9=0,MAX(LO$2:LO8)+1,0)</f>
        <v>7</v>
      </c>
      <c r="LP9" s="5" t="str">
        <f t="shared" si="128"/>
        <v>Character (Warlord)</v>
      </c>
      <c r="LQ9" s="5" t="str">
        <f t="shared" si="129"/>
        <v>Character (Warlord)</v>
      </c>
      <c r="LS9">
        <f t="shared" si="130"/>
        <v>7</v>
      </c>
      <c r="LT9" s="5" t="str">
        <f t="shared" si="131"/>
        <v>Character (Warlord)</v>
      </c>
      <c r="LU9" s="68">
        <f>COUNTIF(Builder!$K$27:$N$27,LT9)</f>
        <v>0</v>
      </c>
      <c r="LV9" s="68" t="str">
        <f>IF(LU9=1,Stats!$N24,"")</f>
        <v/>
      </c>
      <c r="LW9" s="68" t="str">
        <f>IF(LU9=1,Stats!$O24,"")</f>
        <v/>
      </c>
      <c r="LX9" s="68" t="str">
        <f>IF(LU9=1,Stats!$P24,"")</f>
        <v/>
      </c>
      <c r="LY9" s="68" t="str">
        <f>IF(LU9=1,Stats!$Q24,"")</f>
        <v/>
      </c>
      <c r="LZ9" s="68" t="str">
        <f>IF(LU9=1,Stats!$R24,"")</f>
        <v/>
      </c>
      <c r="MA9" s="68" t="str">
        <f>IF(LU9=1,Stats!$S24,"")</f>
        <v/>
      </c>
      <c r="MB9" s="68">
        <f t="shared" si="132"/>
        <v>0</v>
      </c>
      <c r="MC9">
        <f t="shared" si="133"/>
        <v>0</v>
      </c>
      <c r="MD9" s="68">
        <f>IF(MC9=0,MAX(MD$2:MD8)+1,0)</f>
        <v>7</v>
      </c>
      <c r="ME9" s="5" t="str">
        <f t="shared" si="134"/>
        <v>Character (Warlord)</v>
      </c>
      <c r="MF9" s="5" t="str">
        <f t="shared" si="135"/>
        <v>Character (Warlord)</v>
      </c>
      <c r="MH9">
        <f t="shared" si="136"/>
        <v>7</v>
      </c>
      <c r="MI9" s="5" t="str">
        <f t="shared" si="137"/>
        <v>Character (Warlord)</v>
      </c>
      <c r="MJ9" s="68">
        <f>COUNTIF(Builder!$K$28:$N$28,MI9)</f>
        <v>0</v>
      </c>
      <c r="MK9" s="68" t="str">
        <f>IF(MJ9=1,Stats!$N24,"")</f>
        <v/>
      </c>
      <c r="ML9" s="68" t="str">
        <f>IF(MJ9=1,Stats!$O24,"")</f>
        <v/>
      </c>
      <c r="MM9" s="68" t="str">
        <f>IF(MJ9=1,Stats!$P24,"")</f>
        <v/>
      </c>
      <c r="MN9" s="68" t="str">
        <f>IF(MJ9=1,Stats!$Q24,"")</f>
        <v/>
      </c>
      <c r="MO9" s="68" t="str">
        <f>IF(MJ9=1,Stats!$R24,"")</f>
        <v/>
      </c>
      <c r="MP9" s="68" t="str">
        <f>IF(MJ9=1,Stats!$S24,"")</f>
        <v/>
      </c>
      <c r="MQ9" s="68">
        <f t="shared" si="138"/>
        <v>0</v>
      </c>
      <c r="MR9">
        <f t="shared" si="139"/>
        <v>0</v>
      </c>
      <c r="MS9" s="68">
        <f>IF(MR9=0,MAX(MS$2:MS8)+1,0)</f>
        <v>7</v>
      </c>
      <c r="MT9" s="5" t="str">
        <f t="shared" si="140"/>
        <v>Character (Warlord)</v>
      </c>
      <c r="MU9" s="5" t="str">
        <f t="shared" si="141"/>
        <v>Character (Warlord)</v>
      </c>
      <c r="MW9">
        <f t="shared" si="142"/>
        <v>7</v>
      </c>
      <c r="MX9" s="5" t="str">
        <f t="shared" si="143"/>
        <v>Character (Warlord)</v>
      </c>
      <c r="MY9" s="68">
        <f>COUNTIF(Builder!$K$29:$N$29,MX9)</f>
        <v>0</v>
      </c>
      <c r="MZ9" s="68" t="str">
        <f>IF(MY9=1,Stats!$N24,"")</f>
        <v/>
      </c>
      <c r="NA9" s="68" t="str">
        <f>IF(MY9=1,Stats!$O24,"")</f>
        <v/>
      </c>
      <c r="NB9" s="68" t="str">
        <f>IF(MY9=1,Stats!$P24,"")</f>
        <v/>
      </c>
      <c r="NC9" s="68" t="str">
        <f>IF(MY9=1,Stats!$Q24,"")</f>
        <v/>
      </c>
      <c r="ND9" s="68" t="str">
        <f>IF(MY9=1,Stats!$R24,"")</f>
        <v/>
      </c>
      <c r="NE9" s="68" t="str">
        <f>IF(MY9=1,Stats!$S24,"")</f>
        <v/>
      </c>
      <c r="NF9" s="68">
        <f t="shared" si="144"/>
        <v>0</v>
      </c>
      <c r="NG9">
        <f t="shared" si="145"/>
        <v>0</v>
      </c>
      <c r="NH9" s="68">
        <f>IF(NG9=0,MAX(NH$2:NH8)+1,0)</f>
        <v>7</v>
      </c>
      <c r="NI9" s="5" t="str">
        <f t="shared" si="146"/>
        <v>Character (Warlord)</v>
      </c>
      <c r="NJ9" s="5" t="str">
        <f t="shared" si="147"/>
        <v>Character (Warlord)</v>
      </c>
    </row>
    <row r="10" spans="1:374" ht="15" x14ac:dyDescent="0.3">
      <c r="A10">
        <v>8</v>
      </c>
      <c r="B10" s="5" t="s">
        <v>152</v>
      </c>
      <c r="C10" s="68">
        <f>COUNTIF(Builder!$K$5:$N$5,B10)</f>
        <v>0</v>
      </c>
      <c r="D10" s="68" t="str">
        <f>IF(C10=1,Stats!$N25,"")</f>
        <v/>
      </c>
      <c r="E10" s="68" t="str">
        <f>IF(C10=1,Stats!$O25,"")</f>
        <v/>
      </c>
      <c r="F10" s="68" t="str">
        <f>IF(C10=1,Stats!$P25,"")</f>
        <v/>
      </c>
      <c r="G10" s="68" t="str">
        <f>IF(C10=1,Stats!$Q25,"")</f>
        <v/>
      </c>
      <c r="H10" s="68" t="str">
        <f>IF(C10=1,Stats!$R25,"")</f>
        <v/>
      </c>
      <c r="I10" s="68" t="str">
        <f>IF(C10=1,Stats!$S25,"")</f>
        <v/>
      </c>
      <c r="J10" s="68">
        <f t="shared" si="0"/>
        <v>0</v>
      </c>
      <c r="K10">
        <f t="shared" si="1"/>
        <v>0</v>
      </c>
      <c r="L10" s="68">
        <f>IF(K10=0,MAX($L$2:L9)+1,0)</f>
        <v>8</v>
      </c>
      <c r="M10" s="5" t="str">
        <f t="shared" si="2"/>
        <v>Character (Mage-lord)</v>
      </c>
      <c r="N10" s="5" t="str">
        <f t="shared" si="3"/>
        <v>Character (Mage-lord)</v>
      </c>
      <c r="O10" s="5"/>
      <c r="P10">
        <f t="shared" si="4"/>
        <v>8</v>
      </c>
      <c r="Q10" s="5" t="str">
        <f t="shared" si="5"/>
        <v>Character (Mage-lord)</v>
      </c>
      <c r="R10" s="68">
        <f>COUNTIF(Builder!$K$6:$N$6,Q10)</f>
        <v>0</v>
      </c>
      <c r="S10" s="68" t="str">
        <f>IF(R10=1,Stats!$N25,"")</f>
        <v/>
      </c>
      <c r="T10" s="68" t="str">
        <f>IF(R10=1,Stats!$O25,"")</f>
        <v/>
      </c>
      <c r="U10" s="68" t="str">
        <f>IF(R10=1,Stats!$P25,"")</f>
        <v/>
      </c>
      <c r="V10" s="68" t="str">
        <f>IF(R10=1,Stats!$Q25,"")</f>
        <v/>
      </c>
      <c r="W10" s="68" t="str">
        <f>IF(R10=1,Stats!$R25,"")</f>
        <v/>
      </c>
      <c r="X10" s="68" t="str">
        <f>IF(R10=1,Stats!$S25,"")</f>
        <v/>
      </c>
      <c r="Y10" s="68">
        <f t="shared" si="6"/>
        <v>0</v>
      </c>
      <c r="Z10">
        <f t="shared" si="7"/>
        <v>0</v>
      </c>
      <c r="AA10" s="68">
        <f>IF(Z10=0,MAX($AA$2:AA9)+1,0)</f>
        <v>8</v>
      </c>
      <c r="AB10" s="5" t="str">
        <f t="shared" si="8"/>
        <v>Character (Mage-lord)</v>
      </c>
      <c r="AC10" s="5" t="str">
        <f t="shared" si="9"/>
        <v>Character (Mage-lord)</v>
      </c>
      <c r="AD10" s="5"/>
      <c r="AE10">
        <f t="shared" si="10"/>
        <v>8</v>
      </c>
      <c r="AF10" s="5" t="str">
        <f t="shared" si="11"/>
        <v>Character (Mage-lord)</v>
      </c>
      <c r="AG10" s="68">
        <f>COUNTIF(Builder!$K$7:$N$7,AF10)</f>
        <v>0</v>
      </c>
      <c r="AH10" s="68" t="str">
        <f>IF(AG10=1,Stats!$N25,"")</f>
        <v/>
      </c>
      <c r="AI10" s="68" t="str">
        <f>IF(AG10=1,Stats!$O25,"")</f>
        <v/>
      </c>
      <c r="AJ10" s="68" t="str">
        <f>IF(AG10=1,Stats!$P25,"")</f>
        <v/>
      </c>
      <c r="AK10" s="68" t="str">
        <f>IF(AG10=1,Stats!$Q25,"")</f>
        <v/>
      </c>
      <c r="AL10" s="68" t="str">
        <f>IF(AG10=1,Stats!$R25,"")</f>
        <v/>
      </c>
      <c r="AM10" s="68" t="str">
        <f>IF(AG10=1,Stats!$S25,"")</f>
        <v/>
      </c>
      <c r="AN10" s="68">
        <f t="shared" si="12"/>
        <v>0</v>
      </c>
      <c r="AO10">
        <f t="shared" si="13"/>
        <v>0</v>
      </c>
      <c r="AP10" s="68">
        <f>IF(AO10=0,MAX($AP$2:AP9)+1,0)</f>
        <v>8</v>
      </c>
      <c r="AQ10" s="5" t="str">
        <f t="shared" si="14"/>
        <v>Character (Mage-lord)</v>
      </c>
      <c r="AR10" s="5" t="str">
        <f t="shared" si="15"/>
        <v>Character (Mage-lord)</v>
      </c>
      <c r="AS10" s="5"/>
      <c r="AT10">
        <f t="shared" si="16"/>
        <v>8</v>
      </c>
      <c r="AU10" s="5" t="str">
        <f t="shared" si="17"/>
        <v>Character (Mage-lord)</v>
      </c>
      <c r="AV10" s="68">
        <f>COUNTIF(Builder!$K$8:$N$8,AU10)</f>
        <v>0</v>
      </c>
      <c r="AW10" s="68" t="str">
        <f>IF(AV10=1,Stats!$N25,"")</f>
        <v/>
      </c>
      <c r="AX10" s="68" t="str">
        <f>IF(AV10=1,Stats!$O25,"")</f>
        <v/>
      </c>
      <c r="AY10" s="68" t="str">
        <f>IF(AV10=1,Stats!$P25,"")</f>
        <v/>
      </c>
      <c r="AZ10" s="68" t="str">
        <f>IF(AV10=1,Stats!$Q25,"")</f>
        <v/>
      </c>
      <c r="BA10" s="68" t="str">
        <f>IF(AV10=1,Stats!$R25,"")</f>
        <v/>
      </c>
      <c r="BB10" s="68" t="str">
        <f>IF(AV10=1,Stats!$S25,"")</f>
        <v/>
      </c>
      <c r="BC10" s="68">
        <f t="shared" si="18"/>
        <v>0</v>
      </c>
      <c r="BD10">
        <f t="shared" si="19"/>
        <v>0</v>
      </c>
      <c r="BE10" s="68">
        <f>IF(BD10=0,MAX($BE$2:BE9)+1,0)</f>
        <v>8</v>
      </c>
      <c r="BF10" s="5" t="str">
        <f t="shared" si="20"/>
        <v>Character (Mage-lord)</v>
      </c>
      <c r="BG10" s="5" t="str">
        <f t="shared" si="21"/>
        <v>Character (Mage-lord)</v>
      </c>
      <c r="BH10" s="5"/>
      <c r="BI10">
        <f t="shared" si="148"/>
        <v>8</v>
      </c>
      <c r="BJ10" s="5" t="str">
        <f t="shared" si="149"/>
        <v>Character (Mage-lord)</v>
      </c>
      <c r="BK10" s="68">
        <f>COUNTIF(Builder!$K$9:$N$9,BJ10)</f>
        <v>0</v>
      </c>
      <c r="BL10" s="68" t="str">
        <f>IF(BK10=1,Stats!$N25,"")</f>
        <v/>
      </c>
      <c r="BM10" s="68" t="str">
        <f>IF(BK10=1,Stats!$O25,"")</f>
        <v/>
      </c>
      <c r="BN10" s="68" t="str">
        <f>IF(BK10=1,Stats!$P25,"")</f>
        <v/>
      </c>
      <c r="BO10" s="68" t="str">
        <f>IF(BK10=1,Stats!$Q25,"")</f>
        <v/>
      </c>
      <c r="BP10" s="68" t="str">
        <f>IF(BK10=1,Stats!$R25,"")</f>
        <v/>
      </c>
      <c r="BQ10" s="68" t="str">
        <f>IF(BK10=1,Stats!$S25,"")</f>
        <v/>
      </c>
      <c r="BR10" s="68">
        <f t="shared" si="150"/>
        <v>0</v>
      </c>
      <c r="BS10">
        <f t="shared" si="151"/>
        <v>0</v>
      </c>
      <c r="BT10" s="68">
        <f>IF(BS10=0,MAX(BT$2:BT9)+1,0)</f>
        <v>8</v>
      </c>
      <c r="BU10" s="5" t="str">
        <f t="shared" si="152"/>
        <v>Character (Mage-lord)</v>
      </c>
      <c r="BV10" s="5" t="str">
        <f t="shared" si="27"/>
        <v>Character (Mage-lord)</v>
      </c>
      <c r="BX10">
        <f t="shared" si="153"/>
        <v>8</v>
      </c>
      <c r="BY10" s="5" t="str">
        <f t="shared" si="154"/>
        <v>Character (Mage-lord)</v>
      </c>
      <c r="BZ10" s="68">
        <f>COUNTIF(Builder!$K$10:$N$10,BY10)</f>
        <v>0</v>
      </c>
      <c r="CA10" s="68" t="str">
        <f>IF(BZ10=1,Stats!$N25,"")</f>
        <v/>
      </c>
      <c r="CB10" s="68" t="str">
        <f>IF(BZ10=1,Stats!$O25,"")</f>
        <v/>
      </c>
      <c r="CC10" s="68" t="str">
        <f>IF(BZ10=1,Stats!$P25,"")</f>
        <v/>
      </c>
      <c r="CD10" s="68" t="str">
        <f>IF(BZ10=1,Stats!$Q25,"")</f>
        <v/>
      </c>
      <c r="CE10" s="68" t="str">
        <f>IF(BZ10=1,Stats!$R25,"")</f>
        <v/>
      </c>
      <c r="CF10" s="68" t="str">
        <f>IF(BZ10=1,Stats!$S25,"")</f>
        <v/>
      </c>
      <c r="CG10" s="68">
        <f t="shared" si="155"/>
        <v>0</v>
      </c>
      <c r="CH10">
        <f t="shared" si="156"/>
        <v>0</v>
      </c>
      <c r="CI10" s="68">
        <f>IF(CH10=0,MAX(CI$2:CI9)+1,0)</f>
        <v>8</v>
      </c>
      <c r="CJ10" s="5" t="str">
        <f t="shared" si="157"/>
        <v>Character (Mage-lord)</v>
      </c>
      <c r="CK10" s="5" t="str">
        <f t="shared" si="33"/>
        <v>Character (Mage-lord)</v>
      </c>
      <c r="CM10">
        <f t="shared" si="34"/>
        <v>8</v>
      </c>
      <c r="CN10" s="5" t="str">
        <f t="shared" si="35"/>
        <v>Character (Mage-lord)</v>
      </c>
      <c r="CO10" s="68">
        <f>COUNTIF(Builder!$K$11:$N$11,CN10)</f>
        <v>0</v>
      </c>
      <c r="CP10" s="68" t="str">
        <f>IF(CO10=1,Stats!$N25,"")</f>
        <v/>
      </c>
      <c r="CQ10" s="68" t="str">
        <f>IF(CO10=1,Stats!$O25,"")</f>
        <v/>
      </c>
      <c r="CR10" s="68" t="str">
        <f>IF(CO10=1,Stats!$P25,"")</f>
        <v/>
      </c>
      <c r="CS10" s="68" t="str">
        <f>IF(CO10=1,Stats!$Q25,"")</f>
        <v/>
      </c>
      <c r="CT10" s="68" t="str">
        <f>IF(CO10=1,Stats!$R25,"")</f>
        <v/>
      </c>
      <c r="CU10" s="68" t="str">
        <f>IF(CO10=1,Stats!$S25,"")</f>
        <v/>
      </c>
      <c r="CV10" s="68">
        <f t="shared" si="36"/>
        <v>0</v>
      </c>
      <c r="CW10">
        <f t="shared" si="37"/>
        <v>0</v>
      </c>
      <c r="CX10" s="68">
        <f>IF(CW10=0,MAX(CX$2:CX9)+1,0)</f>
        <v>8</v>
      </c>
      <c r="CY10" s="5" t="str">
        <f t="shared" si="38"/>
        <v>Character (Mage-lord)</v>
      </c>
      <c r="CZ10" s="5" t="str">
        <f t="shared" si="39"/>
        <v>Character (Mage-lord)</v>
      </c>
      <c r="DB10">
        <f t="shared" si="158"/>
        <v>8</v>
      </c>
      <c r="DC10" s="5" t="str">
        <f t="shared" si="159"/>
        <v>Character (Mage-lord)</v>
      </c>
      <c r="DD10" s="68">
        <f>COUNTIF(Builder!$K$12:$N$12,DC10)</f>
        <v>0</v>
      </c>
      <c r="DE10" s="68" t="str">
        <f>IF(DD10=1,Stats!$N25,"")</f>
        <v/>
      </c>
      <c r="DF10" s="68" t="str">
        <f>IF(DD10=1,Stats!$O25,"")</f>
        <v/>
      </c>
      <c r="DG10" s="68" t="str">
        <f>IF(DD10=1,Stats!$P25,"")</f>
        <v/>
      </c>
      <c r="DH10" s="68" t="str">
        <f>IF(DD10=1,Stats!$Q25,"")</f>
        <v/>
      </c>
      <c r="DI10" s="68" t="str">
        <f>IF(DD10=1,Stats!$R25,"")</f>
        <v/>
      </c>
      <c r="DJ10" s="68" t="str">
        <f>IF(DD10=1,Stats!$S25,"")</f>
        <v/>
      </c>
      <c r="DK10" s="68">
        <f t="shared" si="160"/>
        <v>0</v>
      </c>
      <c r="DL10">
        <f t="shared" si="161"/>
        <v>0</v>
      </c>
      <c r="DM10" s="68">
        <f>IF(DL10=0,MAX(DM$2:DM9)+1,0)</f>
        <v>8</v>
      </c>
      <c r="DN10" s="5" t="str">
        <f t="shared" si="162"/>
        <v>Character (Mage-lord)</v>
      </c>
      <c r="DO10" s="5" t="str">
        <f t="shared" si="45"/>
        <v>Character (Mage-lord)</v>
      </c>
      <c r="DQ10">
        <f t="shared" si="163"/>
        <v>8</v>
      </c>
      <c r="DR10" s="5" t="str">
        <f t="shared" si="164"/>
        <v>Character (Mage-lord)</v>
      </c>
      <c r="DS10" s="68">
        <f>COUNTIF(Builder!$K$13:$N$13,DR10)</f>
        <v>0</v>
      </c>
      <c r="DT10" s="68" t="str">
        <f>IF(DS10=1,Stats!$N25,"")</f>
        <v/>
      </c>
      <c r="DU10" s="68" t="str">
        <f>IF(DS10=1,Stats!$O25,"")</f>
        <v/>
      </c>
      <c r="DV10" s="68" t="str">
        <f>IF(DS10=1,Stats!$P25,"")</f>
        <v/>
      </c>
      <c r="DW10" s="68" t="str">
        <f>IF(DS10=1,Stats!$Q25,"")</f>
        <v/>
      </c>
      <c r="DX10" s="68" t="str">
        <f>IF(DS10=1,Stats!$R25,"")</f>
        <v/>
      </c>
      <c r="DY10" s="68" t="str">
        <f>IF(DS10=1,Stats!$S25,"")</f>
        <v/>
      </c>
      <c r="DZ10" s="68">
        <f t="shared" si="165"/>
        <v>0</v>
      </c>
      <c r="EA10">
        <f t="shared" si="166"/>
        <v>0</v>
      </c>
      <c r="EB10" s="68">
        <f>IF(EA10=0,MAX(EB$2:EB9)+1,0)</f>
        <v>8</v>
      </c>
      <c r="EC10" s="5" t="str">
        <f t="shared" si="167"/>
        <v>Character (Mage-lord)</v>
      </c>
      <c r="ED10" s="5" t="str">
        <f t="shared" si="51"/>
        <v>Character (Mage-lord)</v>
      </c>
      <c r="EF10">
        <f t="shared" si="52"/>
        <v>8</v>
      </c>
      <c r="EG10" s="5" t="str">
        <f t="shared" si="53"/>
        <v>Character (Mage-lord)</v>
      </c>
      <c r="EH10" s="68">
        <f>COUNTIF(Builder!$K$14:$N$14,EG10)</f>
        <v>0</v>
      </c>
      <c r="EI10" s="68" t="str">
        <f>IF(EH10=1,Stats!$N25,"")</f>
        <v/>
      </c>
      <c r="EJ10" s="68" t="str">
        <f>IF(EH10=1,Stats!$O25,"")</f>
        <v/>
      </c>
      <c r="EK10" s="68" t="str">
        <f>IF(EH10=1,Stats!$P25,"")</f>
        <v/>
      </c>
      <c r="EL10" s="68" t="str">
        <f>IF(EH10=1,Stats!$Q25,"")</f>
        <v/>
      </c>
      <c r="EM10" s="68" t="str">
        <f>IF(EH10=1,Stats!$R25,"")</f>
        <v/>
      </c>
      <c r="EN10" s="68" t="str">
        <f>IF(EH10=1,Stats!$S25,"")</f>
        <v/>
      </c>
      <c r="EO10" s="68">
        <f t="shared" si="54"/>
        <v>0</v>
      </c>
      <c r="EP10">
        <f t="shared" si="55"/>
        <v>0</v>
      </c>
      <c r="EQ10" s="68">
        <f>IF(EP10=0,MAX(EQ$2:EQ9)+1,0)</f>
        <v>8</v>
      </c>
      <c r="ER10" s="5" t="str">
        <f t="shared" si="56"/>
        <v>Character (Mage-lord)</v>
      </c>
      <c r="ES10" s="5" t="str">
        <f t="shared" si="57"/>
        <v>Character (Mage-lord)</v>
      </c>
      <c r="EU10">
        <f t="shared" si="58"/>
        <v>8</v>
      </c>
      <c r="EV10" s="5" t="str">
        <f t="shared" si="59"/>
        <v>Character (Mage-lord)</v>
      </c>
      <c r="EW10" s="68">
        <f>COUNTIF(Builder!$K$15:$N$15,EV10)</f>
        <v>0</v>
      </c>
      <c r="EX10" s="68" t="str">
        <f>IF(EW10=1,Stats!$N25,"")</f>
        <v/>
      </c>
      <c r="EY10" s="68" t="str">
        <f>IF(EW10=1,Stats!$O25,"")</f>
        <v/>
      </c>
      <c r="EZ10" s="68" t="str">
        <f>IF(EW10=1,Stats!$P25,"")</f>
        <v/>
      </c>
      <c r="FA10" s="68" t="str">
        <f>IF(EW10=1,Stats!$Q25,"")</f>
        <v/>
      </c>
      <c r="FB10" s="68" t="str">
        <f>IF(EW10=1,Stats!$R25,"")</f>
        <v/>
      </c>
      <c r="FC10" s="68" t="str">
        <f>IF(EW10=1,Stats!$S25,"")</f>
        <v/>
      </c>
      <c r="FD10" s="68">
        <f t="shared" si="60"/>
        <v>0</v>
      </c>
      <c r="FE10">
        <f t="shared" si="61"/>
        <v>0</v>
      </c>
      <c r="FF10" s="68">
        <f>IF(FE10=0,MAX(FF$2:FF9)+1,0)</f>
        <v>8</v>
      </c>
      <c r="FG10" s="5" t="str">
        <f t="shared" si="62"/>
        <v>Character (Mage-lord)</v>
      </c>
      <c r="FH10" s="5" t="str">
        <f t="shared" si="63"/>
        <v>Character (Mage-lord)</v>
      </c>
      <c r="FJ10">
        <f t="shared" si="64"/>
        <v>8</v>
      </c>
      <c r="FK10" s="5" t="str">
        <f t="shared" si="65"/>
        <v>Character (Mage-lord)</v>
      </c>
      <c r="FL10" s="68">
        <f>COUNTIF(Builder!$K$16:$N$16,FK10)</f>
        <v>0</v>
      </c>
      <c r="FM10" s="68" t="str">
        <f>IF(FL10=1,Stats!$N25,"")</f>
        <v/>
      </c>
      <c r="FN10" s="68" t="str">
        <f>IF(FL10=1,Stats!$O25,"")</f>
        <v/>
      </c>
      <c r="FO10" s="68" t="str">
        <f>IF(FL10=1,Stats!$P25,"")</f>
        <v/>
      </c>
      <c r="FP10" s="68" t="str">
        <f>IF(FL10=1,Stats!$Q25,"")</f>
        <v/>
      </c>
      <c r="FQ10" s="68" t="str">
        <f>IF(FL10=1,Stats!$R25,"")</f>
        <v/>
      </c>
      <c r="FR10" s="68" t="str">
        <f>IF(FL10=1,Stats!$S25,"")</f>
        <v/>
      </c>
      <c r="FS10" s="68">
        <f t="shared" si="66"/>
        <v>0</v>
      </c>
      <c r="FT10">
        <f t="shared" si="67"/>
        <v>0</v>
      </c>
      <c r="FU10" s="68">
        <f>IF(FT10=0,MAX(FU$2:FU9)+1,0)</f>
        <v>8</v>
      </c>
      <c r="FV10" s="5" t="str">
        <f t="shared" si="68"/>
        <v>Character (Mage-lord)</v>
      </c>
      <c r="FW10" s="5" t="str">
        <f t="shared" si="69"/>
        <v>Character (Mage-lord)</v>
      </c>
      <c r="FY10">
        <f t="shared" si="168"/>
        <v>8</v>
      </c>
      <c r="FZ10" s="5" t="str">
        <f t="shared" si="169"/>
        <v>Character (Mage-lord)</v>
      </c>
      <c r="GA10" s="68">
        <f>COUNTIF(Builder!$K$17:$N$17,FZ10)</f>
        <v>0</v>
      </c>
      <c r="GB10" s="68" t="str">
        <f>IF(GA10=1,Stats!$N25,"")</f>
        <v/>
      </c>
      <c r="GC10" s="68" t="str">
        <f>IF(GA10=1,Stats!$O25,"")</f>
        <v/>
      </c>
      <c r="GD10" s="68" t="str">
        <f>IF(GA10=1,Stats!$P25,"")</f>
        <v/>
      </c>
      <c r="GE10" s="68" t="str">
        <f>IF(GA10=1,Stats!$Q25,"")</f>
        <v/>
      </c>
      <c r="GF10" s="68" t="str">
        <f>IF(GA10=1,Stats!$R25,"")</f>
        <v/>
      </c>
      <c r="GG10" s="68" t="str">
        <f>IF(GA10=1,Stats!$S25,"")</f>
        <v/>
      </c>
      <c r="GH10" s="68">
        <f t="shared" si="170"/>
        <v>0</v>
      </c>
      <c r="GI10">
        <f t="shared" si="171"/>
        <v>0</v>
      </c>
      <c r="GJ10" s="68">
        <f>IF(GI10=0,MAX(GJ$2:GJ9)+1,0)</f>
        <v>8</v>
      </c>
      <c r="GK10" s="5" t="str">
        <f t="shared" si="172"/>
        <v>Character (Mage-lord)</v>
      </c>
      <c r="GL10" s="5" t="str">
        <f t="shared" si="75"/>
        <v>Character (Mage-lord)</v>
      </c>
      <c r="GN10">
        <f t="shared" si="76"/>
        <v>8</v>
      </c>
      <c r="GO10" s="5" t="str">
        <f t="shared" si="77"/>
        <v>Character (Mage-lord)</v>
      </c>
      <c r="GP10" s="68">
        <f>COUNTIF(Builder!$K$18:$N$18,GO10)</f>
        <v>0</v>
      </c>
      <c r="GQ10" s="68" t="str">
        <f>IF(GP10=1,Stats!$N25,"")</f>
        <v/>
      </c>
      <c r="GR10" s="68" t="str">
        <f>IF(GP10=1,Stats!$O25,"")</f>
        <v/>
      </c>
      <c r="GS10" s="68" t="str">
        <f>IF(GP10=1,Stats!$P25,"")</f>
        <v/>
      </c>
      <c r="GT10" s="68" t="str">
        <f>IF(GP10=1,Stats!$Q25,"")</f>
        <v/>
      </c>
      <c r="GU10" s="68" t="str">
        <f>IF(GP10=1,Stats!$R25,"")</f>
        <v/>
      </c>
      <c r="GV10" s="68" t="str">
        <f>IF(GP10=1,Stats!$S25,"")</f>
        <v/>
      </c>
      <c r="GW10" s="68">
        <f t="shared" si="78"/>
        <v>0</v>
      </c>
      <c r="GX10">
        <f t="shared" si="79"/>
        <v>0</v>
      </c>
      <c r="GY10" s="68">
        <f>IF(GX10=0,MAX(GY$2:GY9)+1,0)</f>
        <v>8</v>
      </c>
      <c r="GZ10" s="5" t="str">
        <f t="shared" si="80"/>
        <v>Character (Mage-lord)</v>
      </c>
      <c r="HA10" s="5" t="str">
        <f t="shared" si="81"/>
        <v>Character (Mage-lord)</v>
      </c>
      <c r="HC10">
        <f t="shared" si="82"/>
        <v>8</v>
      </c>
      <c r="HD10" s="5" t="str">
        <f t="shared" si="83"/>
        <v>Character (Mage-lord)</v>
      </c>
      <c r="HE10" s="68">
        <f>COUNTIF(Builder!$K$19:$N$19,HD10)</f>
        <v>0</v>
      </c>
      <c r="HF10" s="68" t="str">
        <f>IF(HE10=1,Stats!$N25,"")</f>
        <v/>
      </c>
      <c r="HG10" s="68" t="str">
        <f>IF(HE10=1,Stats!$O25,"")</f>
        <v/>
      </c>
      <c r="HH10" s="68" t="str">
        <f>IF(HE10=1,Stats!$P25,"")</f>
        <v/>
      </c>
      <c r="HI10" s="68" t="str">
        <f>IF(HE10=1,Stats!$Q25,"")</f>
        <v/>
      </c>
      <c r="HJ10" s="68" t="str">
        <f>IF(HE10=1,Stats!$R25,"")</f>
        <v/>
      </c>
      <c r="HK10" s="68" t="str">
        <f>IF(HE10=1,Stats!$S25,"")</f>
        <v/>
      </c>
      <c r="HL10" s="68">
        <f t="shared" si="84"/>
        <v>0</v>
      </c>
      <c r="HM10">
        <f t="shared" si="85"/>
        <v>0</v>
      </c>
      <c r="HN10" s="68">
        <f>IF(HM10=0,MAX(HN$2:HN9)+1,0)</f>
        <v>8</v>
      </c>
      <c r="HO10" s="5" t="str">
        <f t="shared" si="86"/>
        <v>Character (Mage-lord)</v>
      </c>
      <c r="HP10" s="5" t="str">
        <f t="shared" si="87"/>
        <v>Character (Mage-lord)</v>
      </c>
      <c r="HR10">
        <f t="shared" si="88"/>
        <v>8</v>
      </c>
      <c r="HS10" s="5" t="str">
        <f t="shared" si="89"/>
        <v>Character (Mage-lord)</v>
      </c>
      <c r="HT10" s="68">
        <f>COUNTIF(Builder!$K$20:$N$20,HS10)</f>
        <v>0</v>
      </c>
      <c r="HU10" s="68" t="str">
        <f>IF(HT10=1,Stats!$N25,"")</f>
        <v/>
      </c>
      <c r="HV10" s="68" t="str">
        <f>IF(HT10=1,Stats!$O25,"")</f>
        <v/>
      </c>
      <c r="HW10" s="68" t="str">
        <f>IF(HT10=1,Stats!$P25,"")</f>
        <v/>
      </c>
      <c r="HX10" s="68" t="str">
        <f>IF(HT10=1,Stats!$Q25,"")</f>
        <v/>
      </c>
      <c r="HY10" s="68" t="str">
        <f>IF(HT10=1,Stats!$R25,"")</f>
        <v/>
      </c>
      <c r="HZ10" s="68" t="str">
        <f>IF(HT10=1,Stats!$S25,"")</f>
        <v/>
      </c>
      <c r="IA10" s="68">
        <f t="shared" si="90"/>
        <v>0</v>
      </c>
      <c r="IB10">
        <f t="shared" si="91"/>
        <v>0</v>
      </c>
      <c r="IC10" s="68">
        <f>IF(IB10=0,MAX(IC$2:IC9)+1,0)</f>
        <v>8</v>
      </c>
      <c r="ID10" s="5" t="str">
        <f t="shared" si="92"/>
        <v>Character (Mage-lord)</v>
      </c>
      <c r="IE10" s="5" t="str">
        <f t="shared" si="93"/>
        <v>Character (Mage-lord)</v>
      </c>
      <c r="IG10">
        <f t="shared" si="94"/>
        <v>8</v>
      </c>
      <c r="IH10" s="5" t="str">
        <f t="shared" si="95"/>
        <v>Character (Mage-lord)</v>
      </c>
      <c r="II10" s="68">
        <f>COUNTIF(Builder!$K$21:$N$21,IH10)</f>
        <v>0</v>
      </c>
      <c r="IJ10" s="68" t="str">
        <f>IF(II10=1,Stats!$N25,"")</f>
        <v/>
      </c>
      <c r="IK10" s="68" t="str">
        <f>IF(II10=1,Stats!$O25,"")</f>
        <v/>
      </c>
      <c r="IL10" s="68" t="str">
        <f>IF(II10=1,Stats!$P25,"")</f>
        <v/>
      </c>
      <c r="IM10" s="68" t="str">
        <f>IF(II10=1,Stats!$Q25,"")</f>
        <v/>
      </c>
      <c r="IN10" s="68" t="str">
        <f>IF(II10=1,Stats!$R25,"")</f>
        <v/>
      </c>
      <c r="IO10" s="68" t="str">
        <f>IF(II10=1,Stats!$S25,"")</f>
        <v/>
      </c>
      <c r="IP10" s="68">
        <f t="shared" si="96"/>
        <v>0</v>
      </c>
      <c r="IQ10">
        <f t="shared" si="97"/>
        <v>0</v>
      </c>
      <c r="IR10" s="68">
        <f>IF(IQ10=0,MAX(IR$2:IR9)+1,0)</f>
        <v>8</v>
      </c>
      <c r="IS10" s="5" t="str">
        <f t="shared" si="98"/>
        <v>Character (Mage-lord)</v>
      </c>
      <c r="IT10" s="5" t="str">
        <f t="shared" si="99"/>
        <v>Character (Mage-lord)</v>
      </c>
      <c r="IV10">
        <f t="shared" si="100"/>
        <v>8</v>
      </c>
      <c r="IW10" s="5" t="str">
        <f t="shared" si="101"/>
        <v>Character (Mage-lord)</v>
      </c>
      <c r="IX10" s="68">
        <f>COUNTIF(Builder!$K$22:$N$22,IW10)</f>
        <v>0</v>
      </c>
      <c r="IY10" s="68" t="str">
        <f>IF(IX10=1,Stats!$N25,"")</f>
        <v/>
      </c>
      <c r="IZ10" s="68" t="str">
        <f>IF(IX10=1,Stats!$O25,"")</f>
        <v/>
      </c>
      <c r="JA10" s="68" t="str">
        <f>IF(IX10=1,Stats!$P25,"")</f>
        <v/>
      </c>
      <c r="JB10" s="68" t="str">
        <f>IF(IX10=1,Stats!$Q25,"")</f>
        <v/>
      </c>
      <c r="JC10" s="68" t="str">
        <f>IF(IX10=1,Stats!$R25,"")</f>
        <v/>
      </c>
      <c r="JD10" s="68" t="str">
        <f>IF(IX10=1,Stats!$S25,"")</f>
        <v/>
      </c>
      <c r="JE10" s="68">
        <f t="shared" si="102"/>
        <v>0</v>
      </c>
      <c r="JF10">
        <f t="shared" si="103"/>
        <v>0</v>
      </c>
      <c r="JG10" s="68">
        <f>IF(JF10=0,MAX(JG$2:JG9)+1,0)</f>
        <v>8</v>
      </c>
      <c r="JH10" s="5" t="str">
        <f t="shared" si="104"/>
        <v>Character (Mage-lord)</v>
      </c>
      <c r="JI10" s="5" t="str">
        <f t="shared" si="105"/>
        <v>Character (Mage-lord)</v>
      </c>
      <c r="JK10">
        <f t="shared" si="106"/>
        <v>8</v>
      </c>
      <c r="JL10" s="5" t="str">
        <f t="shared" si="107"/>
        <v>Character (Mage-lord)</v>
      </c>
      <c r="JM10" s="68">
        <f>COUNTIF(Builder!$K$23:$N$23,JL10)</f>
        <v>0</v>
      </c>
      <c r="JN10" s="68" t="str">
        <f>IF(JM10=1,Stats!$N25,"")</f>
        <v/>
      </c>
      <c r="JO10" s="68" t="str">
        <f>IF(JM10=1,Stats!$O25,"")</f>
        <v/>
      </c>
      <c r="JP10" s="68" t="str">
        <f>IF(JM10=1,Stats!$P25,"")</f>
        <v/>
      </c>
      <c r="JQ10" s="68" t="str">
        <f>IF(JM10=1,Stats!$Q25,"")</f>
        <v/>
      </c>
      <c r="JR10" s="68" t="str">
        <f>IF(JM10=1,Stats!$R25,"")</f>
        <v/>
      </c>
      <c r="JS10" s="68" t="str">
        <f>IF(JM10=1,Stats!$S25,"")</f>
        <v/>
      </c>
      <c r="JT10" s="68">
        <f t="shared" si="108"/>
        <v>0</v>
      </c>
      <c r="JU10">
        <f t="shared" si="109"/>
        <v>0</v>
      </c>
      <c r="JV10" s="68">
        <f>IF(JU10=0,MAX(JV$2:JV9)+1,0)</f>
        <v>8</v>
      </c>
      <c r="JW10" s="5" t="str">
        <f t="shared" si="110"/>
        <v>Character (Mage-lord)</v>
      </c>
      <c r="JX10" s="5" t="str">
        <f t="shared" si="111"/>
        <v>Character (Mage-lord)</v>
      </c>
      <c r="JZ10">
        <f t="shared" si="112"/>
        <v>8</v>
      </c>
      <c r="KA10" s="5" t="str">
        <f t="shared" si="113"/>
        <v>Character (Mage-lord)</v>
      </c>
      <c r="KB10" s="68">
        <f>COUNTIF(Builder!$K$24:$N$24,KA10)</f>
        <v>0</v>
      </c>
      <c r="KC10" s="68" t="str">
        <f>IF(KB10=1,Stats!$N25,"")</f>
        <v/>
      </c>
      <c r="KD10" s="68" t="str">
        <f>IF(KB10=1,Stats!$O25,"")</f>
        <v/>
      </c>
      <c r="KE10" s="68" t="str">
        <f>IF(KB10=1,Stats!$P25,"")</f>
        <v/>
      </c>
      <c r="KF10" s="68" t="str">
        <f>IF(KB10=1,Stats!$Q25,"")</f>
        <v/>
      </c>
      <c r="KG10" s="68" t="str">
        <f>IF(KB10=1,Stats!$R25,"")</f>
        <v/>
      </c>
      <c r="KH10" s="68" t="str">
        <f>IF(KB10=1,Stats!$S25,"")</f>
        <v/>
      </c>
      <c r="KI10" s="68">
        <f t="shared" si="114"/>
        <v>0</v>
      </c>
      <c r="KJ10">
        <f t="shared" si="115"/>
        <v>0</v>
      </c>
      <c r="KK10" s="68">
        <f>IF(KJ10=0,MAX(KK$2:KK9)+1,0)</f>
        <v>8</v>
      </c>
      <c r="KL10" s="5" t="str">
        <f t="shared" si="116"/>
        <v>Character (Mage-lord)</v>
      </c>
      <c r="KM10" s="5" t="str">
        <f t="shared" si="117"/>
        <v>Character (Mage-lord)</v>
      </c>
      <c r="KO10">
        <f t="shared" si="118"/>
        <v>8</v>
      </c>
      <c r="KP10" s="5" t="str">
        <f t="shared" si="119"/>
        <v>Character (Mage-lord)</v>
      </c>
      <c r="KQ10" s="68">
        <f>COUNTIF(Builder!$K$25:$N$25,KP10)</f>
        <v>0</v>
      </c>
      <c r="KR10" s="68" t="str">
        <f>IF(KQ10=1,Stats!$N25,"")</f>
        <v/>
      </c>
      <c r="KS10" s="68" t="str">
        <f>IF(KQ10=1,Stats!$O25,"")</f>
        <v/>
      </c>
      <c r="KT10" s="68" t="str">
        <f>IF(KQ10=1,Stats!$P25,"")</f>
        <v/>
      </c>
      <c r="KU10" s="68" t="str">
        <f>IF(KQ10=1,Stats!$Q25,"")</f>
        <v/>
      </c>
      <c r="KV10" s="68" t="str">
        <f>IF(KQ10=1,Stats!$R25,"")</f>
        <v/>
      </c>
      <c r="KW10" s="68" t="str">
        <f>IF(KQ10=1,Stats!$S25,"")</f>
        <v/>
      </c>
      <c r="KX10" s="68">
        <f t="shared" si="120"/>
        <v>0</v>
      </c>
      <c r="KY10">
        <f t="shared" si="121"/>
        <v>0</v>
      </c>
      <c r="KZ10" s="68">
        <f>IF(KY10=0,MAX(KZ$2:KZ9)+1,0)</f>
        <v>8</v>
      </c>
      <c r="LA10" s="5" t="str">
        <f t="shared" si="122"/>
        <v>Character (Mage-lord)</v>
      </c>
      <c r="LB10" s="5" t="str">
        <f t="shared" si="123"/>
        <v>Character (Mage-lord)</v>
      </c>
      <c r="LD10">
        <f t="shared" si="124"/>
        <v>8</v>
      </c>
      <c r="LE10" s="5" t="str">
        <f t="shared" si="125"/>
        <v>Character (Mage-lord)</v>
      </c>
      <c r="LF10" s="68">
        <f>COUNTIF(Builder!$K$26:$N$26,LE10)</f>
        <v>0</v>
      </c>
      <c r="LG10" s="68" t="str">
        <f>IF(LF10=1,Stats!$N25,"")</f>
        <v/>
      </c>
      <c r="LH10" s="68" t="str">
        <f>IF(LF10=1,Stats!$O25,"")</f>
        <v/>
      </c>
      <c r="LI10" s="68" t="str">
        <f>IF(LF10=1,Stats!$P25,"")</f>
        <v/>
      </c>
      <c r="LJ10" s="68" t="str">
        <f>IF(LF10=1,Stats!$Q25,"")</f>
        <v/>
      </c>
      <c r="LK10" s="68" t="str">
        <f>IF(LF10=1,Stats!$R25,"")</f>
        <v/>
      </c>
      <c r="LL10" s="68" t="str">
        <f>IF(LF10=1,Stats!$S25,"")</f>
        <v/>
      </c>
      <c r="LM10" s="68">
        <f t="shared" si="126"/>
        <v>0</v>
      </c>
      <c r="LN10">
        <f t="shared" si="127"/>
        <v>0</v>
      </c>
      <c r="LO10" s="68">
        <f>IF(LN10=0,MAX(LO$2:LO9)+1,0)</f>
        <v>8</v>
      </c>
      <c r="LP10" s="5" t="str">
        <f t="shared" si="128"/>
        <v>Character (Mage-lord)</v>
      </c>
      <c r="LQ10" s="5" t="str">
        <f t="shared" si="129"/>
        <v>Character (Mage-lord)</v>
      </c>
      <c r="LS10">
        <f t="shared" si="130"/>
        <v>8</v>
      </c>
      <c r="LT10" s="5" t="str">
        <f t="shared" si="131"/>
        <v>Character (Mage-lord)</v>
      </c>
      <c r="LU10" s="68">
        <f>COUNTIF(Builder!$K$27:$N$27,LT10)</f>
        <v>0</v>
      </c>
      <c r="LV10" s="68" t="str">
        <f>IF(LU10=1,Stats!$N25,"")</f>
        <v/>
      </c>
      <c r="LW10" s="68" t="str">
        <f>IF(LU10=1,Stats!$O25,"")</f>
        <v/>
      </c>
      <c r="LX10" s="68" t="str">
        <f>IF(LU10=1,Stats!$P25,"")</f>
        <v/>
      </c>
      <c r="LY10" s="68" t="str">
        <f>IF(LU10=1,Stats!$Q25,"")</f>
        <v/>
      </c>
      <c r="LZ10" s="68" t="str">
        <f>IF(LU10=1,Stats!$R25,"")</f>
        <v/>
      </c>
      <c r="MA10" s="68" t="str">
        <f>IF(LU10=1,Stats!$S25,"")</f>
        <v/>
      </c>
      <c r="MB10" s="68">
        <f t="shared" si="132"/>
        <v>0</v>
      </c>
      <c r="MC10">
        <f t="shared" si="133"/>
        <v>0</v>
      </c>
      <c r="MD10" s="68">
        <f>IF(MC10=0,MAX(MD$2:MD9)+1,0)</f>
        <v>8</v>
      </c>
      <c r="ME10" s="5" t="str">
        <f t="shared" si="134"/>
        <v>Character (Mage-lord)</v>
      </c>
      <c r="MF10" s="5" t="str">
        <f t="shared" si="135"/>
        <v>Character (Mage-lord)</v>
      </c>
      <c r="MH10">
        <f t="shared" si="136"/>
        <v>8</v>
      </c>
      <c r="MI10" s="5" t="str">
        <f t="shared" si="137"/>
        <v>Character (Mage-lord)</v>
      </c>
      <c r="MJ10" s="68">
        <f>COUNTIF(Builder!$K$28:$N$28,MI10)</f>
        <v>0</v>
      </c>
      <c r="MK10" s="68" t="str">
        <f>IF(MJ10=1,Stats!$N25,"")</f>
        <v/>
      </c>
      <c r="ML10" s="68" t="str">
        <f>IF(MJ10=1,Stats!$O25,"")</f>
        <v/>
      </c>
      <c r="MM10" s="68" t="str">
        <f>IF(MJ10=1,Stats!$P25,"")</f>
        <v/>
      </c>
      <c r="MN10" s="68" t="str">
        <f>IF(MJ10=1,Stats!$Q25,"")</f>
        <v/>
      </c>
      <c r="MO10" s="68" t="str">
        <f>IF(MJ10=1,Stats!$R25,"")</f>
        <v/>
      </c>
      <c r="MP10" s="68" t="str">
        <f>IF(MJ10=1,Stats!$S25,"")</f>
        <v/>
      </c>
      <c r="MQ10" s="68">
        <f t="shared" si="138"/>
        <v>0</v>
      </c>
      <c r="MR10">
        <f t="shared" si="139"/>
        <v>0</v>
      </c>
      <c r="MS10" s="68">
        <f>IF(MR10=0,MAX(MS$2:MS9)+1,0)</f>
        <v>8</v>
      </c>
      <c r="MT10" s="5" t="str">
        <f t="shared" si="140"/>
        <v>Character (Mage-lord)</v>
      </c>
      <c r="MU10" s="5" t="str">
        <f t="shared" si="141"/>
        <v>Character (Mage-lord)</v>
      </c>
      <c r="MW10">
        <f t="shared" si="142"/>
        <v>8</v>
      </c>
      <c r="MX10" s="5" t="str">
        <f t="shared" si="143"/>
        <v>Character (Mage-lord)</v>
      </c>
      <c r="MY10" s="68">
        <f>COUNTIF(Builder!$K$29:$N$29,MX10)</f>
        <v>0</v>
      </c>
      <c r="MZ10" s="68" t="str">
        <f>IF(MY10=1,Stats!$N25,"")</f>
        <v/>
      </c>
      <c r="NA10" s="68" t="str">
        <f>IF(MY10=1,Stats!$O25,"")</f>
        <v/>
      </c>
      <c r="NB10" s="68" t="str">
        <f>IF(MY10=1,Stats!$P25,"")</f>
        <v/>
      </c>
      <c r="NC10" s="68" t="str">
        <f>IF(MY10=1,Stats!$Q25,"")</f>
        <v/>
      </c>
      <c r="ND10" s="68" t="str">
        <f>IF(MY10=1,Stats!$R25,"")</f>
        <v/>
      </c>
      <c r="NE10" s="68" t="str">
        <f>IF(MY10=1,Stats!$S25,"")</f>
        <v/>
      </c>
      <c r="NF10" s="68">
        <f t="shared" si="144"/>
        <v>0</v>
      </c>
      <c r="NG10">
        <f t="shared" si="145"/>
        <v>0</v>
      </c>
      <c r="NH10" s="68">
        <f>IF(NG10=0,MAX(NH$2:NH9)+1,0)</f>
        <v>8</v>
      </c>
      <c r="NI10" s="5" t="str">
        <f t="shared" si="146"/>
        <v>Character (Mage-lord)</v>
      </c>
      <c r="NJ10" s="5" t="str">
        <f t="shared" si="147"/>
        <v>Character (Mage-lord)</v>
      </c>
    </row>
    <row r="11" spans="1:374" ht="15" x14ac:dyDescent="0.3">
      <c r="A11">
        <v>9</v>
      </c>
      <c r="B11" s="5" t="s">
        <v>139</v>
      </c>
      <c r="C11" s="68">
        <f>COUNTIF(Builder!$K$5:$N$5,B11)</f>
        <v>0</v>
      </c>
      <c r="D11" s="68" t="str">
        <f>IF(C11=1,Stats!$N26,"")</f>
        <v/>
      </c>
      <c r="E11" s="68" t="str">
        <f>IF(C11=1,Stats!$O26,"")</f>
        <v/>
      </c>
      <c r="F11" s="68" t="str">
        <f>IF(C11=1,Stats!$P26,"")</f>
        <v/>
      </c>
      <c r="G11" s="68" t="str">
        <f>IF(C11=1,Stats!$Q26,"")</f>
        <v/>
      </c>
      <c r="H11" s="68" t="str">
        <f>IF(C11=1,Stats!$R26,"")</f>
        <v/>
      </c>
      <c r="I11" s="68" t="str">
        <f>IF(C11=1,Stats!$S26,"")</f>
        <v/>
      </c>
      <c r="J11" s="68">
        <f t="shared" si="0"/>
        <v>0</v>
      </c>
      <c r="K11">
        <f t="shared" si="1"/>
        <v>0</v>
      </c>
      <c r="L11" s="68">
        <f>IF(K11=0,MAX($L$2:L10)+1,0)</f>
        <v>9</v>
      </c>
      <c r="M11" s="5" t="str">
        <f t="shared" si="2"/>
        <v>Character (Captain)</v>
      </c>
      <c r="N11" s="5" t="str">
        <f t="shared" si="3"/>
        <v>Character (Captain)</v>
      </c>
      <c r="O11" s="5"/>
      <c r="P11">
        <f t="shared" si="4"/>
        <v>9</v>
      </c>
      <c r="Q11" s="5" t="str">
        <f t="shared" si="5"/>
        <v>Character (Captain)</v>
      </c>
      <c r="R11" s="68">
        <f>COUNTIF(Builder!$K$6:$N$6,Q11)</f>
        <v>0</v>
      </c>
      <c r="S11" s="68" t="str">
        <f>IF(R11=1,Stats!$N26,"")</f>
        <v/>
      </c>
      <c r="T11" s="68" t="str">
        <f>IF(R11=1,Stats!$O26,"")</f>
        <v/>
      </c>
      <c r="U11" s="68" t="str">
        <f>IF(R11=1,Stats!$P26,"")</f>
        <v/>
      </c>
      <c r="V11" s="68" t="str">
        <f>IF(R11=1,Stats!$Q26,"")</f>
        <v/>
      </c>
      <c r="W11" s="68" t="str">
        <f>IF(R11=1,Stats!$R26,"")</f>
        <v/>
      </c>
      <c r="X11" s="68" t="str">
        <f>IF(R11=1,Stats!$S26,"")</f>
        <v/>
      </c>
      <c r="Y11" s="68">
        <f t="shared" si="6"/>
        <v>0</v>
      </c>
      <c r="Z11">
        <f t="shared" si="7"/>
        <v>0</v>
      </c>
      <c r="AA11" s="68">
        <f>IF(Z11=0,MAX($AA$2:AA10)+1,0)</f>
        <v>9</v>
      </c>
      <c r="AB11" s="5" t="str">
        <f t="shared" si="8"/>
        <v>Character (Captain)</v>
      </c>
      <c r="AC11" s="5" t="str">
        <f t="shared" si="9"/>
        <v>Character (Captain)</v>
      </c>
      <c r="AD11" s="5"/>
      <c r="AE11">
        <f t="shared" si="10"/>
        <v>9</v>
      </c>
      <c r="AF11" s="5" t="str">
        <f t="shared" si="11"/>
        <v>Character (Captain)</v>
      </c>
      <c r="AG11" s="68">
        <f>COUNTIF(Builder!$K$7:$N$7,AF11)</f>
        <v>0</v>
      </c>
      <c r="AH11" s="68" t="str">
        <f>IF(AG11=1,Stats!$N26,"")</f>
        <v/>
      </c>
      <c r="AI11" s="68" t="str">
        <f>IF(AG11=1,Stats!$O26,"")</f>
        <v/>
      </c>
      <c r="AJ11" s="68" t="str">
        <f>IF(AG11=1,Stats!$P26,"")</f>
        <v/>
      </c>
      <c r="AK11" s="68" t="str">
        <f>IF(AG11=1,Stats!$Q26,"")</f>
        <v/>
      </c>
      <c r="AL11" s="68" t="str">
        <f>IF(AG11=1,Stats!$R26,"")</f>
        <v/>
      </c>
      <c r="AM11" s="68" t="str">
        <f>IF(AG11=1,Stats!$S26,"")</f>
        <v/>
      </c>
      <c r="AN11" s="68">
        <f t="shared" si="12"/>
        <v>0</v>
      </c>
      <c r="AO11">
        <f t="shared" si="13"/>
        <v>0</v>
      </c>
      <c r="AP11" s="68">
        <f>IF(AO11=0,MAX($AP$2:AP10)+1,0)</f>
        <v>9</v>
      </c>
      <c r="AQ11" s="5" t="str">
        <f t="shared" si="14"/>
        <v>Character (Captain)</v>
      </c>
      <c r="AR11" s="5" t="str">
        <f t="shared" si="15"/>
        <v>Character (Captain)</v>
      </c>
      <c r="AS11" s="5"/>
      <c r="AT11">
        <f t="shared" si="16"/>
        <v>9</v>
      </c>
      <c r="AU11" s="5" t="str">
        <f t="shared" si="17"/>
        <v>Character (Captain)</v>
      </c>
      <c r="AV11" s="68">
        <f>COUNTIF(Builder!$K$8:$N$8,AU11)</f>
        <v>0</v>
      </c>
      <c r="AW11" s="68" t="str">
        <f>IF(AV11=1,Stats!$N26,"")</f>
        <v/>
      </c>
      <c r="AX11" s="68" t="str">
        <f>IF(AV11=1,Stats!$O26,"")</f>
        <v/>
      </c>
      <c r="AY11" s="68" t="str">
        <f>IF(AV11=1,Stats!$P26,"")</f>
        <v/>
      </c>
      <c r="AZ11" s="68" t="str">
        <f>IF(AV11=1,Stats!$Q26,"")</f>
        <v/>
      </c>
      <c r="BA11" s="68" t="str">
        <f>IF(AV11=1,Stats!$R26,"")</f>
        <v/>
      </c>
      <c r="BB11" s="68" t="str">
        <f>IF(AV11=1,Stats!$S26,"")</f>
        <v/>
      </c>
      <c r="BC11" s="68">
        <f t="shared" si="18"/>
        <v>0</v>
      </c>
      <c r="BD11">
        <f t="shared" si="19"/>
        <v>0</v>
      </c>
      <c r="BE11" s="68">
        <f>IF(BD11=0,MAX($BE$2:BE10)+1,0)</f>
        <v>9</v>
      </c>
      <c r="BF11" s="5" t="str">
        <f t="shared" si="20"/>
        <v>Character (Captain)</v>
      </c>
      <c r="BG11" s="5" t="str">
        <f t="shared" si="21"/>
        <v>Character (Captain)</v>
      </c>
      <c r="BH11" s="5"/>
      <c r="BI11">
        <f t="shared" si="148"/>
        <v>9</v>
      </c>
      <c r="BJ11" s="5" t="str">
        <f t="shared" si="149"/>
        <v>Character (Captain)</v>
      </c>
      <c r="BK11" s="68">
        <f>COUNTIF(Builder!$K$9:$N$9,BJ11)</f>
        <v>0</v>
      </c>
      <c r="BL11" s="68" t="str">
        <f>IF(BK11=1,Stats!$N26,"")</f>
        <v/>
      </c>
      <c r="BM11" s="68" t="str">
        <f>IF(BK11=1,Stats!$O26,"")</f>
        <v/>
      </c>
      <c r="BN11" s="68" t="str">
        <f>IF(BK11=1,Stats!$P26,"")</f>
        <v/>
      </c>
      <c r="BO11" s="68" t="str">
        <f>IF(BK11=1,Stats!$Q26,"")</f>
        <v/>
      </c>
      <c r="BP11" s="68" t="str">
        <f>IF(BK11=1,Stats!$R26,"")</f>
        <v/>
      </c>
      <c r="BQ11" s="68" t="str">
        <f>IF(BK11=1,Stats!$S26,"")</f>
        <v/>
      </c>
      <c r="BR11" s="68">
        <f t="shared" si="150"/>
        <v>0</v>
      </c>
      <c r="BS11">
        <f t="shared" si="151"/>
        <v>0</v>
      </c>
      <c r="BT11" s="68">
        <f>IF(BS11=0,MAX(BT$2:BT10)+1,0)</f>
        <v>9</v>
      </c>
      <c r="BU11" s="5" t="str">
        <f t="shared" si="152"/>
        <v>Character (Captain)</v>
      </c>
      <c r="BV11" s="5" t="str">
        <f t="shared" si="27"/>
        <v>Character (Captain)</v>
      </c>
      <c r="BX11">
        <f t="shared" si="153"/>
        <v>9</v>
      </c>
      <c r="BY11" s="5" t="str">
        <f t="shared" si="154"/>
        <v>Character (Captain)</v>
      </c>
      <c r="BZ11" s="68">
        <f>COUNTIF(Builder!$K$10:$N$10,BY11)</f>
        <v>0</v>
      </c>
      <c r="CA11" s="68" t="str">
        <f>IF(BZ11=1,Stats!$N26,"")</f>
        <v/>
      </c>
      <c r="CB11" s="68" t="str">
        <f>IF(BZ11=1,Stats!$O26,"")</f>
        <v/>
      </c>
      <c r="CC11" s="68" t="str">
        <f>IF(BZ11=1,Stats!$P26,"")</f>
        <v/>
      </c>
      <c r="CD11" s="68" t="str">
        <f>IF(BZ11=1,Stats!$Q26,"")</f>
        <v/>
      </c>
      <c r="CE11" s="68" t="str">
        <f>IF(BZ11=1,Stats!$R26,"")</f>
        <v/>
      </c>
      <c r="CF11" s="68" t="str">
        <f>IF(BZ11=1,Stats!$S26,"")</f>
        <v/>
      </c>
      <c r="CG11" s="68">
        <f t="shared" si="155"/>
        <v>0</v>
      </c>
      <c r="CH11">
        <f t="shared" si="156"/>
        <v>0</v>
      </c>
      <c r="CI11" s="68">
        <f>IF(CH11=0,MAX(CI$2:CI10)+1,0)</f>
        <v>9</v>
      </c>
      <c r="CJ11" s="5" t="str">
        <f t="shared" si="157"/>
        <v>Character (Captain)</v>
      </c>
      <c r="CK11" s="5" t="str">
        <f t="shared" si="33"/>
        <v>Character (Captain)</v>
      </c>
      <c r="CM11">
        <f t="shared" si="34"/>
        <v>9</v>
      </c>
      <c r="CN11" s="5" t="str">
        <f t="shared" si="35"/>
        <v>Character (Captain)</v>
      </c>
      <c r="CO11" s="68">
        <f>COUNTIF(Builder!$K$11:$N$11,CN11)</f>
        <v>0</v>
      </c>
      <c r="CP11" s="68" t="str">
        <f>IF(CO11=1,Stats!$N26,"")</f>
        <v/>
      </c>
      <c r="CQ11" s="68" t="str">
        <f>IF(CO11=1,Stats!$O26,"")</f>
        <v/>
      </c>
      <c r="CR11" s="68" t="str">
        <f>IF(CO11=1,Stats!$P26,"")</f>
        <v/>
      </c>
      <c r="CS11" s="68" t="str">
        <f>IF(CO11=1,Stats!$Q26,"")</f>
        <v/>
      </c>
      <c r="CT11" s="68" t="str">
        <f>IF(CO11=1,Stats!$R26,"")</f>
        <v/>
      </c>
      <c r="CU11" s="68" t="str">
        <f>IF(CO11=1,Stats!$S26,"")</f>
        <v/>
      </c>
      <c r="CV11" s="68">
        <f t="shared" si="36"/>
        <v>0</v>
      </c>
      <c r="CW11">
        <f t="shared" si="37"/>
        <v>0</v>
      </c>
      <c r="CX11" s="68">
        <f>IF(CW11=0,MAX(CX$2:CX10)+1,0)</f>
        <v>9</v>
      </c>
      <c r="CY11" s="5" t="str">
        <f t="shared" si="38"/>
        <v>Character (Captain)</v>
      </c>
      <c r="CZ11" s="5" t="str">
        <f t="shared" si="39"/>
        <v>Character (Captain)</v>
      </c>
      <c r="DB11">
        <f t="shared" si="158"/>
        <v>9</v>
      </c>
      <c r="DC11" s="5" t="str">
        <f t="shared" si="159"/>
        <v>Character (Captain)</v>
      </c>
      <c r="DD11" s="68">
        <f>COUNTIF(Builder!$K$12:$N$12,DC11)</f>
        <v>0</v>
      </c>
      <c r="DE11" s="68" t="str">
        <f>IF(DD11=1,Stats!$N26,"")</f>
        <v/>
      </c>
      <c r="DF11" s="68" t="str">
        <f>IF(DD11=1,Stats!$O26,"")</f>
        <v/>
      </c>
      <c r="DG11" s="68" t="str">
        <f>IF(DD11=1,Stats!$P26,"")</f>
        <v/>
      </c>
      <c r="DH11" s="68" t="str">
        <f>IF(DD11=1,Stats!$Q26,"")</f>
        <v/>
      </c>
      <c r="DI11" s="68" t="str">
        <f>IF(DD11=1,Stats!$R26,"")</f>
        <v/>
      </c>
      <c r="DJ11" s="68" t="str">
        <f>IF(DD11=1,Stats!$S26,"")</f>
        <v/>
      </c>
      <c r="DK11" s="68">
        <f t="shared" si="160"/>
        <v>0</v>
      </c>
      <c r="DL11">
        <f t="shared" si="161"/>
        <v>0</v>
      </c>
      <c r="DM11" s="68">
        <f>IF(DL11=0,MAX(DM$2:DM10)+1,0)</f>
        <v>9</v>
      </c>
      <c r="DN11" s="5" t="str">
        <f t="shared" si="162"/>
        <v>Character (Captain)</v>
      </c>
      <c r="DO11" s="5" t="str">
        <f t="shared" si="45"/>
        <v>Character (Captain)</v>
      </c>
      <c r="DQ11">
        <f t="shared" si="163"/>
        <v>9</v>
      </c>
      <c r="DR11" s="5" t="str">
        <f t="shared" si="164"/>
        <v>Character (Captain)</v>
      </c>
      <c r="DS11" s="68">
        <f>COUNTIF(Builder!$K$13:$N$13,DR11)</f>
        <v>0</v>
      </c>
      <c r="DT11" s="68" t="str">
        <f>IF(DS11=1,Stats!$N26,"")</f>
        <v/>
      </c>
      <c r="DU11" s="68" t="str">
        <f>IF(DS11=1,Stats!$O26,"")</f>
        <v/>
      </c>
      <c r="DV11" s="68" t="str">
        <f>IF(DS11=1,Stats!$P26,"")</f>
        <v/>
      </c>
      <c r="DW11" s="68" t="str">
        <f>IF(DS11=1,Stats!$Q26,"")</f>
        <v/>
      </c>
      <c r="DX11" s="68" t="str">
        <f>IF(DS11=1,Stats!$R26,"")</f>
        <v/>
      </c>
      <c r="DY11" s="68" t="str">
        <f>IF(DS11=1,Stats!$S26,"")</f>
        <v/>
      </c>
      <c r="DZ11" s="68">
        <f t="shared" si="165"/>
        <v>0</v>
      </c>
      <c r="EA11">
        <f t="shared" si="166"/>
        <v>0</v>
      </c>
      <c r="EB11" s="68">
        <f>IF(EA11=0,MAX(EB$2:EB10)+1,0)</f>
        <v>9</v>
      </c>
      <c r="EC11" s="5" t="str">
        <f t="shared" si="167"/>
        <v>Character (Captain)</v>
      </c>
      <c r="ED11" s="5" t="str">
        <f t="shared" si="51"/>
        <v>Character (Captain)</v>
      </c>
      <c r="EF11">
        <f t="shared" si="52"/>
        <v>9</v>
      </c>
      <c r="EG11" s="5" t="str">
        <f t="shared" si="53"/>
        <v>Character (Captain)</v>
      </c>
      <c r="EH11" s="68">
        <f>COUNTIF(Builder!$K$14:$N$14,EG11)</f>
        <v>0</v>
      </c>
      <c r="EI11" s="68" t="str">
        <f>IF(EH11=1,Stats!$N26,"")</f>
        <v/>
      </c>
      <c r="EJ11" s="68" t="str">
        <f>IF(EH11=1,Stats!$O26,"")</f>
        <v/>
      </c>
      <c r="EK11" s="68" t="str">
        <f>IF(EH11=1,Stats!$P26,"")</f>
        <v/>
      </c>
      <c r="EL11" s="68" t="str">
        <f>IF(EH11=1,Stats!$Q26,"")</f>
        <v/>
      </c>
      <c r="EM11" s="68" t="str">
        <f>IF(EH11=1,Stats!$R26,"")</f>
        <v/>
      </c>
      <c r="EN11" s="68" t="str">
        <f>IF(EH11=1,Stats!$S26,"")</f>
        <v/>
      </c>
      <c r="EO11" s="68">
        <f t="shared" si="54"/>
        <v>0</v>
      </c>
      <c r="EP11">
        <f t="shared" si="55"/>
        <v>0</v>
      </c>
      <c r="EQ11" s="68">
        <f>IF(EP11=0,MAX(EQ$2:EQ10)+1,0)</f>
        <v>9</v>
      </c>
      <c r="ER11" s="5" t="str">
        <f t="shared" si="56"/>
        <v>Character (Captain)</v>
      </c>
      <c r="ES11" s="5" t="str">
        <f t="shared" si="57"/>
        <v>Character (Captain)</v>
      </c>
      <c r="EU11">
        <f t="shared" si="58"/>
        <v>9</v>
      </c>
      <c r="EV11" s="5" t="str">
        <f t="shared" si="59"/>
        <v>Character (Captain)</v>
      </c>
      <c r="EW11" s="68">
        <f>COUNTIF(Builder!$K$15:$N$15,EV11)</f>
        <v>0</v>
      </c>
      <c r="EX11" s="68" t="str">
        <f>IF(EW11=1,Stats!$N26,"")</f>
        <v/>
      </c>
      <c r="EY11" s="68" t="str">
        <f>IF(EW11=1,Stats!$O26,"")</f>
        <v/>
      </c>
      <c r="EZ11" s="68" t="str">
        <f>IF(EW11=1,Stats!$P26,"")</f>
        <v/>
      </c>
      <c r="FA11" s="68" t="str">
        <f>IF(EW11=1,Stats!$Q26,"")</f>
        <v/>
      </c>
      <c r="FB11" s="68" t="str">
        <f>IF(EW11=1,Stats!$R26,"")</f>
        <v/>
      </c>
      <c r="FC11" s="68" t="str">
        <f>IF(EW11=1,Stats!$S26,"")</f>
        <v/>
      </c>
      <c r="FD11" s="68">
        <f t="shared" si="60"/>
        <v>0</v>
      </c>
      <c r="FE11">
        <f t="shared" si="61"/>
        <v>0</v>
      </c>
      <c r="FF11" s="68">
        <f>IF(FE11=0,MAX(FF$2:FF10)+1,0)</f>
        <v>9</v>
      </c>
      <c r="FG11" s="5" t="str">
        <f t="shared" si="62"/>
        <v>Character (Captain)</v>
      </c>
      <c r="FH11" s="5" t="str">
        <f t="shared" si="63"/>
        <v>Character (Captain)</v>
      </c>
      <c r="FJ11">
        <f t="shared" si="64"/>
        <v>9</v>
      </c>
      <c r="FK11" s="5" t="str">
        <f t="shared" si="65"/>
        <v>Character (Captain)</v>
      </c>
      <c r="FL11" s="68">
        <f>COUNTIF(Builder!$K$16:$N$16,FK11)</f>
        <v>0</v>
      </c>
      <c r="FM11" s="68" t="str">
        <f>IF(FL11=1,Stats!$N26,"")</f>
        <v/>
      </c>
      <c r="FN11" s="68" t="str">
        <f>IF(FL11=1,Stats!$O26,"")</f>
        <v/>
      </c>
      <c r="FO11" s="68" t="str">
        <f>IF(FL11=1,Stats!$P26,"")</f>
        <v/>
      </c>
      <c r="FP11" s="68" t="str">
        <f>IF(FL11=1,Stats!$Q26,"")</f>
        <v/>
      </c>
      <c r="FQ11" s="68" t="str">
        <f>IF(FL11=1,Stats!$R26,"")</f>
        <v/>
      </c>
      <c r="FR11" s="68" t="str">
        <f>IF(FL11=1,Stats!$S26,"")</f>
        <v/>
      </c>
      <c r="FS11" s="68">
        <f t="shared" si="66"/>
        <v>0</v>
      </c>
      <c r="FT11">
        <f t="shared" si="67"/>
        <v>0</v>
      </c>
      <c r="FU11" s="68">
        <f>IF(FT11=0,MAX(FU$2:FU10)+1,0)</f>
        <v>9</v>
      </c>
      <c r="FV11" s="5" t="str">
        <f t="shared" si="68"/>
        <v>Character (Captain)</v>
      </c>
      <c r="FW11" s="5" t="str">
        <f t="shared" si="69"/>
        <v>Character (Captain)</v>
      </c>
      <c r="FY11">
        <f t="shared" si="168"/>
        <v>9</v>
      </c>
      <c r="FZ11" s="5" t="str">
        <f t="shared" si="169"/>
        <v>Character (Captain)</v>
      </c>
      <c r="GA11" s="68">
        <f>COUNTIF(Builder!$K$17:$N$17,FZ11)</f>
        <v>0</v>
      </c>
      <c r="GB11" s="68" t="str">
        <f>IF(GA11=1,Stats!$N26,"")</f>
        <v/>
      </c>
      <c r="GC11" s="68" t="str">
        <f>IF(GA11=1,Stats!$O26,"")</f>
        <v/>
      </c>
      <c r="GD11" s="68" t="str">
        <f>IF(GA11=1,Stats!$P26,"")</f>
        <v/>
      </c>
      <c r="GE11" s="68" t="str">
        <f>IF(GA11=1,Stats!$Q26,"")</f>
        <v/>
      </c>
      <c r="GF11" s="68" t="str">
        <f>IF(GA11=1,Stats!$R26,"")</f>
        <v/>
      </c>
      <c r="GG11" s="68" t="str">
        <f>IF(GA11=1,Stats!$S26,"")</f>
        <v/>
      </c>
      <c r="GH11" s="68">
        <f t="shared" si="170"/>
        <v>0</v>
      </c>
      <c r="GI11">
        <f t="shared" si="171"/>
        <v>0</v>
      </c>
      <c r="GJ11" s="68">
        <f>IF(GI11=0,MAX(GJ$2:GJ10)+1,0)</f>
        <v>9</v>
      </c>
      <c r="GK11" s="5" t="str">
        <f t="shared" si="172"/>
        <v>Character (Captain)</v>
      </c>
      <c r="GL11" s="5" t="str">
        <f t="shared" si="75"/>
        <v>Character (Captain)</v>
      </c>
      <c r="GN11">
        <f t="shared" si="76"/>
        <v>9</v>
      </c>
      <c r="GO11" s="5" t="str">
        <f t="shared" si="77"/>
        <v>Character (Captain)</v>
      </c>
      <c r="GP11" s="68">
        <f>COUNTIF(Builder!$K$18:$N$18,GO11)</f>
        <v>0</v>
      </c>
      <c r="GQ11" s="68" t="str">
        <f>IF(GP11=1,Stats!$N26,"")</f>
        <v/>
      </c>
      <c r="GR11" s="68" t="str">
        <f>IF(GP11=1,Stats!$O26,"")</f>
        <v/>
      </c>
      <c r="GS11" s="68" t="str">
        <f>IF(GP11=1,Stats!$P26,"")</f>
        <v/>
      </c>
      <c r="GT11" s="68" t="str">
        <f>IF(GP11=1,Stats!$Q26,"")</f>
        <v/>
      </c>
      <c r="GU11" s="68" t="str">
        <f>IF(GP11=1,Stats!$R26,"")</f>
        <v/>
      </c>
      <c r="GV11" s="68" t="str">
        <f>IF(GP11=1,Stats!$S26,"")</f>
        <v/>
      </c>
      <c r="GW11" s="68">
        <f t="shared" si="78"/>
        <v>0</v>
      </c>
      <c r="GX11">
        <f t="shared" si="79"/>
        <v>0</v>
      </c>
      <c r="GY11" s="68">
        <f>IF(GX11=0,MAX(GY$2:GY10)+1,0)</f>
        <v>9</v>
      </c>
      <c r="GZ11" s="5" t="str">
        <f t="shared" si="80"/>
        <v>Character (Captain)</v>
      </c>
      <c r="HA11" s="5" t="str">
        <f t="shared" si="81"/>
        <v>Character (Captain)</v>
      </c>
      <c r="HC11">
        <f t="shared" si="82"/>
        <v>9</v>
      </c>
      <c r="HD11" s="5" t="str">
        <f t="shared" si="83"/>
        <v>Character (Captain)</v>
      </c>
      <c r="HE11" s="68">
        <f>COUNTIF(Builder!$K$19:$N$19,HD11)</f>
        <v>0</v>
      </c>
      <c r="HF11" s="68" t="str">
        <f>IF(HE11=1,Stats!$N26,"")</f>
        <v/>
      </c>
      <c r="HG11" s="68" t="str">
        <f>IF(HE11=1,Stats!$O26,"")</f>
        <v/>
      </c>
      <c r="HH11" s="68" t="str">
        <f>IF(HE11=1,Stats!$P26,"")</f>
        <v/>
      </c>
      <c r="HI11" s="68" t="str">
        <f>IF(HE11=1,Stats!$Q26,"")</f>
        <v/>
      </c>
      <c r="HJ11" s="68" t="str">
        <f>IF(HE11=1,Stats!$R26,"")</f>
        <v/>
      </c>
      <c r="HK11" s="68" t="str">
        <f>IF(HE11=1,Stats!$S26,"")</f>
        <v/>
      </c>
      <c r="HL11" s="68">
        <f t="shared" si="84"/>
        <v>0</v>
      </c>
      <c r="HM11">
        <f t="shared" si="85"/>
        <v>0</v>
      </c>
      <c r="HN11" s="68">
        <f>IF(HM11=0,MAX(HN$2:HN10)+1,0)</f>
        <v>9</v>
      </c>
      <c r="HO11" s="5" t="str">
        <f t="shared" si="86"/>
        <v>Character (Captain)</v>
      </c>
      <c r="HP11" s="5" t="str">
        <f t="shared" si="87"/>
        <v>Character (Captain)</v>
      </c>
      <c r="HR11">
        <f t="shared" si="88"/>
        <v>9</v>
      </c>
      <c r="HS11" s="5" t="str">
        <f t="shared" si="89"/>
        <v>Character (Captain)</v>
      </c>
      <c r="HT11" s="68">
        <f>COUNTIF(Builder!$K$20:$N$20,HS11)</f>
        <v>0</v>
      </c>
      <c r="HU11" s="68" t="str">
        <f>IF(HT11=1,Stats!$N26,"")</f>
        <v/>
      </c>
      <c r="HV11" s="68" t="str">
        <f>IF(HT11=1,Stats!$O26,"")</f>
        <v/>
      </c>
      <c r="HW11" s="68" t="str">
        <f>IF(HT11=1,Stats!$P26,"")</f>
        <v/>
      </c>
      <c r="HX11" s="68" t="str">
        <f>IF(HT11=1,Stats!$Q26,"")</f>
        <v/>
      </c>
      <c r="HY11" s="68" t="str">
        <f>IF(HT11=1,Stats!$R26,"")</f>
        <v/>
      </c>
      <c r="HZ11" s="68" t="str">
        <f>IF(HT11=1,Stats!$S26,"")</f>
        <v/>
      </c>
      <c r="IA11" s="68">
        <f t="shared" si="90"/>
        <v>0</v>
      </c>
      <c r="IB11">
        <f t="shared" si="91"/>
        <v>0</v>
      </c>
      <c r="IC11" s="68">
        <f>IF(IB11=0,MAX(IC$2:IC10)+1,0)</f>
        <v>9</v>
      </c>
      <c r="ID11" s="5" t="str">
        <f t="shared" si="92"/>
        <v>Character (Captain)</v>
      </c>
      <c r="IE11" s="5" t="str">
        <f t="shared" si="93"/>
        <v>Character (Captain)</v>
      </c>
      <c r="IG11">
        <f t="shared" si="94"/>
        <v>9</v>
      </c>
      <c r="IH11" s="5" t="str">
        <f t="shared" si="95"/>
        <v>Character (Captain)</v>
      </c>
      <c r="II11" s="68">
        <f>COUNTIF(Builder!$K$21:$N$21,IH11)</f>
        <v>0</v>
      </c>
      <c r="IJ11" s="68" t="str">
        <f>IF(II11=1,Stats!$N26,"")</f>
        <v/>
      </c>
      <c r="IK11" s="68" t="str">
        <f>IF(II11=1,Stats!$O26,"")</f>
        <v/>
      </c>
      <c r="IL11" s="68" t="str">
        <f>IF(II11=1,Stats!$P26,"")</f>
        <v/>
      </c>
      <c r="IM11" s="68" t="str">
        <f>IF(II11=1,Stats!$Q26,"")</f>
        <v/>
      </c>
      <c r="IN11" s="68" t="str">
        <f>IF(II11=1,Stats!$R26,"")</f>
        <v/>
      </c>
      <c r="IO11" s="68" t="str">
        <f>IF(II11=1,Stats!$S26,"")</f>
        <v/>
      </c>
      <c r="IP11" s="68">
        <f t="shared" si="96"/>
        <v>0</v>
      </c>
      <c r="IQ11">
        <f t="shared" si="97"/>
        <v>0</v>
      </c>
      <c r="IR11" s="68">
        <f>IF(IQ11=0,MAX(IR$2:IR10)+1,0)</f>
        <v>9</v>
      </c>
      <c r="IS11" s="5" t="str">
        <f t="shared" si="98"/>
        <v>Character (Captain)</v>
      </c>
      <c r="IT11" s="5" t="str">
        <f t="shared" si="99"/>
        <v>Character (Captain)</v>
      </c>
      <c r="IV11">
        <f t="shared" si="100"/>
        <v>9</v>
      </c>
      <c r="IW11" s="5" t="str">
        <f t="shared" si="101"/>
        <v>Character (Captain)</v>
      </c>
      <c r="IX11" s="68">
        <f>COUNTIF(Builder!$K$22:$N$22,IW11)</f>
        <v>0</v>
      </c>
      <c r="IY11" s="68" t="str">
        <f>IF(IX11=1,Stats!$N26,"")</f>
        <v/>
      </c>
      <c r="IZ11" s="68" t="str">
        <f>IF(IX11=1,Stats!$O26,"")</f>
        <v/>
      </c>
      <c r="JA11" s="68" t="str">
        <f>IF(IX11=1,Stats!$P26,"")</f>
        <v/>
      </c>
      <c r="JB11" s="68" t="str">
        <f>IF(IX11=1,Stats!$Q26,"")</f>
        <v/>
      </c>
      <c r="JC11" s="68" t="str">
        <f>IF(IX11=1,Stats!$R26,"")</f>
        <v/>
      </c>
      <c r="JD11" s="68" t="str">
        <f>IF(IX11=1,Stats!$S26,"")</f>
        <v/>
      </c>
      <c r="JE11" s="68">
        <f t="shared" si="102"/>
        <v>0</v>
      </c>
      <c r="JF11">
        <f t="shared" si="103"/>
        <v>0</v>
      </c>
      <c r="JG11" s="68">
        <f>IF(JF11=0,MAX(JG$2:JG10)+1,0)</f>
        <v>9</v>
      </c>
      <c r="JH11" s="5" t="str">
        <f t="shared" si="104"/>
        <v>Character (Captain)</v>
      </c>
      <c r="JI11" s="5" t="str">
        <f t="shared" si="105"/>
        <v>Character (Captain)</v>
      </c>
      <c r="JK11">
        <f t="shared" si="106"/>
        <v>9</v>
      </c>
      <c r="JL11" s="5" t="str">
        <f t="shared" si="107"/>
        <v>Character (Captain)</v>
      </c>
      <c r="JM11" s="68">
        <f>COUNTIF(Builder!$K$23:$N$23,JL11)</f>
        <v>0</v>
      </c>
      <c r="JN11" s="68" t="str">
        <f>IF(JM11=1,Stats!$N26,"")</f>
        <v/>
      </c>
      <c r="JO11" s="68" t="str">
        <f>IF(JM11=1,Stats!$O26,"")</f>
        <v/>
      </c>
      <c r="JP11" s="68" t="str">
        <f>IF(JM11=1,Stats!$P26,"")</f>
        <v/>
      </c>
      <c r="JQ11" s="68" t="str">
        <f>IF(JM11=1,Stats!$Q26,"")</f>
        <v/>
      </c>
      <c r="JR11" s="68" t="str">
        <f>IF(JM11=1,Stats!$R26,"")</f>
        <v/>
      </c>
      <c r="JS11" s="68" t="str">
        <f>IF(JM11=1,Stats!$S26,"")</f>
        <v/>
      </c>
      <c r="JT11" s="68">
        <f t="shared" si="108"/>
        <v>0</v>
      </c>
      <c r="JU11">
        <f t="shared" si="109"/>
        <v>0</v>
      </c>
      <c r="JV11" s="68">
        <f>IF(JU11=0,MAX(JV$2:JV10)+1,0)</f>
        <v>9</v>
      </c>
      <c r="JW11" s="5" t="str">
        <f t="shared" si="110"/>
        <v>Character (Captain)</v>
      </c>
      <c r="JX11" s="5" t="str">
        <f t="shared" si="111"/>
        <v>Character (Captain)</v>
      </c>
      <c r="JZ11">
        <f t="shared" si="112"/>
        <v>9</v>
      </c>
      <c r="KA11" s="5" t="str">
        <f t="shared" si="113"/>
        <v>Character (Captain)</v>
      </c>
      <c r="KB11" s="68">
        <f>COUNTIF(Builder!$K$24:$N$24,KA11)</f>
        <v>0</v>
      </c>
      <c r="KC11" s="68" t="str">
        <f>IF(KB11=1,Stats!$N26,"")</f>
        <v/>
      </c>
      <c r="KD11" s="68" t="str">
        <f>IF(KB11=1,Stats!$O26,"")</f>
        <v/>
      </c>
      <c r="KE11" s="68" t="str">
        <f>IF(KB11=1,Stats!$P26,"")</f>
        <v/>
      </c>
      <c r="KF11" s="68" t="str">
        <f>IF(KB11=1,Stats!$Q26,"")</f>
        <v/>
      </c>
      <c r="KG11" s="68" t="str">
        <f>IF(KB11=1,Stats!$R26,"")</f>
        <v/>
      </c>
      <c r="KH11" s="68" t="str">
        <f>IF(KB11=1,Stats!$S26,"")</f>
        <v/>
      </c>
      <c r="KI11" s="68">
        <f t="shared" si="114"/>
        <v>0</v>
      </c>
      <c r="KJ11">
        <f t="shared" si="115"/>
        <v>0</v>
      </c>
      <c r="KK11" s="68">
        <f>IF(KJ11=0,MAX(KK$2:KK10)+1,0)</f>
        <v>9</v>
      </c>
      <c r="KL11" s="5" t="str">
        <f t="shared" si="116"/>
        <v>Character (Captain)</v>
      </c>
      <c r="KM11" s="5" t="str">
        <f t="shared" si="117"/>
        <v>Character (Captain)</v>
      </c>
      <c r="KO11">
        <f t="shared" si="118"/>
        <v>9</v>
      </c>
      <c r="KP11" s="5" t="str">
        <f t="shared" si="119"/>
        <v>Character (Captain)</v>
      </c>
      <c r="KQ11" s="68">
        <f>COUNTIF(Builder!$K$25:$N$25,KP11)</f>
        <v>0</v>
      </c>
      <c r="KR11" s="68" t="str">
        <f>IF(KQ11=1,Stats!$N26,"")</f>
        <v/>
      </c>
      <c r="KS11" s="68" t="str">
        <f>IF(KQ11=1,Stats!$O26,"")</f>
        <v/>
      </c>
      <c r="KT11" s="68" t="str">
        <f>IF(KQ11=1,Stats!$P26,"")</f>
        <v/>
      </c>
      <c r="KU11" s="68" t="str">
        <f>IF(KQ11=1,Stats!$Q26,"")</f>
        <v/>
      </c>
      <c r="KV11" s="68" t="str">
        <f>IF(KQ11=1,Stats!$R26,"")</f>
        <v/>
      </c>
      <c r="KW11" s="68" t="str">
        <f>IF(KQ11=1,Stats!$S26,"")</f>
        <v/>
      </c>
      <c r="KX11" s="68">
        <f t="shared" si="120"/>
        <v>0</v>
      </c>
      <c r="KY11">
        <f t="shared" si="121"/>
        <v>0</v>
      </c>
      <c r="KZ11" s="68">
        <f>IF(KY11=0,MAX(KZ$2:KZ10)+1,0)</f>
        <v>9</v>
      </c>
      <c r="LA11" s="5" t="str">
        <f t="shared" si="122"/>
        <v>Character (Captain)</v>
      </c>
      <c r="LB11" s="5" t="str">
        <f t="shared" si="123"/>
        <v>Character (Captain)</v>
      </c>
      <c r="LD11">
        <f t="shared" si="124"/>
        <v>9</v>
      </c>
      <c r="LE11" s="5" t="str">
        <f t="shared" si="125"/>
        <v>Character (Captain)</v>
      </c>
      <c r="LF11" s="68">
        <f>COUNTIF(Builder!$K$26:$N$26,LE11)</f>
        <v>0</v>
      </c>
      <c r="LG11" s="68" t="str">
        <f>IF(LF11=1,Stats!$N26,"")</f>
        <v/>
      </c>
      <c r="LH11" s="68" t="str">
        <f>IF(LF11=1,Stats!$O26,"")</f>
        <v/>
      </c>
      <c r="LI11" s="68" t="str">
        <f>IF(LF11=1,Stats!$P26,"")</f>
        <v/>
      </c>
      <c r="LJ11" s="68" t="str">
        <f>IF(LF11=1,Stats!$Q26,"")</f>
        <v/>
      </c>
      <c r="LK11" s="68" t="str">
        <f>IF(LF11=1,Stats!$R26,"")</f>
        <v/>
      </c>
      <c r="LL11" s="68" t="str">
        <f>IF(LF11=1,Stats!$S26,"")</f>
        <v/>
      </c>
      <c r="LM11" s="68">
        <f t="shared" si="126"/>
        <v>0</v>
      </c>
      <c r="LN11">
        <f t="shared" si="127"/>
        <v>0</v>
      </c>
      <c r="LO11" s="68">
        <f>IF(LN11=0,MAX(LO$2:LO10)+1,0)</f>
        <v>9</v>
      </c>
      <c r="LP11" s="5" t="str">
        <f t="shared" si="128"/>
        <v>Character (Captain)</v>
      </c>
      <c r="LQ11" s="5" t="str">
        <f t="shared" si="129"/>
        <v>Character (Captain)</v>
      </c>
      <c r="LS11">
        <f t="shared" si="130"/>
        <v>9</v>
      </c>
      <c r="LT11" s="5" t="str">
        <f t="shared" si="131"/>
        <v>Character (Captain)</v>
      </c>
      <c r="LU11" s="68">
        <f>COUNTIF(Builder!$K$27:$N$27,LT11)</f>
        <v>0</v>
      </c>
      <c r="LV11" s="68" t="str">
        <f>IF(LU11=1,Stats!$N26,"")</f>
        <v/>
      </c>
      <c r="LW11" s="68" t="str">
        <f>IF(LU11=1,Stats!$O26,"")</f>
        <v/>
      </c>
      <c r="LX11" s="68" t="str">
        <f>IF(LU11=1,Stats!$P26,"")</f>
        <v/>
      </c>
      <c r="LY11" s="68" t="str">
        <f>IF(LU11=1,Stats!$Q26,"")</f>
        <v/>
      </c>
      <c r="LZ11" s="68" t="str">
        <f>IF(LU11=1,Stats!$R26,"")</f>
        <v/>
      </c>
      <c r="MA11" s="68" t="str">
        <f>IF(LU11=1,Stats!$S26,"")</f>
        <v/>
      </c>
      <c r="MB11" s="68">
        <f t="shared" si="132"/>
        <v>0</v>
      </c>
      <c r="MC11">
        <f t="shared" si="133"/>
        <v>0</v>
      </c>
      <c r="MD11" s="68">
        <f>IF(MC11=0,MAX(MD$2:MD10)+1,0)</f>
        <v>9</v>
      </c>
      <c r="ME11" s="5" t="str">
        <f t="shared" si="134"/>
        <v>Character (Captain)</v>
      </c>
      <c r="MF11" s="5" t="str">
        <f t="shared" si="135"/>
        <v>Character (Captain)</v>
      </c>
      <c r="MH11">
        <f t="shared" si="136"/>
        <v>9</v>
      </c>
      <c r="MI11" s="5" t="str">
        <f t="shared" si="137"/>
        <v>Character (Captain)</v>
      </c>
      <c r="MJ11" s="68">
        <f>COUNTIF(Builder!$K$28:$N$28,MI11)</f>
        <v>0</v>
      </c>
      <c r="MK11" s="68" t="str">
        <f>IF(MJ11=1,Stats!$N26,"")</f>
        <v/>
      </c>
      <c r="ML11" s="68" t="str">
        <f>IF(MJ11=1,Stats!$O26,"")</f>
        <v/>
      </c>
      <c r="MM11" s="68" t="str">
        <f>IF(MJ11=1,Stats!$P26,"")</f>
        <v/>
      </c>
      <c r="MN11" s="68" t="str">
        <f>IF(MJ11=1,Stats!$Q26,"")</f>
        <v/>
      </c>
      <c r="MO11" s="68" t="str">
        <f>IF(MJ11=1,Stats!$R26,"")</f>
        <v/>
      </c>
      <c r="MP11" s="68" t="str">
        <f>IF(MJ11=1,Stats!$S26,"")</f>
        <v/>
      </c>
      <c r="MQ11" s="68">
        <f t="shared" si="138"/>
        <v>0</v>
      </c>
      <c r="MR11">
        <f t="shared" si="139"/>
        <v>0</v>
      </c>
      <c r="MS11" s="68">
        <f>IF(MR11=0,MAX(MS$2:MS10)+1,0)</f>
        <v>9</v>
      </c>
      <c r="MT11" s="5" t="str">
        <f t="shared" si="140"/>
        <v>Character (Captain)</v>
      </c>
      <c r="MU11" s="5" t="str">
        <f t="shared" si="141"/>
        <v>Character (Captain)</v>
      </c>
      <c r="MW11">
        <f t="shared" si="142"/>
        <v>9</v>
      </c>
      <c r="MX11" s="5" t="str">
        <f t="shared" si="143"/>
        <v>Character (Captain)</v>
      </c>
      <c r="MY11" s="68">
        <f>COUNTIF(Builder!$K$29:$N$29,MX11)</f>
        <v>0</v>
      </c>
      <c r="MZ11" s="68" t="str">
        <f>IF(MY11=1,Stats!$N26,"")</f>
        <v/>
      </c>
      <c r="NA11" s="68" t="str">
        <f>IF(MY11=1,Stats!$O26,"")</f>
        <v/>
      </c>
      <c r="NB11" s="68" t="str">
        <f>IF(MY11=1,Stats!$P26,"")</f>
        <v/>
      </c>
      <c r="NC11" s="68" t="str">
        <f>IF(MY11=1,Stats!$Q26,"")</f>
        <v/>
      </c>
      <c r="ND11" s="68" t="str">
        <f>IF(MY11=1,Stats!$R26,"")</f>
        <v/>
      </c>
      <c r="NE11" s="68" t="str">
        <f>IF(MY11=1,Stats!$S26,"")</f>
        <v/>
      </c>
      <c r="NF11" s="68">
        <f t="shared" si="144"/>
        <v>0</v>
      </c>
      <c r="NG11">
        <f t="shared" si="145"/>
        <v>0</v>
      </c>
      <c r="NH11" s="68">
        <f>IF(NG11=0,MAX(NH$2:NH10)+1,0)</f>
        <v>9</v>
      </c>
      <c r="NI11" s="5" t="str">
        <f t="shared" si="146"/>
        <v>Character (Captain)</v>
      </c>
      <c r="NJ11" s="5" t="str">
        <f t="shared" si="147"/>
        <v>Character (Captain)</v>
      </c>
    </row>
    <row r="12" spans="1:374" ht="15" x14ac:dyDescent="0.3">
      <c r="A12">
        <v>10</v>
      </c>
      <c r="B12" s="5" t="s">
        <v>151</v>
      </c>
      <c r="C12" s="68">
        <f>COUNTIF(Builder!$K$5:$N$5,B12)</f>
        <v>0</v>
      </c>
      <c r="D12" s="68" t="str">
        <f>IF(C12=1,Stats!$N27,"")</f>
        <v/>
      </c>
      <c r="E12" s="68" t="str">
        <f>IF(C12=1,Stats!$O27,"")</f>
        <v/>
      </c>
      <c r="F12" s="68" t="str">
        <f>IF(C12=1,Stats!$P27,"")</f>
        <v/>
      </c>
      <c r="G12" s="68" t="str">
        <f>IF(C12=1,Stats!$Q27,"")</f>
        <v/>
      </c>
      <c r="H12" s="68" t="str">
        <f>IF(C12=1,Stats!$R27,"")</f>
        <v/>
      </c>
      <c r="I12" s="68" t="str">
        <f>IF(C12=1,Stats!$S27,"")</f>
        <v/>
      </c>
      <c r="J12" s="68">
        <f t="shared" si="0"/>
        <v>0</v>
      </c>
      <c r="K12">
        <f t="shared" si="1"/>
        <v>0</v>
      </c>
      <c r="L12" s="68">
        <f>IF(K12=0,MAX($L$2:L11)+1,0)</f>
        <v>10</v>
      </c>
      <c r="M12" s="5" t="str">
        <f t="shared" si="2"/>
        <v>Character (Magic-user)</v>
      </c>
      <c r="N12" s="5" t="str">
        <f t="shared" si="3"/>
        <v>Character (Magic-user)</v>
      </c>
      <c r="O12" s="5"/>
      <c r="P12">
        <f t="shared" si="4"/>
        <v>10</v>
      </c>
      <c r="Q12" s="5" t="str">
        <f t="shared" si="5"/>
        <v>Character (Magic-user)</v>
      </c>
      <c r="R12" s="68">
        <f>COUNTIF(Builder!$K$6:$N$6,Q12)</f>
        <v>0</v>
      </c>
      <c r="S12" s="68" t="str">
        <f>IF(R12=1,Stats!$N27,"")</f>
        <v/>
      </c>
      <c r="T12" s="68" t="str">
        <f>IF(R12=1,Stats!$O27,"")</f>
        <v/>
      </c>
      <c r="U12" s="68" t="str">
        <f>IF(R12=1,Stats!$P27,"")</f>
        <v/>
      </c>
      <c r="V12" s="68" t="str">
        <f>IF(R12=1,Stats!$Q27,"")</f>
        <v/>
      </c>
      <c r="W12" s="68" t="str">
        <f>IF(R12=1,Stats!$R27,"")</f>
        <v/>
      </c>
      <c r="X12" s="68" t="str">
        <f>IF(R12=1,Stats!$S27,"")</f>
        <v/>
      </c>
      <c r="Y12" s="68">
        <f t="shared" si="6"/>
        <v>0</v>
      </c>
      <c r="Z12">
        <f t="shared" si="7"/>
        <v>0</v>
      </c>
      <c r="AA12" s="68">
        <f>IF(Z12=0,MAX($AA$2:AA11)+1,0)</f>
        <v>10</v>
      </c>
      <c r="AB12" s="5" t="str">
        <f t="shared" si="8"/>
        <v>Character (Magic-user)</v>
      </c>
      <c r="AC12" s="5" t="str">
        <f t="shared" si="9"/>
        <v>Character (Magic-user)</v>
      </c>
      <c r="AD12" s="5"/>
      <c r="AE12">
        <f t="shared" si="10"/>
        <v>10</v>
      </c>
      <c r="AF12" s="5" t="str">
        <f t="shared" si="11"/>
        <v>Character (Magic-user)</v>
      </c>
      <c r="AG12" s="68">
        <f>COUNTIF(Builder!$K$7:$N$7,AF12)</f>
        <v>0</v>
      </c>
      <c r="AH12" s="68" t="str">
        <f>IF(AG12=1,Stats!$N27,"")</f>
        <v/>
      </c>
      <c r="AI12" s="68" t="str">
        <f>IF(AG12=1,Stats!$O27,"")</f>
        <v/>
      </c>
      <c r="AJ12" s="68" t="str">
        <f>IF(AG12=1,Stats!$P27,"")</f>
        <v/>
      </c>
      <c r="AK12" s="68" t="str">
        <f>IF(AG12=1,Stats!$Q27,"")</f>
        <v/>
      </c>
      <c r="AL12" s="68" t="str">
        <f>IF(AG12=1,Stats!$R27,"")</f>
        <v/>
      </c>
      <c r="AM12" s="68" t="str">
        <f>IF(AG12=1,Stats!$S27,"")</f>
        <v/>
      </c>
      <c r="AN12" s="68">
        <f t="shared" si="12"/>
        <v>0</v>
      </c>
      <c r="AO12">
        <f t="shared" si="13"/>
        <v>0</v>
      </c>
      <c r="AP12" s="68">
        <f>IF(AO12=0,MAX($AP$2:AP11)+1,0)</f>
        <v>10</v>
      </c>
      <c r="AQ12" s="5" t="str">
        <f t="shared" si="14"/>
        <v>Character (Magic-user)</v>
      </c>
      <c r="AR12" s="5" t="str">
        <f t="shared" si="15"/>
        <v>Character (Magic-user)</v>
      </c>
      <c r="AS12" s="5"/>
      <c r="AT12">
        <f t="shared" si="16"/>
        <v>10</v>
      </c>
      <c r="AU12" s="5" t="str">
        <f t="shared" si="17"/>
        <v>Character (Magic-user)</v>
      </c>
      <c r="AV12" s="68">
        <f>COUNTIF(Builder!$K$8:$N$8,AU12)</f>
        <v>0</v>
      </c>
      <c r="AW12" s="68" t="str">
        <f>IF(AV12=1,Stats!$N27,"")</f>
        <v/>
      </c>
      <c r="AX12" s="68" t="str">
        <f>IF(AV12=1,Stats!$O27,"")</f>
        <v/>
      </c>
      <c r="AY12" s="68" t="str">
        <f>IF(AV12=1,Stats!$P27,"")</f>
        <v/>
      </c>
      <c r="AZ12" s="68" t="str">
        <f>IF(AV12=1,Stats!$Q27,"")</f>
        <v/>
      </c>
      <c r="BA12" s="68" t="str">
        <f>IF(AV12=1,Stats!$R27,"")</f>
        <v/>
      </c>
      <c r="BB12" s="68" t="str">
        <f>IF(AV12=1,Stats!$S27,"")</f>
        <v/>
      </c>
      <c r="BC12" s="68">
        <f t="shared" si="18"/>
        <v>0</v>
      </c>
      <c r="BD12">
        <f t="shared" si="19"/>
        <v>0</v>
      </c>
      <c r="BE12" s="68">
        <f>IF(BD12=0,MAX($BE$2:BE11)+1,0)</f>
        <v>10</v>
      </c>
      <c r="BF12" s="5" t="str">
        <f t="shared" si="20"/>
        <v>Character (Magic-user)</v>
      </c>
      <c r="BG12" s="5" t="str">
        <f t="shared" si="21"/>
        <v>Character (Magic-user)</v>
      </c>
      <c r="BH12" s="5"/>
      <c r="BI12">
        <f t="shared" si="148"/>
        <v>10</v>
      </c>
      <c r="BJ12" s="5" t="str">
        <f t="shared" si="149"/>
        <v>Character (Magic-user)</v>
      </c>
      <c r="BK12" s="68">
        <f>COUNTIF(Builder!$K$9:$N$9,BJ12)</f>
        <v>0</v>
      </c>
      <c r="BL12" s="68" t="str">
        <f>IF(BK12=1,Stats!$N27,"")</f>
        <v/>
      </c>
      <c r="BM12" s="68" t="str">
        <f>IF(BK12=1,Stats!$O27,"")</f>
        <v/>
      </c>
      <c r="BN12" s="68" t="str">
        <f>IF(BK12=1,Stats!$P27,"")</f>
        <v/>
      </c>
      <c r="BO12" s="68" t="str">
        <f>IF(BK12=1,Stats!$Q27,"")</f>
        <v/>
      </c>
      <c r="BP12" s="68" t="str">
        <f>IF(BK12=1,Stats!$R27,"")</f>
        <v/>
      </c>
      <c r="BQ12" s="68" t="str">
        <f>IF(BK12=1,Stats!$S27,"")</f>
        <v/>
      </c>
      <c r="BR12" s="68">
        <f t="shared" si="150"/>
        <v>0</v>
      </c>
      <c r="BS12">
        <f t="shared" si="151"/>
        <v>0</v>
      </c>
      <c r="BT12" s="68">
        <f>IF(BS12=0,MAX(BT$2:BT11)+1,0)</f>
        <v>10</v>
      </c>
      <c r="BU12" s="5" t="str">
        <f t="shared" si="152"/>
        <v>Character (Magic-user)</v>
      </c>
      <c r="BV12" s="5" t="str">
        <f t="shared" si="27"/>
        <v>Character (Magic-user)</v>
      </c>
      <c r="BX12">
        <f t="shared" si="153"/>
        <v>10</v>
      </c>
      <c r="BY12" s="5" t="str">
        <f t="shared" si="154"/>
        <v>Character (Magic-user)</v>
      </c>
      <c r="BZ12" s="68">
        <f>COUNTIF(Builder!$K$10:$N$10,BY12)</f>
        <v>0</v>
      </c>
      <c r="CA12" s="68" t="str">
        <f>IF(BZ12=1,Stats!$N27,"")</f>
        <v/>
      </c>
      <c r="CB12" s="68" t="str">
        <f>IF(BZ12=1,Stats!$O27,"")</f>
        <v/>
      </c>
      <c r="CC12" s="68" t="str">
        <f>IF(BZ12=1,Stats!$P27,"")</f>
        <v/>
      </c>
      <c r="CD12" s="68" t="str">
        <f>IF(BZ12=1,Stats!$Q27,"")</f>
        <v/>
      </c>
      <c r="CE12" s="68" t="str">
        <f>IF(BZ12=1,Stats!$R27,"")</f>
        <v/>
      </c>
      <c r="CF12" s="68" t="str">
        <f>IF(BZ12=1,Stats!$S27,"")</f>
        <v/>
      </c>
      <c r="CG12" s="68">
        <f t="shared" si="155"/>
        <v>0</v>
      </c>
      <c r="CH12">
        <f t="shared" si="156"/>
        <v>0</v>
      </c>
      <c r="CI12" s="68">
        <f>IF(CH12=0,MAX(CI$2:CI11)+1,0)</f>
        <v>10</v>
      </c>
      <c r="CJ12" s="5" t="str">
        <f t="shared" si="157"/>
        <v>Character (Magic-user)</v>
      </c>
      <c r="CK12" s="5" t="str">
        <f t="shared" si="33"/>
        <v>Character (Magic-user)</v>
      </c>
      <c r="CM12">
        <f t="shared" si="34"/>
        <v>10</v>
      </c>
      <c r="CN12" s="5" t="str">
        <f t="shared" si="35"/>
        <v>Character (Magic-user)</v>
      </c>
      <c r="CO12" s="68">
        <f>COUNTIF(Builder!$K$11:$N$11,CN12)</f>
        <v>0</v>
      </c>
      <c r="CP12" s="68" t="str">
        <f>IF(CO12=1,Stats!$N27,"")</f>
        <v/>
      </c>
      <c r="CQ12" s="68" t="str">
        <f>IF(CO12=1,Stats!$O27,"")</f>
        <v/>
      </c>
      <c r="CR12" s="68" t="str">
        <f>IF(CO12=1,Stats!$P27,"")</f>
        <v/>
      </c>
      <c r="CS12" s="68" t="str">
        <f>IF(CO12=1,Stats!$Q27,"")</f>
        <v/>
      </c>
      <c r="CT12" s="68" t="str">
        <f>IF(CO12=1,Stats!$R27,"")</f>
        <v/>
      </c>
      <c r="CU12" s="68" t="str">
        <f>IF(CO12=1,Stats!$S27,"")</f>
        <v/>
      </c>
      <c r="CV12" s="68">
        <f t="shared" si="36"/>
        <v>0</v>
      </c>
      <c r="CW12">
        <f t="shared" si="37"/>
        <v>0</v>
      </c>
      <c r="CX12" s="68">
        <f>IF(CW12=0,MAX(CX$2:CX11)+1,0)</f>
        <v>10</v>
      </c>
      <c r="CY12" s="5" t="str">
        <f t="shared" si="38"/>
        <v>Character (Magic-user)</v>
      </c>
      <c r="CZ12" s="5" t="str">
        <f t="shared" si="39"/>
        <v>Character (Magic-user)</v>
      </c>
      <c r="DB12">
        <f t="shared" si="158"/>
        <v>10</v>
      </c>
      <c r="DC12" s="5" t="str">
        <f t="shared" si="159"/>
        <v>Character (Magic-user)</v>
      </c>
      <c r="DD12" s="68">
        <f>COUNTIF(Builder!$K$12:$N$12,DC12)</f>
        <v>0</v>
      </c>
      <c r="DE12" s="68" t="str">
        <f>IF(DD12=1,Stats!$N27,"")</f>
        <v/>
      </c>
      <c r="DF12" s="68" t="str">
        <f>IF(DD12=1,Stats!$O27,"")</f>
        <v/>
      </c>
      <c r="DG12" s="68" t="str">
        <f>IF(DD12=1,Stats!$P27,"")</f>
        <v/>
      </c>
      <c r="DH12" s="68" t="str">
        <f>IF(DD12=1,Stats!$Q27,"")</f>
        <v/>
      </c>
      <c r="DI12" s="68" t="str">
        <f>IF(DD12=1,Stats!$R27,"")</f>
        <v/>
      </c>
      <c r="DJ12" s="68" t="str">
        <f>IF(DD12=1,Stats!$S27,"")</f>
        <v/>
      </c>
      <c r="DK12" s="68">
        <f t="shared" si="160"/>
        <v>0</v>
      </c>
      <c r="DL12">
        <f t="shared" si="161"/>
        <v>0</v>
      </c>
      <c r="DM12" s="68">
        <f>IF(DL12=0,MAX(DM$2:DM11)+1,0)</f>
        <v>10</v>
      </c>
      <c r="DN12" s="5" t="str">
        <f t="shared" si="162"/>
        <v>Character (Magic-user)</v>
      </c>
      <c r="DO12" s="5" t="str">
        <f t="shared" si="45"/>
        <v>Character (Magic-user)</v>
      </c>
      <c r="DQ12">
        <f t="shared" si="163"/>
        <v>10</v>
      </c>
      <c r="DR12" s="5" t="str">
        <f t="shared" si="164"/>
        <v>Character (Magic-user)</v>
      </c>
      <c r="DS12" s="68">
        <f>COUNTIF(Builder!$K$13:$N$13,DR12)</f>
        <v>0</v>
      </c>
      <c r="DT12" s="68" t="str">
        <f>IF(DS12=1,Stats!$N27,"")</f>
        <v/>
      </c>
      <c r="DU12" s="68" t="str">
        <f>IF(DS12=1,Stats!$O27,"")</f>
        <v/>
      </c>
      <c r="DV12" s="68" t="str">
        <f>IF(DS12=1,Stats!$P27,"")</f>
        <v/>
      </c>
      <c r="DW12" s="68" t="str">
        <f>IF(DS12=1,Stats!$Q27,"")</f>
        <v/>
      </c>
      <c r="DX12" s="68" t="str">
        <f>IF(DS12=1,Stats!$R27,"")</f>
        <v/>
      </c>
      <c r="DY12" s="68" t="str">
        <f>IF(DS12=1,Stats!$S27,"")</f>
        <v/>
      </c>
      <c r="DZ12" s="68">
        <f t="shared" si="165"/>
        <v>0</v>
      </c>
      <c r="EA12">
        <f t="shared" si="166"/>
        <v>0</v>
      </c>
      <c r="EB12" s="68">
        <f>IF(EA12=0,MAX(EB$2:EB11)+1,0)</f>
        <v>10</v>
      </c>
      <c r="EC12" s="5" t="str">
        <f t="shared" si="167"/>
        <v>Character (Magic-user)</v>
      </c>
      <c r="ED12" s="5" t="str">
        <f t="shared" si="51"/>
        <v>Character (Magic-user)</v>
      </c>
      <c r="EF12">
        <f t="shared" si="52"/>
        <v>10</v>
      </c>
      <c r="EG12" s="5" t="str">
        <f t="shared" si="53"/>
        <v>Character (Magic-user)</v>
      </c>
      <c r="EH12" s="68">
        <f>COUNTIF(Builder!$K$14:$N$14,EG12)</f>
        <v>0</v>
      </c>
      <c r="EI12" s="68" t="str">
        <f>IF(EH12=1,Stats!$N27,"")</f>
        <v/>
      </c>
      <c r="EJ12" s="68" t="str">
        <f>IF(EH12=1,Stats!$O27,"")</f>
        <v/>
      </c>
      <c r="EK12" s="68" t="str">
        <f>IF(EH12=1,Stats!$P27,"")</f>
        <v/>
      </c>
      <c r="EL12" s="68" t="str">
        <f>IF(EH12=1,Stats!$Q27,"")</f>
        <v/>
      </c>
      <c r="EM12" s="68" t="str">
        <f>IF(EH12=1,Stats!$R27,"")</f>
        <v/>
      </c>
      <c r="EN12" s="68" t="str">
        <f>IF(EH12=1,Stats!$S27,"")</f>
        <v/>
      </c>
      <c r="EO12" s="68">
        <f t="shared" si="54"/>
        <v>0</v>
      </c>
      <c r="EP12">
        <f t="shared" si="55"/>
        <v>0</v>
      </c>
      <c r="EQ12" s="68">
        <f>IF(EP12=0,MAX(EQ$2:EQ11)+1,0)</f>
        <v>10</v>
      </c>
      <c r="ER12" s="5" t="str">
        <f t="shared" si="56"/>
        <v>Character (Magic-user)</v>
      </c>
      <c r="ES12" s="5" t="str">
        <f t="shared" si="57"/>
        <v>Character (Magic-user)</v>
      </c>
      <c r="EU12">
        <f t="shared" si="58"/>
        <v>10</v>
      </c>
      <c r="EV12" s="5" t="str">
        <f t="shared" si="59"/>
        <v>Character (Magic-user)</v>
      </c>
      <c r="EW12" s="68">
        <f>COUNTIF(Builder!$K$15:$N$15,EV12)</f>
        <v>0</v>
      </c>
      <c r="EX12" s="68" t="str">
        <f>IF(EW12=1,Stats!$N27,"")</f>
        <v/>
      </c>
      <c r="EY12" s="68" t="str">
        <f>IF(EW12=1,Stats!$O27,"")</f>
        <v/>
      </c>
      <c r="EZ12" s="68" t="str">
        <f>IF(EW12=1,Stats!$P27,"")</f>
        <v/>
      </c>
      <c r="FA12" s="68" t="str">
        <f>IF(EW12=1,Stats!$Q27,"")</f>
        <v/>
      </c>
      <c r="FB12" s="68" t="str">
        <f>IF(EW12=1,Stats!$R27,"")</f>
        <v/>
      </c>
      <c r="FC12" s="68" t="str">
        <f>IF(EW12=1,Stats!$S27,"")</f>
        <v/>
      </c>
      <c r="FD12" s="68">
        <f t="shared" si="60"/>
        <v>0</v>
      </c>
      <c r="FE12">
        <f t="shared" si="61"/>
        <v>0</v>
      </c>
      <c r="FF12" s="68">
        <f>IF(FE12=0,MAX(FF$2:FF11)+1,0)</f>
        <v>10</v>
      </c>
      <c r="FG12" s="5" t="str">
        <f t="shared" si="62"/>
        <v>Character (Magic-user)</v>
      </c>
      <c r="FH12" s="5" t="str">
        <f t="shared" si="63"/>
        <v>Character (Magic-user)</v>
      </c>
      <c r="FJ12">
        <f t="shared" si="64"/>
        <v>10</v>
      </c>
      <c r="FK12" s="5" t="str">
        <f t="shared" si="65"/>
        <v>Character (Magic-user)</v>
      </c>
      <c r="FL12" s="68">
        <f>COUNTIF(Builder!$K$16:$N$16,FK12)</f>
        <v>0</v>
      </c>
      <c r="FM12" s="68" t="str">
        <f>IF(FL12=1,Stats!$N27,"")</f>
        <v/>
      </c>
      <c r="FN12" s="68" t="str">
        <f>IF(FL12=1,Stats!$O27,"")</f>
        <v/>
      </c>
      <c r="FO12" s="68" t="str">
        <f>IF(FL12=1,Stats!$P27,"")</f>
        <v/>
      </c>
      <c r="FP12" s="68" t="str">
        <f>IF(FL12=1,Stats!$Q27,"")</f>
        <v/>
      </c>
      <c r="FQ12" s="68" t="str">
        <f>IF(FL12=1,Stats!$R27,"")</f>
        <v/>
      </c>
      <c r="FR12" s="68" t="str">
        <f>IF(FL12=1,Stats!$S27,"")</f>
        <v/>
      </c>
      <c r="FS12" s="68">
        <f t="shared" si="66"/>
        <v>0</v>
      </c>
      <c r="FT12">
        <f t="shared" si="67"/>
        <v>0</v>
      </c>
      <c r="FU12" s="68">
        <f>IF(FT12=0,MAX(FU$2:FU11)+1,0)</f>
        <v>10</v>
      </c>
      <c r="FV12" s="5" t="str">
        <f t="shared" si="68"/>
        <v>Character (Magic-user)</v>
      </c>
      <c r="FW12" s="5" t="str">
        <f t="shared" si="69"/>
        <v>Character (Magic-user)</v>
      </c>
      <c r="FY12">
        <f t="shared" si="168"/>
        <v>10</v>
      </c>
      <c r="FZ12" s="5" t="str">
        <f t="shared" si="169"/>
        <v>Character (Magic-user)</v>
      </c>
      <c r="GA12" s="68">
        <f>COUNTIF(Builder!$K$17:$N$17,FZ12)</f>
        <v>0</v>
      </c>
      <c r="GB12" s="68" t="str">
        <f>IF(GA12=1,Stats!$N27,"")</f>
        <v/>
      </c>
      <c r="GC12" s="68" t="str">
        <f>IF(GA12=1,Stats!$O27,"")</f>
        <v/>
      </c>
      <c r="GD12" s="68" t="str">
        <f>IF(GA12=1,Stats!$P27,"")</f>
        <v/>
      </c>
      <c r="GE12" s="68" t="str">
        <f>IF(GA12=1,Stats!$Q27,"")</f>
        <v/>
      </c>
      <c r="GF12" s="68" t="str">
        <f>IF(GA12=1,Stats!$R27,"")</f>
        <v/>
      </c>
      <c r="GG12" s="68" t="str">
        <f>IF(GA12=1,Stats!$S27,"")</f>
        <v/>
      </c>
      <c r="GH12" s="68">
        <f t="shared" si="170"/>
        <v>0</v>
      </c>
      <c r="GI12">
        <f t="shared" si="171"/>
        <v>0</v>
      </c>
      <c r="GJ12" s="68">
        <f>IF(GI12=0,MAX(GJ$2:GJ11)+1,0)</f>
        <v>10</v>
      </c>
      <c r="GK12" s="5" t="str">
        <f t="shared" si="172"/>
        <v>Character (Magic-user)</v>
      </c>
      <c r="GL12" s="5" t="str">
        <f t="shared" si="75"/>
        <v>Character (Magic-user)</v>
      </c>
      <c r="GN12">
        <f t="shared" si="76"/>
        <v>10</v>
      </c>
      <c r="GO12" s="5" t="str">
        <f t="shared" si="77"/>
        <v>Character (Magic-user)</v>
      </c>
      <c r="GP12" s="68">
        <f>COUNTIF(Builder!$K$18:$N$18,GO12)</f>
        <v>0</v>
      </c>
      <c r="GQ12" s="68" t="str">
        <f>IF(GP12=1,Stats!$N27,"")</f>
        <v/>
      </c>
      <c r="GR12" s="68" t="str">
        <f>IF(GP12=1,Stats!$O27,"")</f>
        <v/>
      </c>
      <c r="GS12" s="68" t="str">
        <f>IF(GP12=1,Stats!$P27,"")</f>
        <v/>
      </c>
      <c r="GT12" s="68" t="str">
        <f>IF(GP12=1,Stats!$Q27,"")</f>
        <v/>
      </c>
      <c r="GU12" s="68" t="str">
        <f>IF(GP12=1,Stats!$R27,"")</f>
        <v/>
      </c>
      <c r="GV12" s="68" t="str">
        <f>IF(GP12=1,Stats!$S27,"")</f>
        <v/>
      </c>
      <c r="GW12" s="68">
        <f t="shared" si="78"/>
        <v>0</v>
      </c>
      <c r="GX12">
        <f t="shared" si="79"/>
        <v>0</v>
      </c>
      <c r="GY12" s="68">
        <f>IF(GX12=0,MAX(GY$2:GY11)+1,0)</f>
        <v>10</v>
      </c>
      <c r="GZ12" s="5" t="str">
        <f t="shared" si="80"/>
        <v>Character (Magic-user)</v>
      </c>
      <c r="HA12" s="5" t="str">
        <f t="shared" si="81"/>
        <v>Character (Magic-user)</v>
      </c>
      <c r="HC12">
        <f t="shared" si="82"/>
        <v>10</v>
      </c>
      <c r="HD12" s="5" t="str">
        <f t="shared" si="83"/>
        <v>Character (Magic-user)</v>
      </c>
      <c r="HE12" s="68">
        <f>COUNTIF(Builder!$K$19:$N$19,HD12)</f>
        <v>0</v>
      </c>
      <c r="HF12" s="68" t="str">
        <f>IF(HE12=1,Stats!$N27,"")</f>
        <v/>
      </c>
      <c r="HG12" s="68" t="str">
        <f>IF(HE12=1,Stats!$O27,"")</f>
        <v/>
      </c>
      <c r="HH12" s="68" t="str">
        <f>IF(HE12=1,Stats!$P27,"")</f>
        <v/>
      </c>
      <c r="HI12" s="68" t="str">
        <f>IF(HE12=1,Stats!$Q27,"")</f>
        <v/>
      </c>
      <c r="HJ12" s="68" t="str">
        <f>IF(HE12=1,Stats!$R27,"")</f>
        <v/>
      </c>
      <c r="HK12" s="68" t="str">
        <f>IF(HE12=1,Stats!$S27,"")</f>
        <v/>
      </c>
      <c r="HL12" s="68">
        <f t="shared" si="84"/>
        <v>0</v>
      </c>
      <c r="HM12">
        <f t="shared" si="85"/>
        <v>0</v>
      </c>
      <c r="HN12" s="68">
        <f>IF(HM12=0,MAX(HN$2:HN11)+1,0)</f>
        <v>10</v>
      </c>
      <c r="HO12" s="5" t="str">
        <f t="shared" si="86"/>
        <v>Character (Magic-user)</v>
      </c>
      <c r="HP12" s="5" t="str">
        <f t="shared" si="87"/>
        <v>Character (Magic-user)</v>
      </c>
      <c r="HR12">
        <f t="shared" si="88"/>
        <v>10</v>
      </c>
      <c r="HS12" s="5" t="str">
        <f t="shared" si="89"/>
        <v>Character (Magic-user)</v>
      </c>
      <c r="HT12" s="68">
        <f>COUNTIF(Builder!$K$20:$N$20,HS12)</f>
        <v>0</v>
      </c>
      <c r="HU12" s="68" t="str">
        <f>IF(HT12=1,Stats!$N27,"")</f>
        <v/>
      </c>
      <c r="HV12" s="68" t="str">
        <f>IF(HT12=1,Stats!$O27,"")</f>
        <v/>
      </c>
      <c r="HW12" s="68" t="str">
        <f>IF(HT12=1,Stats!$P27,"")</f>
        <v/>
      </c>
      <c r="HX12" s="68" t="str">
        <f>IF(HT12=1,Stats!$Q27,"")</f>
        <v/>
      </c>
      <c r="HY12" s="68" t="str">
        <f>IF(HT12=1,Stats!$R27,"")</f>
        <v/>
      </c>
      <c r="HZ12" s="68" t="str">
        <f>IF(HT12=1,Stats!$S27,"")</f>
        <v/>
      </c>
      <c r="IA12" s="68">
        <f t="shared" si="90"/>
        <v>0</v>
      </c>
      <c r="IB12">
        <f t="shared" si="91"/>
        <v>0</v>
      </c>
      <c r="IC12" s="68">
        <f>IF(IB12=0,MAX(IC$2:IC11)+1,0)</f>
        <v>10</v>
      </c>
      <c r="ID12" s="5" t="str">
        <f t="shared" si="92"/>
        <v>Character (Magic-user)</v>
      </c>
      <c r="IE12" s="5" t="str">
        <f t="shared" si="93"/>
        <v>Character (Magic-user)</v>
      </c>
      <c r="IG12">
        <f t="shared" si="94"/>
        <v>10</v>
      </c>
      <c r="IH12" s="5" t="str">
        <f t="shared" si="95"/>
        <v>Character (Magic-user)</v>
      </c>
      <c r="II12" s="68">
        <f>COUNTIF(Builder!$K$21:$N$21,IH12)</f>
        <v>0</v>
      </c>
      <c r="IJ12" s="68" t="str">
        <f>IF(II12=1,Stats!$N27,"")</f>
        <v/>
      </c>
      <c r="IK12" s="68" t="str">
        <f>IF(II12=1,Stats!$O27,"")</f>
        <v/>
      </c>
      <c r="IL12" s="68" t="str">
        <f>IF(II12=1,Stats!$P27,"")</f>
        <v/>
      </c>
      <c r="IM12" s="68" t="str">
        <f>IF(II12=1,Stats!$Q27,"")</f>
        <v/>
      </c>
      <c r="IN12" s="68" t="str">
        <f>IF(II12=1,Stats!$R27,"")</f>
        <v/>
      </c>
      <c r="IO12" s="68" t="str">
        <f>IF(II12=1,Stats!$S27,"")</f>
        <v/>
      </c>
      <c r="IP12" s="68">
        <f t="shared" si="96"/>
        <v>0</v>
      </c>
      <c r="IQ12">
        <f t="shared" si="97"/>
        <v>0</v>
      </c>
      <c r="IR12" s="68">
        <f>IF(IQ12=0,MAX(IR$2:IR11)+1,0)</f>
        <v>10</v>
      </c>
      <c r="IS12" s="5" t="str">
        <f t="shared" si="98"/>
        <v>Character (Magic-user)</v>
      </c>
      <c r="IT12" s="5" t="str">
        <f t="shared" si="99"/>
        <v>Character (Magic-user)</v>
      </c>
      <c r="IV12">
        <f t="shared" si="100"/>
        <v>10</v>
      </c>
      <c r="IW12" s="5" t="str">
        <f t="shared" si="101"/>
        <v>Character (Magic-user)</v>
      </c>
      <c r="IX12" s="68">
        <f>COUNTIF(Builder!$K$22:$N$22,IW12)</f>
        <v>0</v>
      </c>
      <c r="IY12" s="68" t="str">
        <f>IF(IX12=1,Stats!$N27,"")</f>
        <v/>
      </c>
      <c r="IZ12" s="68" t="str">
        <f>IF(IX12=1,Stats!$O27,"")</f>
        <v/>
      </c>
      <c r="JA12" s="68" t="str">
        <f>IF(IX12=1,Stats!$P27,"")</f>
        <v/>
      </c>
      <c r="JB12" s="68" t="str">
        <f>IF(IX12=1,Stats!$Q27,"")</f>
        <v/>
      </c>
      <c r="JC12" s="68" t="str">
        <f>IF(IX12=1,Stats!$R27,"")</f>
        <v/>
      </c>
      <c r="JD12" s="68" t="str">
        <f>IF(IX12=1,Stats!$S27,"")</f>
        <v/>
      </c>
      <c r="JE12" s="68">
        <f t="shared" si="102"/>
        <v>0</v>
      </c>
      <c r="JF12">
        <f t="shared" si="103"/>
        <v>0</v>
      </c>
      <c r="JG12" s="68">
        <f>IF(JF12=0,MAX(JG$2:JG11)+1,0)</f>
        <v>10</v>
      </c>
      <c r="JH12" s="5" t="str">
        <f t="shared" si="104"/>
        <v>Character (Magic-user)</v>
      </c>
      <c r="JI12" s="5" t="str">
        <f t="shared" si="105"/>
        <v>Character (Magic-user)</v>
      </c>
      <c r="JK12">
        <f t="shared" si="106"/>
        <v>10</v>
      </c>
      <c r="JL12" s="5" t="str">
        <f t="shared" si="107"/>
        <v>Character (Magic-user)</v>
      </c>
      <c r="JM12" s="68">
        <f>COUNTIF(Builder!$K$23:$N$23,JL12)</f>
        <v>0</v>
      </c>
      <c r="JN12" s="68" t="str">
        <f>IF(JM12=1,Stats!$N27,"")</f>
        <v/>
      </c>
      <c r="JO12" s="68" t="str">
        <f>IF(JM12=1,Stats!$O27,"")</f>
        <v/>
      </c>
      <c r="JP12" s="68" t="str">
        <f>IF(JM12=1,Stats!$P27,"")</f>
        <v/>
      </c>
      <c r="JQ12" s="68" t="str">
        <f>IF(JM12=1,Stats!$Q27,"")</f>
        <v/>
      </c>
      <c r="JR12" s="68" t="str">
        <f>IF(JM12=1,Stats!$R27,"")</f>
        <v/>
      </c>
      <c r="JS12" s="68" t="str">
        <f>IF(JM12=1,Stats!$S27,"")</f>
        <v/>
      </c>
      <c r="JT12" s="68">
        <f t="shared" si="108"/>
        <v>0</v>
      </c>
      <c r="JU12">
        <f t="shared" si="109"/>
        <v>0</v>
      </c>
      <c r="JV12" s="68">
        <f>IF(JU12=0,MAX(JV$2:JV11)+1,0)</f>
        <v>10</v>
      </c>
      <c r="JW12" s="5" t="str">
        <f t="shared" si="110"/>
        <v>Character (Magic-user)</v>
      </c>
      <c r="JX12" s="5" t="str">
        <f t="shared" si="111"/>
        <v>Character (Magic-user)</v>
      </c>
      <c r="JZ12">
        <f t="shared" si="112"/>
        <v>10</v>
      </c>
      <c r="KA12" s="5" t="str">
        <f t="shared" si="113"/>
        <v>Character (Magic-user)</v>
      </c>
      <c r="KB12" s="68">
        <f>COUNTIF(Builder!$K$24:$N$24,KA12)</f>
        <v>0</v>
      </c>
      <c r="KC12" s="68" t="str">
        <f>IF(KB12=1,Stats!$N27,"")</f>
        <v/>
      </c>
      <c r="KD12" s="68" t="str">
        <f>IF(KB12=1,Stats!$O27,"")</f>
        <v/>
      </c>
      <c r="KE12" s="68" t="str">
        <f>IF(KB12=1,Stats!$P27,"")</f>
        <v/>
      </c>
      <c r="KF12" s="68" t="str">
        <f>IF(KB12=1,Stats!$Q27,"")</f>
        <v/>
      </c>
      <c r="KG12" s="68" t="str">
        <f>IF(KB12=1,Stats!$R27,"")</f>
        <v/>
      </c>
      <c r="KH12" s="68" t="str">
        <f>IF(KB12=1,Stats!$S27,"")</f>
        <v/>
      </c>
      <c r="KI12" s="68">
        <f t="shared" si="114"/>
        <v>0</v>
      </c>
      <c r="KJ12">
        <f t="shared" si="115"/>
        <v>0</v>
      </c>
      <c r="KK12" s="68">
        <f>IF(KJ12=0,MAX(KK$2:KK11)+1,0)</f>
        <v>10</v>
      </c>
      <c r="KL12" s="5" t="str">
        <f t="shared" si="116"/>
        <v>Character (Magic-user)</v>
      </c>
      <c r="KM12" s="5" t="str">
        <f t="shared" si="117"/>
        <v>Character (Magic-user)</v>
      </c>
      <c r="KO12">
        <f t="shared" si="118"/>
        <v>10</v>
      </c>
      <c r="KP12" s="5" t="str">
        <f t="shared" si="119"/>
        <v>Character (Magic-user)</v>
      </c>
      <c r="KQ12" s="68">
        <f>COUNTIF(Builder!$K$25:$N$25,KP12)</f>
        <v>0</v>
      </c>
      <c r="KR12" s="68" t="str">
        <f>IF(KQ12=1,Stats!$N27,"")</f>
        <v/>
      </c>
      <c r="KS12" s="68" t="str">
        <f>IF(KQ12=1,Stats!$O27,"")</f>
        <v/>
      </c>
      <c r="KT12" s="68" t="str">
        <f>IF(KQ12=1,Stats!$P27,"")</f>
        <v/>
      </c>
      <c r="KU12" s="68" t="str">
        <f>IF(KQ12=1,Stats!$Q27,"")</f>
        <v/>
      </c>
      <c r="KV12" s="68" t="str">
        <f>IF(KQ12=1,Stats!$R27,"")</f>
        <v/>
      </c>
      <c r="KW12" s="68" t="str">
        <f>IF(KQ12=1,Stats!$S27,"")</f>
        <v/>
      </c>
      <c r="KX12" s="68">
        <f t="shared" si="120"/>
        <v>0</v>
      </c>
      <c r="KY12">
        <f t="shared" si="121"/>
        <v>0</v>
      </c>
      <c r="KZ12" s="68">
        <f>IF(KY12=0,MAX(KZ$2:KZ11)+1,0)</f>
        <v>10</v>
      </c>
      <c r="LA12" s="5" t="str">
        <f t="shared" si="122"/>
        <v>Character (Magic-user)</v>
      </c>
      <c r="LB12" s="5" t="str">
        <f t="shared" si="123"/>
        <v>Character (Magic-user)</v>
      </c>
      <c r="LD12">
        <f t="shared" si="124"/>
        <v>10</v>
      </c>
      <c r="LE12" s="5" t="str">
        <f t="shared" si="125"/>
        <v>Character (Magic-user)</v>
      </c>
      <c r="LF12" s="68">
        <f>COUNTIF(Builder!$K$26:$N$26,LE12)</f>
        <v>0</v>
      </c>
      <c r="LG12" s="68" t="str">
        <f>IF(LF12=1,Stats!$N27,"")</f>
        <v/>
      </c>
      <c r="LH12" s="68" t="str">
        <f>IF(LF12=1,Stats!$O27,"")</f>
        <v/>
      </c>
      <c r="LI12" s="68" t="str">
        <f>IF(LF12=1,Stats!$P27,"")</f>
        <v/>
      </c>
      <c r="LJ12" s="68" t="str">
        <f>IF(LF12=1,Stats!$Q27,"")</f>
        <v/>
      </c>
      <c r="LK12" s="68" t="str">
        <f>IF(LF12=1,Stats!$R27,"")</f>
        <v/>
      </c>
      <c r="LL12" s="68" t="str">
        <f>IF(LF12=1,Stats!$S27,"")</f>
        <v/>
      </c>
      <c r="LM12" s="68">
        <f t="shared" si="126"/>
        <v>0</v>
      </c>
      <c r="LN12">
        <f t="shared" si="127"/>
        <v>0</v>
      </c>
      <c r="LO12" s="68">
        <f>IF(LN12=0,MAX(LO$2:LO11)+1,0)</f>
        <v>10</v>
      </c>
      <c r="LP12" s="5" t="str">
        <f t="shared" si="128"/>
        <v>Character (Magic-user)</v>
      </c>
      <c r="LQ12" s="5" t="str">
        <f t="shared" si="129"/>
        <v>Character (Magic-user)</v>
      </c>
      <c r="LS12">
        <f t="shared" si="130"/>
        <v>10</v>
      </c>
      <c r="LT12" s="5" t="str">
        <f t="shared" si="131"/>
        <v>Character (Magic-user)</v>
      </c>
      <c r="LU12" s="68">
        <f>COUNTIF(Builder!$K$27:$N$27,LT12)</f>
        <v>0</v>
      </c>
      <c r="LV12" s="68" t="str">
        <f>IF(LU12=1,Stats!$N27,"")</f>
        <v/>
      </c>
      <c r="LW12" s="68" t="str">
        <f>IF(LU12=1,Stats!$O27,"")</f>
        <v/>
      </c>
      <c r="LX12" s="68" t="str">
        <f>IF(LU12=1,Stats!$P27,"")</f>
        <v/>
      </c>
      <c r="LY12" s="68" t="str">
        <f>IF(LU12=1,Stats!$Q27,"")</f>
        <v/>
      </c>
      <c r="LZ12" s="68" t="str">
        <f>IF(LU12=1,Stats!$R27,"")</f>
        <v/>
      </c>
      <c r="MA12" s="68" t="str">
        <f>IF(LU12=1,Stats!$S27,"")</f>
        <v/>
      </c>
      <c r="MB12" s="68">
        <f t="shared" si="132"/>
        <v>0</v>
      </c>
      <c r="MC12">
        <f t="shared" si="133"/>
        <v>0</v>
      </c>
      <c r="MD12" s="68">
        <f>IF(MC12=0,MAX(MD$2:MD11)+1,0)</f>
        <v>10</v>
      </c>
      <c r="ME12" s="5" t="str">
        <f t="shared" si="134"/>
        <v>Character (Magic-user)</v>
      </c>
      <c r="MF12" s="5" t="str">
        <f t="shared" si="135"/>
        <v>Character (Magic-user)</v>
      </c>
      <c r="MH12">
        <f t="shared" si="136"/>
        <v>10</v>
      </c>
      <c r="MI12" s="5" t="str">
        <f t="shared" si="137"/>
        <v>Character (Magic-user)</v>
      </c>
      <c r="MJ12" s="68">
        <f>COUNTIF(Builder!$K$28:$N$28,MI12)</f>
        <v>0</v>
      </c>
      <c r="MK12" s="68" t="str">
        <f>IF(MJ12=1,Stats!$N27,"")</f>
        <v/>
      </c>
      <c r="ML12" s="68" t="str">
        <f>IF(MJ12=1,Stats!$O27,"")</f>
        <v/>
      </c>
      <c r="MM12" s="68" t="str">
        <f>IF(MJ12=1,Stats!$P27,"")</f>
        <v/>
      </c>
      <c r="MN12" s="68" t="str">
        <f>IF(MJ12=1,Stats!$Q27,"")</f>
        <v/>
      </c>
      <c r="MO12" s="68" t="str">
        <f>IF(MJ12=1,Stats!$R27,"")</f>
        <v/>
      </c>
      <c r="MP12" s="68" t="str">
        <f>IF(MJ12=1,Stats!$S27,"")</f>
        <v/>
      </c>
      <c r="MQ12" s="68">
        <f t="shared" si="138"/>
        <v>0</v>
      </c>
      <c r="MR12">
        <f t="shared" si="139"/>
        <v>0</v>
      </c>
      <c r="MS12" s="68">
        <f>IF(MR12=0,MAX(MS$2:MS11)+1,0)</f>
        <v>10</v>
      </c>
      <c r="MT12" s="5" t="str">
        <f t="shared" si="140"/>
        <v>Character (Magic-user)</v>
      </c>
      <c r="MU12" s="5" t="str">
        <f t="shared" si="141"/>
        <v>Character (Magic-user)</v>
      </c>
      <c r="MW12">
        <f t="shared" si="142"/>
        <v>10</v>
      </c>
      <c r="MX12" s="5" t="str">
        <f t="shared" si="143"/>
        <v>Character (Magic-user)</v>
      </c>
      <c r="MY12" s="68">
        <f>COUNTIF(Builder!$K$29:$N$29,MX12)</f>
        <v>0</v>
      </c>
      <c r="MZ12" s="68" t="str">
        <f>IF(MY12=1,Stats!$N27,"")</f>
        <v/>
      </c>
      <c r="NA12" s="68" t="str">
        <f>IF(MY12=1,Stats!$O27,"")</f>
        <v/>
      </c>
      <c r="NB12" s="68" t="str">
        <f>IF(MY12=1,Stats!$P27,"")</f>
        <v/>
      </c>
      <c r="NC12" s="68" t="str">
        <f>IF(MY12=1,Stats!$Q27,"")</f>
        <v/>
      </c>
      <c r="ND12" s="68" t="str">
        <f>IF(MY12=1,Stats!$R27,"")</f>
        <v/>
      </c>
      <c r="NE12" s="68" t="str">
        <f>IF(MY12=1,Stats!$S27,"")</f>
        <v/>
      </c>
      <c r="NF12" s="68">
        <f t="shared" si="144"/>
        <v>0</v>
      </c>
      <c r="NG12">
        <f t="shared" si="145"/>
        <v>0</v>
      </c>
      <c r="NH12" s="68">
        <f>IF(NG12=0,MAX(NH$2:NH11)+1,0)</f>
        <v>10</v>
      </c>
      <c r="NI12" s="5" t="str">
        <f t="shared" si="146"/>
        <v>Character (Magic-user)</v>
      </c>
      <c r="NJ12" s="5" t="str">
        <f t="shared" si="147"/>
        <v>Character (Magic-user)</v>
      </c>
    </row>
    <row r="13" spans="1:374" ht="15" x14ac:dyDescent="0.3">
      <c r="A13">
        <v>11</v>
      </c>
      <c r="B13" s="5" t="s">
        <v>25</v>
      </c>
      <c r="C13" s="68">
        <f>COUNTIF(Builder!$K$5:$N$5,B13)</f>
        <v>0</v>
      </c>
      <c r="D13" s="68" t="str">
        <f>IF(C13=1,Stats!$N28,"")</f>
        <v/>
      </c>
      <c r="E13" s="68" t="str">
        <f>IF(C13=1,Stats!$O28,"")</f>
        <v/>
      </c>
      <c r="F13" s="68" t="str">
        <f>IF(C13=1,Stats!$P28,"")</f>
        <v/>
      </c>
      <c r="G13" s="68" t="str">
        <f>IF(C13=1,Stats!$Q28,"")</f>
        <v/>
      </c>
      <c r="H13" s="68" t="str">
        <f>IF(C13=1,Stats!$R28,"")</f>
        <v/>
      </c>
      <c r="I13" s="68" t="str">
        <f>IF(C13=1,Stats!$S28,"")</f>
        <v/>
      </c>
      <c r="J13" s="68">
        <f t="shared" si="0"/>
        <v>0</v>
      </c>
      <c r="K13">
        <f t="shared" si="1"/>
        <v>0</v>
      </c>
      <c r="L13" s="68">
        <f>IF(K13=0,MAX($L$2:L12)+1,0)</f>
        <v>11</v>
      </c>
      <c r="M13" s="5" t="str">
        <f t="shared" si="2"/>
        <v>Drilled</v>
      </c>
      <c r="N13" s="5" t="str">
        <f t="shared" si="3"/>
        <v>Drilled</v>
      </c>
      <c r="O13" s="5"/>
      <c r="P13">
        <f t="shared" si="4"/>
        <v>11</v>
      </c>
      <c r="Q13" s="5" t="str">
        <f t="shared" si="5"/>
        <v>Drilled</v>
      </c>
      <c r="R13" s="68">
        <f>COUNTIF(Builder!$K$6:$N$6,Q13)</f>
        <v>0</v>
      </c>
      <c r="S13" s="68" t="str">
        <f>IF(R13=1,Stats!$N28,"")</f>
        <v/>
      </c>
      <c r="T13" s="68" t="str">
        <f>IF(R13=1,Stats!$O28,"")</f>
        <v/>
      </c>
      <c r="U13" s="68" t="str">
        <f>IF(R13=1,Stats!$P28,"")</f>
        <v/>
      </c>
      <c r="V13" s="68" t="str">
        <f>IF(R13=1,Stats!$Q28,"")</f>
        <v/>
      </c>
      <c r="W13" s="68" t="str">
        <f>IF(R13=1,Stats!$R28,"")</f>
        <v/>
      </c>
      <c r="X13" s="68" t="str">
        <f>IF(R13=1,Stats!$S28,"")</f>
        <v/>
      </c>
      <c r="Y13" s="68">
        <f t="shared" si="6"/>
        <v>0</v>
      </c>
      <c r="Z13">
        <f t="shared" si="7"/>
        <v>0</v>
      </c>
      <c r="AA13" s="68">
        <f>IF(Z13=0,MAX($AA$2:AA12)+1,0)</f>
        <v>11</v>
      </c>
      <c r="AB13" s="5" t="str">
        <f t="shared" si="8"/>
        <v>Drilled</v>
      </c>
      <c r="AC13" s="5" t="str">
        <f t="shared" si="9"/>
        <v>Drilled</v>
      </c>
      <c r="AD13" s="5"/>
      <c r="AE13">
        <f t="shared" si="10"/>
        <v>11</v>
      </c>
      <c r="AF13" s="5" t="str">
        <f t="shared" si="11"/>
        <v>Drilled</v>
      </c>
      <c r="AG13" s="68">
        <f>COUNTIF(Builder!$K$7:$N$7,AF13)</f>
        <v>0</v>
      </c>
      <c r="AH13" s="68" t="str">
        <f>IF(AG13=1,Stats!$N28,"")</f>
        <v/>
      </c>
      <c r="AI13" s="68" t="str">
        <f>IF(AG13=1,Stats!$O28,"")</f>
        <v/>
      </c>
      <c r="AJ13" s="68" t="str">
        <f>IF(AG13=1,Stats!$P28,"")</f>
        <v/>
      </c>
      <c r="AK13" s="68" t="str">
        <f>IF(AG13=1,Stats!$Q28,"")</f>
        <v/>
      </c>
      <c r="AL13" s="68" t="str">
        <f>IF(AG13=1,Stats!$R28,"")</f>
        <v/>
      </c>
      <c r="AM13" s="68" t="str">
        <f>IF(AG13=1,Stats!$S28,"")</f>
        <v/>
      </c>
      <c r="AN13" s="68">
        <f t="shared" si="12"/>
        <v>0</v>
      </c>
      <c r="AO13">
        <f t="shared" si="13"/>
        <v>0</v>
      </c>
      <c r="AP13" s="68">
        <f>IF(AO13=0,MAX($AP$2:AP12)+1,0)</f>
        <v>11</v>
      </c>
      <c r="AQ13" s="5" t="str">
        <f t="shared" si="14"/>
        <v>Drilled</v>
      </c>
      <c r="AR13" s="5" t="str">
        <f t="shared" si="15"/>
        <v>Drilled</v>
      </c>
      <c r="AS13" s="5"/>
      <c r="AT13">
        <f t="shared" si="16"/>
        <v>11</v>
      </c>
      <c r="AU13" s="5" t="str">
        <f t="shared" si="17"/>
        <v>Drilled</v>
      </c>
      <c r="AV13" s="68">
        <f>COUNTIF(Builder!$K$8:$N$8,AU13)</f>
        <v>0</v>
      </c>
      <c r="AW13" s="68" t="str">
        <f>IF(AV13=1,Stats!$N28,"")</f>
        <v/>
      </c>
      <c r="AX13" s="68" t="str">
        <f>IF(AV13=1,Stats!$O28,"")</f>
        <v/>
      </c>
      <c r="AY13" s="68" t="str">
        <f>IF(AV13=1,Stats!$P28,"")</f>
        <v/>
      </c>
      <c r="AZ13" s="68" t="str">
        <f>IF(AV13=1,Stats!$Q28,"")</f>
        <v/>
      </c>
      <c r="BA13" s="68" t="str">
        <f>IF(AV13=1,Stats!$R28,"")</f>
        <v/>
      </c>
      <c r="BB13" s="68" t="str">
        <f>IF(AV13=1,Stats!$S28,"")</f>
        <v/>
      </c>
      <c r="BC13" s="68">
        <f t="shared" si="18"/>
        <v>0</v>
      </c>
      <c r="BD13">
        <f t="shared" si="19"/>
        <v>0</v>
      </c>
      <c r="BE13" s="68">
        <f>IF(BD13=0,MAX($BE$2:BE12)+1,0)</f>
        <v>11</v>
      </c>
      <c r="BF13" s="5" t="str">
        <f t="shared" si="20"/>
        <v>Drilled</v>
      </c>
      <c r="BG13" s="5" t="str">
        <f t="shared" si="21"/>
        <v>Drilled</v>
      </c>
      <c r="BH13" s="5"/>
      <c r="BI13">
        <f t="shared" si="148"/>
        <v>11</v>
      </c>
      <c r="BJ13" s="5" t="str">
        <f t="shared" si="149"/>
        <v>Drilled</v>
      </c>
      <c r="BK13" s="68">
        <f>COUNTIF(Builder!$K$9:$N$9,BJ13)</f>
        <v>0</v>
      </c>
      <c r="BL13" s="68" t="str">
        <f>IF(BK13=1,Stats!$N28,"")</f>
        <v/>
      </c>
      <c r="BM13" s="68" t="str">
        <f>IF(BK13=1,Stats!$O28,"")</f>
        <v/>
      </c>
      <c r="BN13" s="68" t="str">
        <f>IF(BK13=1,Stats!$P28,"")</f>
        <v/>
      </c>
      <c r="BO13" s="68" t="str">
        <f>IF(BK13=1,Stats!$Q28,"")</f>
        <v/>
      </c>
      <c r="BP13" s="68" t="str">
        <f>IF(BK13=1,Stats!$R28,"")</f>
        <v/>
      </c>
      <c r="BQ13" s="68" t="str">
        <f>IF(BK13=1,Stats!$S28,"")</f>
        <v/>
      </c>
      <c r="BR13" s="68">
        <f t="shared" si="150"/>
        <v>0</v>
      </c>
      <c r="BS13">
        <f t="shared" si="151"/>
        <v>0</v>
      </c>
      <c r="BT13" s="68">
        <f>IF(BS13=0,MAX(BT$2:BT12)+1,0)</f>
        <v>11</v>
      </c>
      <c r="BU13" s="5" t="str">
        <f t="shared" si="152"/>
        <v>Drilled</v>
      </c>
      <c r="BV13" s="5" t="str">
        <f t="shared" si="27"/>
        <v>Drilled</v>
      </c>
      <c r="BX13">
        <f t="shared" si="153"/>
        <v>11</v>
      </c>
      <c r="BY13" s="5" t="str">
        <f t="shared" si="154"/>
        <v>Drilled</v>
      </c>
      <c r="BZ13" s="68">
        <f>COUNTIF(Builder!$K$10:$N$10,BY13)</f>
        <v>0</v>
      </c>
      <c r="CA13" s="68" t="str">
        <f>IF(BZ13=1,Stats!$N28,"")</f>
        <v/>
      </c>
      <c r="CB13" s="68" t="str">
        <f>IF(BZ13=1,Stats!$O28,"")</f>
        <v/>
      </c>
      <c r="CC13" s="68" t="str">
        <f>IF(BZ13=1,Stats!$P28,"")</f>
        <v/>
      </c>
      <c r="CD13" s="68" t="str">
        <f>IF(BZ13=1,Stats!$Q28,"")</f>
        <v/>
      </c>
      <c r="CE13" s="68" t="str">
        <f>IF(BZ13=1,Stats!$R28,"")</f>
        <v/>
      </c>
      <c r="CF13" s="68" t="str">
        <f>IF(BZ13=1,Stats!$S28,"")</f>
        <v/>
      </c>
      <c r="CG13" s="68">
        <f t="shared" si="155"/>
        <v>0</v>
      </c>
      <c r="CH13">
        <f t="shared" si="156"/>
        <v>0</v>
      </c>
      <c r="CI13" s="68">
        <f>IF(CH13=0,MAX(CI$2:CI12)+1,0)</f>
        <v>11</v>
      </c>
      <c r="CJ13" s="5" t="str">
        <f t="shared" si="157"/>
        <v>Drilled</v>
      </c>
      <c r="CK13" s="5" t="str">
        <f t="shared" si="33"/>
        <v>Drilled</v>
      </c>
      <c r="CM13">
        <f t="shared" si="34"/>
        <v>11</v>
      </c>
      <c r="CN13" s="5" t="str">
        <f t="shared" si="35"/>
        <v>Drilled</v>
      </c>
      <c r="CO13" s="68">
        <f>COUNTIF(Builder!$K$11:$N$11,CN13)</f>
        <v>0</v>
      </c>
      <c r="CP13" s="68" t="str">
        <f>IF(CO13=1,Stats!$N28,"")</f>
        <v/>
      </c>
      <c r="CQ13" s="68" t="str">
        <f>IF(CO13=1,Stats!$O28,"")</f>
        <v/>
      </c>
      <c r="CR13" s="68" t="str">
        <f>IF(CO13=1,Stats!$P28,"")</f>
        <v/>
      </c>
      <c r="CS13" s="68" t="str">
        <f>IF(CO13=1,Stats!$Q28,"")</f>
        <v/>
      </c>
      <c r="CT13" s="68" t="str">
        <f>IF(CO13=1,Stats!$R28,"")</f>
        <v/>
      </c>
      <c r="CU13" s="68" t="str">
        <f>IF(CO13=1,Stats!$S28,"")</f>
        <v/>
      </c>
      <c r="CV13" s="68">
        <f t="shared" si="36"/>
        <v>0</v>
      </c>
      <c r="CW13">
        <f t="shared" si="37"/>
        <v>0</v>
      </c>
      <c r="CX13" s="68">
        <f>IF(CW13=0,MAX(CX$2:CX12)+1,0)</f>
        <v>11</v>
      </c>
      <c r="CY13" s="5" t="str">
        <f t="shared" si="38"/>
        <v>Drilled</v>
      </c>
      <c r="CZ13" s="5" t="str">
        <f t="shared" si="39"/>
        <v>Drilled</v>
      </c>
      <c r="DB13">
        <f t="shared" si="158"/>
        <v>11</v>
      </c>
      <c r="DC13" s="5" t="str">
        <f t="shared" si="159"/>
        <v>Drilled</v>
      </c>
      <c r="DD13" s="68">
        <f>COUNTIF(Builder!$K$12:$N$12,DC13)</f>
        <v>0</v>
      </c>
      <c r="DE13" s="68" t="str">
        <f>IF(DD13=1,Stats!$N28,"")</f>
        <v/>
      </c>
      <c r="DF13" s="68" t="str">
        <f>IF(DD13=1,Stats!$O28,"")</f>
        <v/>
      </c>
      <c r="DG13" s="68" t="str">
        <f>IF(DD13=1,Stats!$P28,"")</f>
        <v/>
      </c>
      <c r="DH13" s="68" t="str">
        <f>IF(DD13=1,Stats!$Q28,"")</f>
        <v/>
      </c>
      <c r="DI13" s="68" t="str">
        <f>IF(DD13=1,Stats!$R28,"")</f>
        <v/>
      </c>
      <c r="DJ13" s="68" t="str">
        <f>IF(DD13=1,Stats!$S28,"")</f>
        <v/>
      </c>
      <c r="DK13" s="68">
        <f t="shared" si="160"/>
        <v>0</v>
      </c>
      <c r="DL13">
        <f t="shared" si="161"/>
        <v>0</v>
      </c>
      <c r="DM13" s="68">
        <f>IF(DL13=0,MAX(DM$2:DM12)+1,0)</f>
        <v>11</v>
      </c>
      <c r="DN13" s="5" t="str">
        <f t="shared" si="162"/>
        <v>Drilled</v>
      </c>
      <c r="DO13" s="5" t="str">
        <f t="shared" si="45"/>
        <v>Drilled</v>
      </c>
      <c r="DQ13">
        <f t="shared" si="163"/>
        <v>11</v>
      </c>
      <c r="DR13" s="5" t="str">
        <f t="shared" si="164"/>
        <v>Drilled</v>
      </c>
      <c r="DS13" s="68">
        <f>COUNTIF(Builder!$K$13:$N$13,DR13)</f>
        <v>0</v>
      </c>
      <c r="DT13" s="68" t="str">
        <f>IF(DS13=1,Stats!$N28,"")</f>
        <v/>
      </c>
      <c r="DU13" s="68" t="str">
        <f>IF(DS13=1,Stats!$O28,"")</f>
        <v/>
      </c>
      <c r="DV13" s="68" t="str">
        <f>IF(DS13=1,Stats!$P28,"")</f>
        <v/>
      </c>
      <c r="DW13" s="68" t="str">
        <f>IF(DS13=1,Stats!$Q28,"")</f>
        <v/>
      </c>
      <c r="DX13" s="68" t="str">
        <f>IF(DS13=1,Stats!$R28,"")</f>
        <v/>
      </c>
      <c r="DY13" s="68" t="str">
        <f>IF(DS13=1,Stats!$S28,"")</f>
        <v/>
      </c>
      <c r="DZ13" s="68">
        <f t="shared" si="165"/>
        <v>0</v>
      </c>
      <c r="EA13">
        <f t="shared" si="166"/>
        <v>0</v>
      </c>
      <c r="EB13" s="68">
        <f>IF(EA13=0,MAX(EB$2:EB12)+1,0)</f>
        <v>11</v>
      </c>
      <c r="EC13" s="5" t="str">
        <f t="shared" si="167"/>
        <v>Drilled</v>
      </c>
      <c r="ED13" s="5" t="str">
        <f t="shared" si="51"/>
        <v>Drilled</v>
      </c>
      <c r="EF13">
        <f t="shared" si="52"/>
        <v>11</v>
      </c>
      <c r="EG13" s="5" t="str">
        <f t="shared" si="53"/>
        <v>Drilled</v>
      </c>
      <c r="EH13" s="68">
        <f>COUNTIF(Builder!$K$14:$N$14,EG13)</f>
        <v>0</v>
      </c>
      <c r="EI13" s="68" t="str">
        <f>IF(EH13=1,Stats!$N28,"")</f>
        <v/>
      </c>
      <c r="EJ13" s="68" t="str">
        <f>IF(EH13=1,Stats!$O28,"")</f>
        <v/>
      </c>
      <c r="EK13" s="68" t="str">
        <f>IF(EH13=1,Stats!$P28,"")</f>
        <v/>
      </c>
      <c r="EL13" s="68" t="str">
        <f>IF(EH13=1,Stats!$Q28,"")</f>
        <v/>
      </c>
      <c r="EM13" s="68" t="str">
        <f>IF(EH13=1,Stats!$R28,"")</f>
        <v/>
      </c>
      <c r="EN13" s="68" t="str">
        <f>IF(EH13=1,Stats!$S28,"")</f>
        <v/>
      </c>
      <c r="EO13" s="68">
        <f t="shared" si="54"/>
        <v>0</v>
      </c>
      <c r="EP13">
        <f t="shared" si="55"/>
        <v>0</v>
      </c>
      <c r="EQ13" s="68">
        <f>IF(EP13=0,MAX(EQ$2:EQ12)+1,0)</f>
        <v>11</v>
      </c>
      <c r="ER13" s="5" t="str">
        <f t="shared" si="56"/>
        <v>Drilled</v>
      </c>
      <c r="ES13" s="5" t="str">
        <f t="shared" si="57"/>
        <v>Drilled</v>
      </c>
      <c r="EU13">
        <f t="shared" si="58"/>
        <v>11</v>
      </c>
      <c r="EV13" s="5" t="str">
        <f t="shared" si="59"/>
        <v>Drilled</v>
      </c>
      <c r="EW13" s="68">
        <f>COUNTIF(Builder!$K$15:$N$15,EV13)</f>
        <v>0</v>
      </c>
      <c r="EX13" s="68" t="str">
        <f>IF(EW13=1,Stats!$N28,"")</f>
        <v/>
      </c>
      <c r="EY13" s="68" t="str">
        <f>IF(EW13=1,Stats!$O28,"")</f>
        <v/>
      </c>
      <c r="EZ13" s="68" t="str">
        <f>IF(EW13=1,Stats!$P28,"")</f>
        <v/>
      </c>
      <c r="FA13" s="68" t="str">
        <f>IF(EW13=1,Stats!$Q28,"")</f>
        <v/>
      </c>
      <c r="FB13" s="68" t="str">
        <f>IF(EW13=1,Stats!$R28,"")</f>
        <v/>
      </c>
      <c r="FC13" s="68" t="str">
        <f>IF(EW13=1,Stats!$S28,"")</f>
        <v/>
      </c>
      <c r="FD13" s="68">
        <f t="shared" si="60"/>
        <v>0</v>
      </c>
      <c r="FE13">
        <f t="shared" si="61"/>
        <v>0</v>
      </c>
      <c r="FF13" s="68">
        <f>IF(FE13=0,MAX(FF$2:FF12)+1,0)</f>
        <v>11</v>
      </c>
      <c r="FG13" s="5" t="str">
        <f t="shared" si="62"/>
        <v>Drilled</v>
      </c>
      <c r="FH13" s="5" t="str">
        <f t="shared" si="63"/>
        <v>Drilled</v>
      </c>
      <c r="FJ13">
        <f t="shared" si="64"/>
        <v>11</v>
      </c>
      <c r="FK13" s="5" t="str">
        <f t="shared" si="65"/>
        <v>Drilled</v>
      </c>
      <c r="FL13" s="68">
        <f>COUNTIF(Builder!$K$16:$N$16,FK13)</f>
        <v>0</v>
      </c>
      <c r="FM13" s="68" t="str">
        <f>IF(FL13=1,Stats!$N28,"")</f>
        <v/>
      </c>
      <c r="FN13" s="68" t="str">
        <f>IF(FL13=1,Stats!$O28,"")</f>
        <v/>
      </c>
      <c r="FO13" s="68" t="str">
        <f>IF(FL13=1,Stats!$P28,"")</f>
        <v/>
      </c>
      <c r="FP13" s="68" t="str">
        <f>IF(FL13=1,Stats!$Q28,"")</f>
        <v/>
      </c>
      <c r="FQ13" s="68" t="str">
        <f>IF(FL13=1,Stats!$R28,"")</f>
        <v/>
      </c>
      <c r="FR13" s="68" t="str">
        <f>IF(FL13=1,Stats!$S28,"")</f>
        <v/>
      </c>
      <c r="FS13" s="68">
        <f t="shared" si="66"/>
        <v>0</v>
      </c>
      <c r="FT13">
        <f t="shared" si="67"/>
        <v>0</v>
      </c>
      <c r="FU13" s="68">
        <f>IF(FT13=0,MAX(FU$2:FU12)+1,0)</f>
        <v>11</v>
      </c>
      <c r="FV13" s="5" t="str">
        <f t="shared" si="68"/>
        <v>Drilled</v>
      </c>
      <c r="FW13" s="5" t="str">
        <f t="shared" si="69"/>
        <v>Drilled</v>
      </c>
      <c r="FY13">
        <f t="shared" si="168"/>
        <v>11</v>
      </c>
      <c r="FZ13" s="5" t="str">
        <f t="shared" si="169"/>
        <v>Drilled</v>
      </c>
      <c r="GA13" s="68">
        <f>COUNTIF(Builder!$K$17:$N$17,FZ13)</f>
        <v>0</v>
      </c>
      <c r="GB13" s="68" t="str">
        <f>IF(GA13=1,Stats!$N28,"")</f>
        <v/>
      </c>
      <c r="GC13" s="68" t="str">
        <f>IF(GA13=1,Stats!$O28,"")</f>
        <v/>
      </c>
      <c r="GD13" s="68" t="str">
        <f>IF(GA13=1,Stats!$P28,"")</f>
        <v/>
      </c>
      <c r="GE13" s="68" t="str">
        <f>IF(GA13=1,Stats!$Q28,"")</f>
        <v/>
      </c>
      <c r="GF13" s="68" t="str">
        <f>IF(GA13=1,Stats!$R28,"")</f>
        <v/>
      </c>
      <c r="GG13" s="68" t="str">
        <f>IF(GA13=1,Stats!$S28,"")</f>
        <v/>
      </c>
      <c r="GH13" s="68">
        <f t="shared" si="170"/>
        <v>0</v>
      </c>
      <c r="GI13">
        <f t="shared" si="171"/>
        <v>0</v>
      </c>
      <c r="GJ13" s="68">
        <f>IF(GI13=0,MAX(GJ$2:GJ12)+1,0)</f>
        <v>11</v>
      </c>
      <c r="GK13" s="5" t="str">
        <f t="shared" si="172"/>
        <v>Drilled</v>
      </c>
      <c r="GL13" s="5" t="str">
        <f t="shared" si="75"/>
        <v>Drilled</v>
      </c>
      <c r="GN13">
        <f t="shared" si="76"/>
        <v>11</v>
      </c>
      <c r="GO13" s="5" t="str">
        <f t="shared" si="77"/>
        <v>Drilled</v>
      </c>
      <c r="GP13" s="68">
        <f>COUNTIF(Builder!$K$18:$N$18,GO13)</f>
        <v>0</v>
      </c>
      <c r="GQ13" s="68" t="str">
        <f>IF(GP13=1,Stats!$N28,"")</f>
        <v/>
      </c>
      <c r="GR13" s="68" t="str">
        <f>IF(GP13=1,Stats!$O28,"")</f>
        <v/>
      </c>
      <c r="GS13" s="68" t="str">
        <f>IF(GP13=1,Stats!$P28,"")</f>
        <v/>
      </c>
      <c r="GT13" s="68" t="str">
        <f>IF(GP13=1,Stats!$Q28,"")</f>
        <v/>
      </c>
      <c r="GU13" s="68" t="str">
        <f>IF(GP13=1,Stats!$R28,"")</f>
        <v/>
      </c>
      <c r="GV13" s="68" t="str">
        <f>IF(GP13=1,Stats!$S28,"")</f>
        <v/>
      </c>
      <c r="GW13" s="68">
        <f t="shared" si="78"/>
        <v>0</v>
      </c>
      <c r="GX13">
        <f t="shared" si="79"/>
        <v>0</v>
      </c>
      <c r="GY13" s="68">
        <f>IF(GX13=0,MAX(GY$2:GY12)+1,0)</f>
        <v>11</v>
      </c>
      <c r="GZ13" s="5" t="str">
        <f t="shared" si="80"/>
        <v>Drilled</v>
      </c>
      <c r="HA13" s="5" t="str">
        <f t="shared" si="81"/>
        <v>Drilled</v>
      </c>
      <c r="HC13">
        <f t="shared" si="82"/>
        <v>11</v>
      </c>
      <c r="HD13" s="5" t="str">
        <f t="shared" si="83"/>
        <v>Drilled</v>
      </c>
      <c r="HE13" s="68">
        <f>COUNTIF(Builder!$K$19:$N$19,HD13)</f>
        <v>0</v>
      </c>
      <c r="HF13" s="68" t="str">
        <f>IF(HE13=1,Stats!$N28,"")</f>
        <v/>
      </c>
      <c r="HG13" s="68" t="str">
        <f>IF(HE13=1,Stats!$O28,"")</f>
        <v/>
      </c>
      <c r="HH13" s="68" t="str">
        <f>IF(HE13=1,Stats!$P28,"")</f>
        <v/>
      </c>
      <c r="HI13" s="68" t="str">
        <f>IF(HE13=1,Stats!$Q28,"")</f>
        <v/>
      </c>
      <c r="HJ13" s="68" t="str">
        <f>IF(HE13=1,Stats!$R28,"")</f>
        <v/>
      </c>
      <c r="HK13" s="68" t="str">
        <f>IF(HE13=1,Stats!$S28,"")</f>
        <v/>
      </c>
      <c r="HL13" s="68">
        <f t="shared" si="84"/>
        <v>0</v>
      </c>
      <c r="HM13">
        <f t="shared" si="85"/>
        <v>0</v>
      </c>
      <c r="HN13" s="68">
        <f>IF(HM13=0,MAX(HN$2:HN12)+1,0)</f>
        <v>11</v>
      </c>
      <c r="HO13" s="5" t="str">
        <f t="shared" si="86"/>
        <v>Drilled</v>
      </c>
      <c r="HP13" s="5" t="str">
        <f t="shared" si="87"/>
        <v>Drilled</v>
      </c>
      <c r="HR13">
        <f t="shared" si="88"/>
        <v>11</v>
      </c>
      <c r="HS13" s="5" t="str">
        <f t="shared" si="89"/>
        <v>Drilled</v>
      </c>
      <c r="HT13" s="68">
        <f>COUNTIF(Builder!$K$20:$N$20,HS13)</f>
        <v>0</v>
      </c>
      <c r="HU13" s="68" t="str">
        <f>IF(HT13=1,Stats!$N28,"")</f>
        <v/>
      </c>
      <c r="HV13" s="68" t="str">
        <f>IF(HT13=1,Stats!$O28,"")</f>
        <v/>
      </c>
      <c r="HW13" s="68" t="str">
        <f>IF(HT13=1,Stats!$P28,"")</f>
        <v/>
      </c>
      <c r="HX13" s="68" t="str">
        <f>IF(HT13=1,Stats!$Q28,"")</f>
        <v/>
      </c>
      <c r="HY13" s="68" t="str">
        <f>IF(HT13=1,Stats!$R28,"")</f>
        <v/>
      </c>
      <c r="HZ13" s="68" t="str">
        <f>IF(HT13=1,Stats!$S28,"")</f>
        <v/>
      </c>
      <c r="IA13" s="68">
        <f t="shared" si="90"/>
        <v>0</v>
      </c>
      <c r="IB13">
        <f t="shared" si="91"/>
        <v>0</v>
      </c>
      <c r="IC13" s="68">
        <f>IF(IB13=0,MAX(IC$2:IC12)+1,0)</f>
        <v>11</v>
      </c>
      <c r="ID13" s="5" t="str">
        <f t="shared" si="92"/>
        <v>Drilled</v>
      </c>
      <c r="IE13" s="5" t="str">
        <f t="shared" si="93"/>
        <v>Drilled</v>
      </c>
      <c r="IG13">
        <f t="shared" si="94"/>
        <v>11</v>
      </c>
      <c r="IH13" s="5" t="str">
        <f t="shared" si="95"/>
        <v>Drilled</v>
      </c>
      <c r="II13" s="68">
        <f>COUNTIF(Builder!$K$21:$N$21,IH13)</f>
        <v>0</v>
      </c>
      <c r="IJ13" s="68" t="str">
        <f>IF(II13=1,Stats!$N28,"")</f>
        <v/>
      </c>
      <c r="IK13" s="68" t="str">
        <f>IF(II13=1,Stats!$O28,"")</f>
        <v/>
      </c>
      <c r="IL13" s="68" t="str">
        <f>IF(II13=1,Stats!$P28,"")</f>
        <v/>
      </c>
      <c r="IM13" s="68" t="str">
        <f>IF(II13=1,Stats!$Q28,"")</f>
        <v/>
      </c>
      <c r="IN13" s="68" t="str">
        <f>IF(II13=1,Stats!$R28,"")</f>
        <v/>
      </c>
      <c r="IO13" s="68" t="str">
        <f>IF(II13=1,Stats!$S28,"")</f>
        <v/>
      </c>
      <c r="IP13" s="68">
        <f t="shared" si="96"/>
        <v>0</v>
      </c>
      <c r="IQ13">
        <f t="shared" si="97"/>
        <v>0</v>
      </c>
      <c r="IR13" s="68">
        <f>IF(IQ13=0,MAX(IR$2:IR12)+1,0)</f>
        <v>11</v>
      </c>
      <c r="IS13" s="5" t="str">
        <f t="shared" si="98"/>
        <v>Drilled</v>
      </c>
      <c r="IT13" s="5" t="str">
        <f t="shared" si="99"/>
        <v>Drilled</v>
      </c>
      <c r="IV13">
        <f t="shared" si="100"/>
        <v>11</v>
      </c>
      <c r="IW13" s="5" t="str">
        <f t="shared" si="101"/>
        <v>Drilled</v>
      </c>
      <c r="IX13" s="68">
        <f>COUNTIF(Builder!$K$22:$N$22,IW13)</f>
        <v>0</v>
      </c>
      <c r="IY13" s="68" t="str">
        <f>IF(IX13=1,Stats!$N28,"")</f>
        <v/>
      </c>
      <c r="IZ13" s="68" t="str">
        <f>IF(IX13=1,Stats!$O28,"")</f>
        <v/>
      </c>
      <c r="JA13" s="68" t="str">
        <f>IF(IX13=1,Stats!$P28,"")</f>
        <v/>
      </c>
      <c r="JB13" s="68" t="str">
        <f>IF(IX13=1,Stats!$Q28,"")</f>
        <v/>
      </c>
      <c r="JC13" s="68" t="str">
        <f>IF(IX13=1,Stats!$R28,"")</f>
        <v/>
      </c>
      <c r="JD13" s="68" t="str">
        <f>IF(IX13=1,Stats!$S28,"")</f>
        <v/>
      </c>
      <c r="JE13" s="68">
        <f t="shared" si="102"/>
        <v>0</v>
      </c>
      <c r="JF13">
        <f t="shared" si="103"/>
        <v>0</v>
      </c>
      <c r="JG13" s="68">
        <f>IF(JF13=0,MAX(JG$2:JG12)+1,0)</f>
        <v>11</v>
      </c>
      <c r="JH13" s="5" t="str">
        <f t="shared" si="104"/>
        <v>Drilled</v>
      </c>
      <c r="JI13" s="5" t="str">
        <f t="shared" si="105"/>
        <v>Drilled</v>
      </c>
      <c r="JK13">
        <f t="shared" si="106"/>
        <v>11</v>
      </c>
      <c r="JL13" s="5" t="str">
        <f t="shared" si="107"/>
        <v>Drilled</v>
      </c>
      <c r="JM13" s="68">
        <f>COUNTIF(Builder!$K$23:$N$23,JL13)</f>
        <v>0</v>
      </c>
      <c r="JN13" s="68" t="str">
        <f>IF(JM13=1,Stats!$N28,"")</f>
        <v/>
      </c>
      <c r="JO13" s="68" t="str">
        <f>IF(JM13=1,Stats!$O28,"")</f>
        <v/>
      </c>
      <c r="JP13" s="68" t="str">
        <f>IF(JM13=1,Stats!$P28,"")</f>
        <v/>
      </c>
      <c r="JQ13" s="68" t="str">
        <f>IF(JM13=1,Stats!$Q28,"")</f>
        <v/>
      </c>
      <c r="JR13" s="68" t="str">
        <f>IF(JM13=1,Stats!$R28,"")</f>
        <v/>
      </c>
      <c r="JS13" s="68" t="str">
        <f>IF(JM13=1,Stats!$S28,"")</f>
        <v/>
      </c>
      <c r="JT13" s="68">
        <f t="shared" si="108"/>
        <v>0</v>
      </c>
      <c r="JU13">
        <f t="shared" si="109"/>
        <v>0</v>
      </c>
      <c r="JV13" s="68">
        <f>IF(JU13=0,MAX(JV$2:JV12)+1,0)</f>
        <v>11</v>
      </c>
      <c r="JW13" s="5" t="str">
        <f t="shared" si="110"/>
        <v>Drilled</v>
      </c>
      <c r="JX13" s="5" t="str">
        <f t="shared" si="111"/>
        <v>Drilled</v>
      </c>
      <c r="JZ13">
        <f t="shared" si="112"/>
        <v>11</v>
      </c>
      <c r="KA13" s="5" t="str">
        <f t="shared" si="113"/>
        <v>Drilled</v>
      </c>
      <c r="KB13" s="68">
        <f>COUNTIF(Builder!$K$24:$N$24,KA13)</f>
        <v>0</v>
      </c>
      <c r="KC13" s="68" t="str">
        <f>IF(KB13=1,Stats!$N28,"")</f>
        <v/>
      </c>
      <c r="KD13" s="68" t="str">
        <f>IF(KB13=1,Stats!$O28,"")</f>
        <v/>
      </c>
      <c r="KE13" s="68" t="str">
        <f>IF(KB13=1,Stats!$P28,"")</f>
        <v/>
      </c>
      <c r="KF13" s="68" t="str">
        <f>IF(KB13=1,Stats!$Q28,"")</f>
        <v/>
      </c>
      <c r="KG13" s="68" t="str">
        <f>IF(KB13=1,Stats!$R28,"")</f>
        <v/>
      </c>
      <c r="KH13" s="68" t="str">
        <f>IF(KB13=1,Stats!$S28,"")</f>
        <v/>
      </c>
      <c r="KI13" s="68">
        <f t="shared" si="114"/>
        <v>0</v>
      </c>
      <c r="KJ13">
        <f t="shared" si="115"/>
        <v>0</v>
      </c>
      <c r="KK13" s="68">
        <f>IF(KJ13=0,MAX(KK$2:KK12)+1,0)</f>
        <v>11</v>
      </c>
      <c r="KL13" s="5" t="str">
        <f t="shared" si="116"/>
        <v>Drilled</v>
      </c>
      <c r="KM13" s="5" t="str">
        <f t="shared" si="117"/>
        <v>Drilled</v>
      </c>
      <c r="KO13">
        <f t="shared" si="118"/>
        <v>11</v>
      </c>
      <c r="KP13" s="5" t="str">
        <f t="shared" si="119"/>
        <v>Drilled</v>
      </c>
      <c r="KQ13" s="68">
        <f>COUNTIF(Builder!$K$25:$N$25,KP13)</f>
        <v>0</v>
      </c>
      <c r="KR13" s="68" t="str">
        <f>IF(KQ13=1,Stats!$N28,"")</f>
        <v/>
      </c>
      <c r="KS13" s="68" t="str">
        <f>IF(KQ13=1,Stats!$O28,"")</f>
        <v/>
      </c>
      <c r="KT13" s="68" t="str">
        <f>IF(KQ13=1,Stats!$P28,"")</f>
        <v/>
      </c>
      <c r="KU13" s="68" t="str">
        <f>IF(KQ13=1,Stats!$Q28,"")</f>
        <v/>
      </c>
      <c r="KV13" s="68" t="str">
        <f>IF(KQ13=1,Stats!$R28,"")</f>
        <v/>
      </c>
      <c r="KW13" s="68" t="str">
        <f>IF(KQ13=1,Stats!$S28,"")</f>
        <v/>
      </c>
      <c r="KX13" s="68">
        <f t="shared" si="120"/>
        <v>0</v>
      </c>
      <c r="KY13">
        <f t="shared" si="121"/>
        <v>0</v>
      </c>
      <c r="KZ13" s="68">
        <f>IF(KY13=0,MAX(KZ$2:KZ12)+1,0)</f>
        <v>11</v>
      </c>
      <c r="LA13" s="5" t="str">
        <f t="shared" si="122"/>
        <v>Drilled</v>
      </c>
      <c r="LB13" s="5" t="str">
        <f t="shared" si="123"/>
        <v>Drilled</v>
      </c>
      <c r="LD13">
        <f t="shared" si="124"/>
        <v>11</v>
      </c>
      <c r="LE13" s="5" t="str">
        <f t="shared" si="125"/>
        <v>Drilled</v>
      </c>
      <c r="LF13" s="68">
        <f>COUNTIF(Builder!$K$26:$N$26,LE13)</f>
        <v>0</v>
      </c>
      <c r="LG13" s="68" t="str">
        <f>IF(LF13=1,Stats!$N28,"")</f>
        <v/>
      </c>
      <c r="LH13" s="68" t="str">
        <f>IF(LF13=1,Stats!$O28,"")</f>
        <v/>
      </c>
      <c r="LI13" s="68" t="str">
        <f>IF(LF13=1,Stats!$P28,"")</f>
        <v/>
      </c>
      <c r="LJ13" s="68" t="str">
        <f>IF(LF13=1,Stats!$Q28,"")</f>
        <v/>
      </c>
      <c r="LK13" s="68" t="str">
        <f>IF(LF13=1,Stats!$R28,"")</f>
        <v/>
      </c>
      <c r="LL13" s="68" t="str">
        <f>IF(LF13=1,Stats!$S28,"")</f>
        <v/>
      </c>
      <c r="LM13" s="68">
        <f t="shared" si="126"/>
        <v>0</v>
      </c>
      <c r="LN13">
        <f t="shared" si="127"/>
        <v>0</v>
      </c>
      <c r="LO13" s="68">
        <f>IF(LN13=0,MAX(LO$2:LO12)+1,0)</f>
        <v>11</v>
      </c>
      <c r="LP13" s="5" t="str">
        <f t="shared" si="128"/>
        <v>Drilled</v>
      </c>
      <c r="LQ13" s="5" t="str">
        <f t="shared" si="129"/>
        <v>Drilled</v>
      </c>
      <c r="LS13">
        <f t="shared" si="130"/>
        <v>11</v>
      </c>
      <c r="LT13" s="5" t="str">
        <f t="shared" si="131"/>
        <v>Drilled</v>
      </c>
      <c r="LU13" s="68">
        <f>COUNTIF(Builder!$K$27:$N$27,LT13)</f>
        <v>0</v>
      </c>
      <c r="LV13" s="68" t="str">
        <f>IF(LU13=1,Stats!$N28,"")</f>
        <v/>
      </c>
      <c r="LW13" s="68" t="str">
        <f>IF(LU13=1,Stats!$O28,"")</f>
        <v/>
      </c>
      <c r="LX13" s="68" t="str">
        <f>IF(LU13=1,Stats!$P28,"")</f>
        <v/>
      </c>
      <c r="LY13" s="68" t="str">
        <f>IF(LU13=1,Stats!$Q28,"")</f>
        <v/>
      </c>
      <c r="LZ13" s="68" t="str">
        <f>IF(LU13=1,Stats!$R28,"")</f>
        <v/>
      </c>
      <c r="MA13" s="68" t="str">
        <f>IF(LU13=1,Stats!$S28,"")</f>
        <v/>
      </c>
      <c r="MB13" s="68">
        <f t="shared" si="132"/>
        <v>0</v>
      </c>
      <c r="MC13">
        <f t="shared" si="133"/>
        <v>0</v>
      </c>
      <c r="MD13" s="68">
        <f>IF(MC13=0,MAX(MD$2:MD12)+1,0)</f>
        <v>11</v>
      </c>
      <c r="ME13" s="5" t="str">
        <f t="shared" si="134"/>
        <v>Drilled</v>
      </c>
      <c r="MF13" s="5" t="str">
        <f t="shared" si="135"/>
        <v>Drilled</v>
      </c>
      <c r="MH13">
        <f t="shared" si="136"/>
        <v>11</v>
      </c>
      <c r="MI13" s="5" t="str">
        <f t="shared" si="137"/>
        <v>Drilled</v>
      </c>
      <c r="MJ13" s="68">
        <f>COUNTIF(Builder!$K$28:$N$28,MI13)</f>
        <v>0</v>
      </c>
      <c r="MK13" s="68" t="str">
        <f>IF(MJ13=1,Stats!$N28,"")</f>
        <v/>
      </c>
      <c r="ML13" s="68" t="str">
        <f>IF(MJ13=1,Stats!$O28,"")</f>
        <v/>
      </c>
      <c r="MM13" s="68" t="str">
        <f>IF(MJ13=1,Stats!$P28,"")</f>
        <v/>
      </c>
      <c r="MN13" s="68" t="str">
        <f>IF(MJ13=1,Stats!$Q28,"")</f>
        <v/>
      </c>
      <c r="MO13" s="68" t="str">
        <f>IF(MJ13=1,Stats!$R28,"")</f>
        <v/>
      </c>
      <c r="MP13" s="68" t="str">
        <f>IF(MJ13=1,Stats!$S28,"")</f>
        <v/>
      </c>
      <c r="MQ13" s="68">
        <f t="shared" si="138"/>
        <v>0</v>
      </c>
      <c r="MR13">
        <f t="shared" si="139"/>
        <v>0</v>
      </c>
      <c r="MS13" s="68">
        <f>IF(MR13=0,MAX(MS$2:MS12)+1,0)</f>
        <v>11</v>
      </c>
      <c r="MT13" s="5" t="str">
        <f t="shared" si="140"/>
        <v>Drilled</v>
      </c>
      <c r="MU13" s="5" t="str">
        <f t="shared" si="141"/>
        <v>Drilled</v>
      </c>
      <c r="MW13">
        <f t="shared" si="142"/>
        <v>11</v>
      </c>
      <c r="MX13" s="5" t="str">
        <f t="shared" si="143"/>
        <v>Drilled</v>
      </c>
      <c r="MY13" s="68">
        <f>COUNTIF(Builder!$K$29:$N$29,MX13)</f>
        <v>0</v>
      </c>
      <c r="MZ13" s="68" t="str">
        <f>IF(MY13=1,Stats!$N28,"")</f>
        <v/>
      </c>
      <c r="NA13" s="68" t="str">
        <f>IF(MY13=1,Stats!$O28,"")</f>
        <v/>
      </c>
      <c r="NB13" s="68" t="str">
        <f>IF(MY13=1,Stats!$P28,"")</f>
        <v/>
      </c>
      <c r="NC13" s="68" t="str">
        <f>IF(MY13=1,Stats!$Q28,"")</f>
        <v/>
      </c>
      <c r="ND13" s="68" t="str">
        <f>IF(MY13=1,Stats!$R28,"")</f>
        <v/>
      </c>
      <c r="NE13" s="68" t="str">
        <f>IF(MY13=1,Stats!$S28,"")</f>
        <v/>
      </c>
      <c r="NF13" s="68">
        <f t="shared" si="144"/>
        <v>0</v>
      </c>
      <c r="NG13">
        <f t="shared" si="145"/>
        <v>0</v>
      </c>
      <c r="NH13" s="68">
        <f>IF(NG13=0,MAX(NH$2:NH12)+1,0)</f>
        <v>11</v>
      </c>
      <c r="NI13" s="5" t="str">
        <f t="shared" si="146"/>
        <v>Drilled</v>
      </c>
      <c r="NJ13" s="5" t="str">
        <f t="shared" si="147"/>
        <v>Drilled</v>
      </c>
    </row>
    <row r="14" spans="1:374" ht="15" x14ac:dyDescent="0.3">
      <c r="A14">
        <v>12</v>
      </c>
      <c r="B14" s="5" t="s">
        <v>26</v>
      </c>
      <c r="C14" s="68">
        <f>COUNTIF(Builder!$K$5:$N$5,B14)</f>
        <v>0</v>
      </c>
      <c r="D14" s="68" t="str">
        <f>IF(C14=1,Stats!$N29,"")</f>
        <v/>
      </c>
      <c r="E14" s="68" t="str">
        <f>IF(C14=1,Stats!$O29,"")</f>
        <v/>
      </c>
      <c r="F14" s="68" t="str">
        <f>IF(C14=1,Stats!$P29,"")</f>
        <v/>
      </c>
      <c r="G14" s="68" t="str">
        <f>IF(C14=1,Stats!$Q29,"")</f>
        <v/>
      </c>
      <c r="H14" s="68" t="str">
        <f>IF(C14=1,Stats!$R29,"")</f>
        <v/>
      </c>
      <c r="I14" s="68" t="str">
        <f>IF(C14=1,Stats!$S29,"")</f>
        <v/>
      </c>
      <c r="J14" s="68">
        <f t="shared" si="0"/>
        <v>0</v>
      </c>
      <c r="K14">
        <f t="shared" si="1"/>
        <v>0</v>
      </c>
      <c r="L14" s="68">
        <f>IF(K14=0,MAX($L$2:L13)+1,0)</f>
        <v>12</v>
      </c>
      <c r="M14" s="5" t="str">
        <f t="shared" si="2"/>
        <v>Doughty</v>
      </c>
      <c r="N14" s="5" t="str">
        <f t="shared" si="3"/>
        <v>Doughty</v>
      </c>
      <c r="O14" s="5"/>
      <c r="P14">
        <f t="shared" si="4"/>
        <v>12</v>
      </c>
      <c r="Q14" s="5" t="str">
        <f t="shared" si="5"/>
        <v>Doughty</v>
      </c>
      <c r="R14" s="68">
        <f>COUNTIF(Builder!$K$6:$N$6,Q14)</f>
        <v>0</v>
      </c>
      <c r="S14" s="68" t="str">
        <f>IF(R14=1,Stats!$N29,"")</f>
        <v/>
      </c>
      <c r="T14" s="68" t="str">
        <f>IF(R14=1,Stats!$O29,"")</f>
        <v/>
      </c>
      <c r="U14" s="68" t="str">
        <f>IF(R14=1,Stats!$P29,"")</f>
        <v/>
      </c>
      <c r="V14" s="68" t="str">
        <f>IF(R14=1,Stats!$Q29,"")</f>
        <v/>
      </c>
      <c r="W14" s="68" t="str">
        <f>IF(R14=1,Stats!$R29,"")</f>
        <v/>
      </c>
      <c r="X14" s="68" t="str">
        <f>IF(R14=1,Stats!$S29,"")</f>
        <v/>
      </c>
      <c r="Y14" s="68">
        <f t="shared" si="6"/>
        <v>0</v>
      </c>
      <c r="Z14">
        <f t="shared" si="7"/>
        <v>0</v>
      </c>
      <c r="AA14" s="68">
        <f>IF(Z14=0,MAX($AA$2:AA13)+1,0)</f>
        <v>12</v>
      </c>
      <c r="AB14" s="5" t="str">
        <f t="shared" si="8"/>
        <v>Doughty</v>
      </c>
      <c r="AC14" s="5" t="str">
        <f t="shared" si="9"/>
        <v>Doughty</v>
      </c>
      <c r="AD14" s="5"/>
      <c r="AE14">
        <f t="shared" si="10"/>
        <v>12</v>
      </c>
      <c r="AF14" s="5" t="str">
        <f t="shared" si="11"/>
        <v>Doughty</v>
      </c>
      <c r="AG14" s="68">
        <f>COUNTIF(Builder!$K$7:$N$7,AF14)</f>
        <v>0</v>
      </c>
      <c r="AH14" s="68" t="str">
        <f>IF(AG14=1,Stats!$N29,"")</f>
        <v/>
      </c>
      <c r="AI14" s="68" t="str">
        <f>IF(AG14=1,Stats!$O29,"")</f>
        <v/>
      </c>
      <c r="AJ14" s="68" t="str">
        <f>IF(AG14=1,Stats!$P29,"")</f>
        <v/>
      </c>
      <c r="AK14" s="68" t="str">
        <f>IF(AG14=1,Stats!$Q29,"")</f>
        <v/>
      </c>
      <c r="AL14" s="68" t="str">
        <f>IF(AG14=1,Stats!$R29,"")</f>
        <v/>
      </c>
      <c r="AM14" s="68" t="str">
        <f>IF(AG14=1,Stats!$S29,"")</f>
        <v/>
      </c>
      <c r="AN14" s="68">
        <f t="shared" si="12"/>
        <v>0</v>
      </c>
      <c r="AO14">
        <f t="shared" si="13"/>
        <v>0</v>
      </c>
      <c r="AP14" s="68">
        <f>IF(AO14=0,MAX($AP$2:AP13)+1,0)</f>
        <v>12</v>
      </c>
      <c r="AQ14" s="5" t="str">
        <f t="shared" si="14"/>
        <v>Doughty</v>
      </c>
      <c r="AR14" s="5" t="str">
        <f t="shared" si="15"/>
        <v>Doughty</v>
      </c>
      <c r="AS14" s="5"/>
      <c r="AT14">
        <f t="shared" si="16"/>
        <v>12</v>
      </c>
      <c r="AU14" s="5" t="str">
        <f t="shared" si="17"/>
        <v>Doughty</v>
      </c>
      <c r="AV14" s="68">
        <f>COUNTIF(Builder!$K$8:$N$8,AU14)</f>
        <v>0</v>
      </c>
      <c r="AW14" s="68" t="str">
        <f>IF(AV14=1,Stats!$N29,"")</f>
        <v/>
      </c>
      <c r="AX14" s="68" t="str">
        <f>IF(AV14=1,Stats!$O29,"")</f>
        <v/>
      </c>
      <c r="AY14" s="68" t="str">
        <f>IF(AV14=1,Stats!$P29,"")</f>
        <v/>
      </c>
      <c r="AZ14" s="68" t="str">
        <f>IF(AV14=1,Stats!$Q29,"")</f>
        <v/>
      </c>
      <c r="BA14" s="68" t="str">
        <f>IF(AV14=1,Stats!$R29,"")</f>
        <v/>
      </c>
      <c r="BB14" s="68" t="str">
        <f>IF(AV14=1,Stats!$S29,"")</f>
        <v/>
      </c>
      <c r="BC14" s="68">
        <f t="shared" si="18"/>
        <v>0</v>
      </c>
      <c r="BD14">
        <f t="shared" si="19"/>
        <v>0</v>
      </c>
      <c r="BE14" s="68">
        <f>IF(BD14=0,MAX($BE$2:BE13)+1,0)</f>
        <v>12</v>
      </c>
      <c r="BF14" s="5" t="str">
        <f t="shared" si="20"/>
        <v>Doughty</v>
      </c>
      <c r="BG14" s="5" t="str">
        <f t="shared" si="21"/>
        <v>Doughty</v>
      </c>
      <c r="BH14" s="5"/>
      <c r="BI14">
        <f t="shared" si="148"/>
        <v>12</v>
      </c>
      <c r="BJ14" s="5" t="str">
        <f t="shared" si="149"/>
        <v>Doughty</v>
      </c>
      <c r="BK14" s="68">
        <f>COUNTIF(Builder!$K$9:$N$9,BJ14)</f>
        <v>0</v>
      </c>
      <c r="BL14" s="68" t="str">
        <f>IF(BK14=1,Stats!$N29,"")</f>
        <v/>
      </c>
      <c r="BM14" s="68" t="str">
        <f>IF(BK14=1,Stats!$O29,"")</f>
        <v/>
      </c>
      <c r="BN14" s="68" t="str">
        <f>IF(BK14=1,Stats!$P29,"")</f>
        <v/>
      </c>
      <c r="BO14" s="68" t="str">
        <f>IF(BK14=1,Stats!$Q29,"")</f>
        <v/>
      </c>
      <c r="BP14" s="68" t="str">
        <f>IF(BK14=1,Stats!$R29,"")</f>
        <v/>
      </c>
      <c r="BQ14" s="68" t="str">
        <f>IF(BK14=1,Stats!$S29,"")</f>
        <v/>
      </c>
      <c r="BR14" s="68">
        <f t="shared" si="150"/>
        <v>0</v>
      </c>
      <c r="BS14">
        <f t="shared" si="151"/>
        <v>0</v>
      </c>
      <c r="BT14" s="68">
        <f>IF(BS14=0,MAX(BT$2:BT13)+1,0)</f>
        <v>12</v>
      </c>
      <c r="BU14" s="5" t="str">
        <f t="shared" si="152"/>
        <v>Doughty</v>
      </c>
      <c r="BV14" s="5" t="str">
        <f t="shared" si="27"/>
        <v>Doughty</v>
      </c>
      <c r="BX14">
        <f t="shared" si="153"/>
        <v>12</v>
      </c>
      <c r="BY14" s="5" t="str">
        <f t="shared" si="154"/>
        <v>Doughty</v>
      </c>
      <c r="BZ14" s="68">
        <f>COUNTIF(Builder!$K$10:$N$10,BY14)</f>
        <v>0</v>
      </c>
      <c r="CA14" s="68" t="str">
        <f>IF(BZ14=1,Stats!$N29,"")</f>
        <v/>
      </c>
      <c r="CB14" s="68" t="str">
        <f>IF(BZ14=1,Stats!$O29,"")</f>
        <v/>
      </c>
      <c r="CC14" s="68" t="str">
        <f>IF(BZ14=1,Stats!$P29,"")</f>
        <v/>
      </c>
      <c r="CD14" s="68" t="str">
        <f>IF(BZ14=1,Stats!$Q29,"")</f>
        <v/>
      </c>
      <c r="CE14" s="68" t="str">
        <f>IF(BZ14=1,Stats!$R29,"")</f>
        <v/>
      </c>
      <c r="CF14" s="68" t="str">
        <f>IF(BZ14=1,Stats!$S29,"")</f>
        <v/>
      </c>
      <c r="CG14" s="68">
        <f t="shared" si="155"/>
        <v>0</v>
      </c>
      <c r="CH14">
        <f t="shared" si="156"/>
        <v>0</v>
      </c>
      <c r="CI14" s="68">
        <f>IF(CH14=0,MAX(CI$2:CI13)+1,0)</f>
        <v>12</v>
      </c>
      <c r="CJ14" s="5" t="str">
        <f t="shared" si="157"/>
        <v>Doughty</v>
      </c>
      <c r="CK14" s="5" t="str">
        <f t="shared" si="33"/>
        <v>Doughty</v>
      </c>
      <c r="CM14">
        <f t="shared" si="34"/>
        <v>12</v>
      </c>
      <c r="CN14" s="5" t="str">
        <f t="shared" si="35"/>
        <v>Doughty</v>
      </c>
      <c r="CO14" s="68">
        <f>COUNTIF(Builder!$K$11:$N$11,CN14)</f>
        <v>0</v>
      </c>
      <c r="CP14" s="68" t="str">
        <f>IF(CO14=1,Stats!$N29,"")</f>
        <v/>
      </c>
      <c r="CQ14" s="68" t="str">
        <f>IF(CO14=1,Stats!$O29,"")</f>
        <v/>
      </c>
      <c r="CR14" s="68" t="str">
        <f>IF(CO14=1,Stats!$P29,"")</f>
        <v/>
      </c>
      <c r="CS14" s="68" t="str">
        <f>IF(CO14=1,Stats!$Q29,"")</f>
        <v/>
      </c>
      <c r="CT14" s="68" t="str">
        <f>IF(CO14=1,Stats!$R29,"")</f>
        <v/>
      </c>
      <c r="CU14" s="68" t="str">
        <f>IF(CO14=1,Stats!$S29,"")</f>
        <v/>
      </c>
      <c r="CV14" s="68">
        <f t="shared" si="36"/>
        <v>0</v>
      </c>
      <c r="CW14">
        <f t="shared" si="37"/>
        <v>0</v>
      </c>
      <c r="CX14" s="68">
        <f>IF(CW14=0,MAX(CX$2:CX13)+1,0)</f>
        <v>12</v>
      </c>
      <c r="CY14" s="5" t="str">
        <f t="shared" si="38"/>
        <v>Doughty</v>
      </c>
      <c r="CZ14" s="5" t="str">
        <f t="shared" si="39"/>
        <v>Doughty</v>
      </c>
      <c r="DB14">
        <f t="shared" si="158"/>
        <v>12</v>
      </c>
      <c r="DC14" s="5" t="str">
        <f t="shared" si="159"/>
        <v>Doughty</v>
      </c>
      <c r="DD14" s="68">
        <f>COUNTIF(Builder!$K$12:$N$12,DC14)</f>
        <v>0</v>
      </c>
      <c r="DE14" s="68" t="str">
        <f>IF(DD14=1,Stats!$N29,"")</f>
        <v/>
      </c>
      <c r="DF14" s="68" t="str">
        <f>IF(DD14=1,Stats!$O29,"")</f>
        <v/>
      </c>
      <c r="DG14" s="68" t="str">
        <f>IF(DD14=1,Stats!$P29,"")</f>
        <v/>
      </c>
      <c r="DH14" s="68" t="str">
        <f>IF(DD14=1,Stats!$Q29,"")</f>
        <v/>
      </c>
      <c r="DI14" s="68" t="str">
        <f>IF(DD14=1,Stats!$R29,"")</f>
        <v/>
      </c>
      <c r="DJ14" s="68" t="str">
        <f>IF(DD14=1,Stats!$S29,"")</f>
        <v/>
      </c>
      <c r="DK14" s="68">
        <f t="shared" si="160"/>
        <v>0</v>
      </c>
      <c r="DL14">
        <f t="shared" si="161"/>
        <v>0</v>
      </c>
      <c r="DM14" s="68">
        <f>IF(DL14=0,MAX(DM$2:DM13)+1,0)</f>
        <v>12</v>
      </c>
      <c r="DN14" s="5" t="str">
        <f t="shared" si="162"/>
        <v>Doughty</v>
      </c>
      <c r="DO14" s="5" t="str">
        <f t="shared" si="45"/>
        <v>Doughty</v>
      </c>
      <c r="DQ14">
        <f t="shared" si="163"/>
        <v>12</v>
      </c>
      <c r="DR14" s="5" t="str">
        <f t="shared" si="164"/>
        <v>Doughty</v>
      </c>
      <c r="DS14" s="68">
        <f>COUNTIF(Builder!$K$13:$N$13,DR14)</f>
        <v>0</v>
      </c>
      <c r="DT14" s="68" t="str">
        <f>IF(DS14=1,Stats!$N29,"")</f>
        <v/>
      </c>
      <c r="DU14" s="68" t="str">
        <f>IF(DS14=1,Stats!$O29,"")</f>
        <v/>
      </c>
      <c r="DV14" s="68" t="str">
        <f>IF(DS14=1,Stats!$P29,"")</f>
        <v/>
      </c>
      <c r="DW14" s="68" t="str">
        <f>IF(DS14=1,Stats!$Q29,"")</f>
        <v/>
      </c>
      <c r="DX14" s="68" t="str">
        <f>IF(DS14=1,Stats!$R29,"")</f>
        <v/>
      </c>
      <c r="DY14" s="68" t="str">
        <f>IF(DS14=1,Stats!$S29,"")</f>
        <v/>
      </c>
      <c r="DZ14" s="68">
        <f t="shared" si="165"/>
        <v>0</v>
      </c>
      <c r="EA14">
        <f t="shared" si="166"/>
        <v>0</v>
      </c>
      <c r="EB14" s="68">
        <f>IF(EA14=0,MAX(EB$2:EB13)+1,0)</f>
        <v>12</v>
      </c>
      <c r="EC14" s="5" t="str">
        <f t="shared" si="167"/>
        <v>Doughty</v>
      </c>
      <c r="ED14" s="5" t="str">
        <f t="shared" si="51"/>
        <v>Doughty</v>
      </c>
      <c r="EF14">
        <f t="shared" si="52"/>
        <v>12</v>
      </c>
      <c r="EG14" s="5" t="str">
        <f t="shared" si="53"/>
        <v>Doughty</v>
      </c>
      <c r="EH14" s="68">
        <f>COUNTIF(Builder!$K$14:$N$14,EG14)</f>
        <v>0</v>
      </c>
      <c r="EI14" s="68" t="str">
        <f>IF(EH14=1,Stats!$N29,"")</f>
        <v/>
      </c>
      <c r="EJ14" s="68" t="str">
        <f>IF(EH14=1,Stats!$O29,"")</f>
        <v/>
      </c>
      <c r="EK14" s="68" t="str">
        <f>IF(EH14=1,Stats!$P29,"")</f>
        <v/>
      </c>
      <c r="EL14" s="68" t="str">
        <f>IF(EH14=1,Stats!$Q29,"")</f>
        <v/>
      </c>
      <c r="EM14" s="68" t="str">
        <f>IF(EH14=1,Stats!$R29,"")</f>
        <v/>
      </c>
      <c r="EN14" s="68" t="str">
        <f>IF(EH14=1,Stats!$S29,"")</f>
        <v/>
      </c>
      <c r="EO14" s="68">
        <f t="shared" si="54"/>
        <v>0</v>
      </c>
      <c r="EP14">
        <f t="shared" si="55"/>
        <v>0</v>
      </c>
      <c r="EQ14" s="68">
        <f>IF(EP14=0,MAX(EQ$2:EQ13)+1,0)</f>
        <v>12</v>
      </c>
      <c r="ER14" s="5" t="str">
        <f t="shared" si="56"/>
        <v>Doughty</v>
      </c>
      <c r="ES14" s="5" t="str">
        <f t="shared" si="57"/>
        <v>Doughty</v>
      </c>
      <c r="EU14">
        <f t="shared" si="58"/>
        <v>12</v>
      </c>
      <c r="EV14" s="5" t="str">
        <f t="shared" si="59"/>
        <v>Doughty</v>
      </c>
      <c r="EW14" s="68">
        <f>COUNTIF(Builder!$K$15:$N$15,EV14)</f>
        <v>0</v>
      </c>
      <c r="EX14" s="68" t="str">
        <f>IF(EW14=1,Stats!$N29,"")</f>
        <v/>
      </c>
      <c r="EY14" s="68" t="str">
        <f>IF(EW14=1,Stats!$O29,"")</f>
        <v/>
      </c>
      <c r="EZ14" s="68" t="str">
        <f>IF(EW14=1,Stats!$P29,"")</f>
        <v/>
      </c>
      <c r="FA14" s="68" t="str">
        <f>IF(EW14=1,Stats!$Q29,"")</f>
        <v/>
      </c>
      <c r="FB14" s="68" t="str">
        <f>IF(EW14=1,Stats!$R29,"")</f>
        <v/>
      </c>
      <c r="FC14" s="68" t="str">
        <f>IF(EW14=1,Stats!$S29,"")</f>
        <v/>
      </c>
      <c r="FD14" s="68">
        <f t="shared" si="60"/>
        <v>0</v>
      </c>
      <c r="FE14">
        <f t="shared" si="61"/>
        <v>0</v>
      </c>
      <c r="FF14" s="68">
        <f>IF(FE14=0,MAX(FF$2:FF13)+1,0)</f>
        <v>12</v>
      </c>
      <c r="FG14" s="5" t="str">
        <f t="shared" si="62"/>
        <v>Doughty</v>
      </c>
      <c r="FH14" s="5" t="str">
        <f t="shared" si="63"/>
        <v>Doughty</v>
      </c>
      <c r="FJ14">
        <f t="shared" si="64"/>
        <v>12</v>
      </c>
      <c r="FK14" s="5" t="str">
        <f t="shared" si="65"/>
        <v>Doughty</v>
      </c>
      <c r="FL14" s="68">
        <f>COUNTIF(Builder!$K$16:$N$16,FK14)</f>
        <v>0</v>
      </c>
      <c r="FM14" s="68" t="str">
        <f>IF(FL14=1,Stats!$N29,"")</f>
        <v/>
      </c>
      <c r="FN14" s="68" t="str">
        <f>IF(FL14=1,Stats!$O29,"")</f>
        <v/>
      </c>
      <c r="FO14" s="68" t="str">
        <f>IF(FL14=1,Stats!$P29,"")</f>
        <v/>
      </c>
      <c r="FP14" s="68" t="str">
        <f>IF(FL14=1,Stats!$Q29,"")</f>
        <v/>
      </c>
      <c r="FQ14" s="68" t="str">
        <f>IF(FL14=1,Stats!$R29,"")</f>
        <v/>
      </c>
      <c r="FR14" s="68" t="str">
        <f>IF(FL14=1,Stats!$S29,"")</f>
        <v/>
      </c>
      <c r="FS14" s="68">
        <f t="shared" si="66"/>
        <v>0</v>
      </c>
      <c r="FT14">
        <f t="shared" si="67"/>
        <v>0</v>
      </c>
      <c r="FU14" s="68">
        <f>IF(FT14=0,MAX(FU$2:FU13)+1,0)</f>
        <v>12</v>
      </c>
      <c r="FV14" s="5" t="str">
        <f t="shared" si="68"/>
        <v>Doughty</v>
      </c>
      <c r="FW14" s="5" t="str">
        <f t="shared" si="69"/>
        <v>Doughty</v>
      </c>
      <c r="FY14">
        <f t="shared" si="168"/>
        <v>12</v>
      </c>
      <c r="FZ14" s="5" t="str">
        <f t="shared" si="169"/>
        <v>Doughty</v>
      </c>
      <c r="GA14" s="68">
        <f>COUNTIF(Builder!$K$17:$N$17,FZ14)</f>
        <v>0</v>
      </c>
      <c r="GB14" s="68" t="str">
        <f>IF(GA14=1,Stats!$N29,"")</f>
        <v/>
      </c>
      <c r="GC14" s="68" t="str">
        <f>IF(GA14=1,Stats!$O29,"")</f>
        <v/>
      </c>
      <c r="GD14" s="68" t="str">
        <f>IF(GA14=1,Stats!$P29,"")</f>
        <v/>
      </c>
      <c r="GE14" s="68" t="str">
        <f>IF(GA14=1,Stats!$Q29,"")</f>
        <v/>
      </c>
      <c r="GF14" s="68" t="str">
        <f>IF(GA14=1,Stats!$R29,"")</f>
        <v/>
      </c>
      <c r="GG14" s="68" t="str">
        <f>IF(GA14=1,Stats!$S29,"")</f>
        <v/>
      </c>
      <c r="GH14" s="68">
        <f t="shared" si="170"/>
        <v>0</v>
      </c>
      <c r="GI14">
        <f t="shared" si="171"/>
        <v>0</v>
      </c>
      <c r="GJ14" s="68">
        <f>IF(GI14=0,MAX(GJ$2:GJ13)+1,0)</f>
        <v>12</v>
      </c>
      <c r="GK14" s="5" t="str">
        <f t="shared" si="172"/>
        <v>Doughty</v>
      </c>
      <c r="GL14" s="5" t="str">
        <f t="shared" si="75"/>
        <v>Doughty</v>
      </c>
      <c r="GN14">
        <f t="shared" si="76"/>
        <v>12</v>
      </c>
      <c r="GO14" s="5" t="str">
        <f t="shared" si="77"/>
        <v>Doughty</v>
      </c>
      <c r="GP14" s="68">
        <f>COUNTIF(Builder!$K$18:$N$18,GO14)</f>
        <v>0</v>
      </c>
      <c r="GQ14" s="68" t="str">
        <f>IF(GP14=1,Stats!$N29,"")</f>
        <v/>
      </c>
      <c r="GR14" s="68" t="str">
        <f>IF(GP14=1,Stats!$O29,"")</f>
        <v/>
      </c>
      <c r="GS14" s="68" t="str">
        <f>IF(GP14=1,Stats!$P29,"")</f>
        <v/>
      </c>
      <c r="GT14" s="68" t="str">
        <f>IF(GP14=1,Stats!$Q29,"")</f>
        <v/>
      </c>
      <c r="GU14" s="68" t="str">
        <f>IF(GP14=1,Stats!$R29,"")</f>
        <v/>
      </c>
      <c r="GV14" s="68" t="str">
        <f>IF(GP14=1,Stats!$S29,"")</f>
        <v/>
      </c>
      <c r="GW14" s="68">
        <f t="shared" si="78"/>
        <v>0</v>
      </c>
      <c r="GX14">
        <f t="shared" si="79"/>
        <v>0</v>
      </c>
      <c r="GY14" s="68">
        <f>IF(GX14=0,MAX(GY$2:GY13)+1,0)</f>
        <v>12</v>
      </c>
      <c r="GZ14" s="5" t="str">
        <f t="shared" si="80"/>
        <v>Doughty</v>
      </c>
      <c r="HA14" s="5" t="str">
        <f t="shared" si="81"/>
        <v>Doughty</v>
      </c>
      <c r="HC14">
        <f t="shared" si="82"/>
        <v>12</v>
      </c>
      <c r="HD14" s="5" t="str">
        <f t="shared" si="83"/>
        <v>Doughty</v>
      </c>
      <c r="HE14" s="68">
        <f>COUNTIF(Builder!$K$19:$N$19,HD14)</f>
        <v>0</v>
      </c>
      <c r="HF14" s="68" t="str">
        <f>IF(HE14=1,Stats!$N29,"")</f>
        <v/>
      </c>
      <c r="HG14" s="68" t="str">
        <f>IF(HE14=1,Stats!$O29,"")</f>
        <v/>
      </c>
      <c r="HH14" s="68" t="str">
        <f>IF(HE14=1,Stats!$P29,"")</f>
        <v/>
      </c>
      <c r="HI14" s="68" t="str">
        <f>IF(HE14=1,Stats!$Q29,"")</f>
        <v/>
      </c>
      <c r="HJ14" s="68" t="str">
        <f>IF(HE14=1,Stats!$R29,"")</f>
        <v/>
      </c>
      <c r="HK14" s="68" t="str">
        <f>IF(HE14=1,Stats!$S29,"")</f>
        <v/>
      </c>
      <c r="HL14" s="68">
        <f t="shared" si="84"/>
        <v>0</v>
      </c>
      <c r="HM14">
        <f t="shared" si="85"/>
        <v>0</v>
      </c>
      <c r="HN14" s="68">
        <f>IF(HM14=0,MAX(HN$2:HN13)+1,0)</f>
        <v>12</v>
      </c>
      <c r="HO14" s="5" t="str">
        <f t="shared" si="86"/>
        <v>Doughty</v>
      </c>
      <c r="HP14" s="5" t="str">
        <f t="shared" si="87"/>
        <v>Doughty</v>
      </c>
      <c r="HR14">
        <f t="shared" si="88"/>
        <v>12</v>
      </c>
      <c r="HS14" s="5" t="str">
        <f t="shared" si="89"/>
        <v>Doughty</v>
      </c>
      <c r="HT14" s="68">
        <f>COUNTIF(Builder!$K$20:$N$20,HS14)</f>
        <v>0</v>
      </c>
      <c r="HU14" s="68" t="str">
        <f>IF(HT14=1,Stats!$N29,"")</f>
        <v/>
      </c>
      <c r="HV14" s="68" t="str">
        <f>IF(HT14=1,Stats!$O29,"")</f>
        <v/>
      </c>
      <c r="HW14" s="68" t="str">
        <f>IF(HT14=1,Stats!$P29,"")</f>
        <v/>
      </c>
      <c r="HX14" s="68" t="str">
        <f>IF(HT14=1,Stats!$Q29,"")</f>
        <v/>
      </c>
      <c r="HY14" s="68" t="str">
        <f>IF(HT14=1,Stats!$R29,"")</f>
        <v/>
      </c>
      <c r="HZ14" s="68" t="str">
        <f>IF(HT14=1,Stats!$S29,"")</f>
        <v/>
      </c>
      <c r="IA14" s="68">
        <f t="shared" si="90"/>
        <v>0</v>
      </c>
      <c r="IB14">
        <f t="shared" si="91"/>
        <v>0</v>
      </c>
      <c r="IC14" s="68">
        <f>IF(IB14=0,MAX(IC$2:IC13)+1,0)</f>
        <v>12</v>
      </c>
      <c r="ID14" s="5" t="str">
        <f t="shared" si="92"/>
        <v>Doughty</v>
      </c>
      <c r="IE14" s="5" t="str">
        <f t="shared" si="93"/>
        <v>Doughty</v>
      </c>
      <c r="IG14">
        <f t="shared" si="94"/>
        <v>12</v>
      </c>
      <c r="IH14" s="5" t="str">
        <f t="shared" si="95"/>
        <v>Doughty</v>
      </c>
      <c r="II14" s="68">
        <f>COUNTIF(Builder!$K$21:$N$21,IH14)</f>
        <v>0</v>
      </c>
      <c r="IJ14" s="68" t="str">
        <f>IF(II14=1,Stats!$N29,"")</f>
        <v/>
      </c>
      <c r="IK14" s="68" t="str">
        <f>IF(II14=1,Stats!$O29,"")</f>
        <v/>
      </c>
      <c r="IL14" s="68" t="str">
        <f>IF(II14=1,Stats!$P29,"")</f>
        <v/>
      </c>
      <c r="IM14" s="68" t="str">
        <f>IF(II14=1,Stats!$Q29,"")</f>
        <v/>
      </c>
      <c r="IN14" s="68" t="str">
        <f>IF(II14=1,Stats!$R29,"")</f>
        <v/>
      </c>
      <c r="IO14" s="68" t="str">
        <f>IF(II14=1,Stats!$S29,"")</f>
        <v/>
      </c>
      <c r="IP14" s="68">
        <f t="shared" si="96"/>
        <v>0</v>
      </c>
      <c r="IQ14">
        <f t="shared" si="97"/>
        <v>0</v>
      </c>
      <c r="IR14" s="68">
        <f>IF(IQ14=0,MAX(IR$2:IR13)+1,0)</f>
        <v>12</v>
      </c>
      <c r="IS14" s="5" t="str">
        <f t="shared" si="98"/>
        <v>Doughty</v>
      </c>
      <c r="IT14" s="5" t="str">
        <f t="shared" si="99"/>
        <v>Doughty</v>
      </c>
      <c r="IV14">
        <f t="shared" si="100"/>
        <v>12</v>
      </c>
      <c r="IW14" s="5" t="str">
        <f t="shared" si="101"/>
        <v>Doughty</v>
      </c>
      <c r="IX14" s="68">
        <f>COUNTIF(Builder!$K$22:$N$22,IW14)</f>
        <v>0</v>
      </c>
      <c r="IY14" s="68" t="str">
        <f>IF(IX14=1,Stats!$N29,"")</f>
        <v/>
      </c>
      <c r="IZ14" s="68" t="str">
        <f>IF(IX14=1,Stats!$O29,"")</f>
        <v/>
      </c>
      <c r="JA14" s="68" t="str">
        <f>IF(IX14=1,Stats!$P29,"")</f>
        <v/>
      </c>
      <c r="JB14" s="68" t="str">
        <f>IF(IX14=1,Stats!$Q29,"")</f>
        <v/>
      </c>
      <c r="JC14" s="68" t="str">
        <f>IF(IX14=1,Stats!$R29,"")</f>
        <v/>
      </c>
      <c r="JD14" s="68" t="str">
        <f>IF(IX14=1,Stats!$S29,"")</f>
        <v/>
      </c>
      <c r="JE14" s="68">
        <f t="shared" si="102"/>
        <v>0</v>
      </c>
      <c r="JF14">
        <f t="shared" si="103"/>
        <v>0</v>
      </c>
      <c r="JG14" s="68">
        <f>IF(JF14=0,MAX(JG$2:JG13)+1,0)</f>
        <v>12</v>
      </c>
      <c r="JH14" s="5" t="str">
        <f t="shared" si="104"/>
        <v>Doughty</v>
      </c>
      <c r="JI14" s="5" t="str">
        <f t="shared" si="105"/>
        <v>Doughty</v>
      </c>
      <c r="JK14">
        <f t="shared" si="106"/>
        <v>12</v>
      </c>
      <c r="JL14" s="5" t="str">
        <f t="shared" si="107"/>
        <v>Doughty</v>
      </c>
      <c r="JM14" s="68">
        <f>COUNTIF(Builder!$K$23:$N$23,JL14)</f>
        <v>0</v>
      </c>
      <c r="JN14" s="68" t="str">
        <f>IF(JM14=1,Stats!$N29,"")</f>
        <v/>
      </c>
      <c r="JO14" s="68" t="str">
        <f>IF(JM14=1,Stats!$O29,"")</f>
        <v/>
      </c>
      <c r="JP14" s="68" t="str">
        <f>IF(JM14=1,Stats!$P29,"")</f>
        <v/>
      </c>
      <c r="JQ14" s="68" t="str">
        <f>IF(JM14=1,Stats!$Q29,"")</f>
        <v/>
      </c>
      <c r="JR14" s="68" t="str">
        <f>IF(JM14=1,Stats!$R29,"")</f>
        <v/>
      </c>
      <c r="JS14" s="68" t="str">
        <f>IF(JM14=1,Stats!$S29,"")</f>
        <v/>
      </c>
      <c r="JT14" s="68">
        <f t="shared" si="108"/>
        <v>0</v>
      </c>
      <c r="JU14">
        <f t="shared" si="109"/>
        <v>0</v>
      </c>
      <c r="JV14" s="68">
        <f>IF(JU14=0,MAX(JV$2:JV13)+1,0)</f>
        <v>12</v>
      </c>
      <c r="JW14" s="5" t="str">
        <f t="shared" si="110"/>
        <v>Doughty</v>
      </c>
      <c r="JX14" s="5" t="str">
        <f t="shared" si="111"/>
        <v>Doughty</v>
      </c>
      <c r="JZ14">
        <f t="shared" si="112"/>
        <v>12</v>
      </c>
      <c r="KA14" s="5" t="str">
        <f t="shared" si="113"/>
        <v>Doughty</v>
      </c>
      <c r="KB14" s="68">
        <f>COUNTIF(Builder!$K$24:$N$24,KA14)</f>
        <v>0</v>
      </c>
      <c r="KC14" s="68" t="str">
        <f>IF(KB14=1,Stats!$N29,"")</f>
        <v/>
      </c>
      <c r="KD14" s="68" t="str">
        <f>IF(KB14=1,Stats!$O29,"")</f>
        <v/>
      </c>
      <c r="KE14" s="68" t="str">
        <f>IF(KB14=1,Stats!$P29,"")</f>
        <v/>
      </c>
      <c r="KF14" s="68" t="str">
        <f>IF(KB14=1,Stats!$Q29,"")</f>
        <v/>
      </c>
      <c r="KG14" s="68" t="str">
        <f>IF(KB14=1,Stats!$R29,"")</f>
        <v/>
      </c>
      <c r="KH14" s="68" t="str">
        <f>IF(KB14=1,Stats!$S29,"")</f>
        <v/>
      </c>
      <c r="KI14" s="68">
        <f t="shared" si="114"/>
        <v>0</v>
      </c>
      <c r="KJ14">
        <f t="shared" si="115"/>
        <v>0</v>
      </c>
      <c r="KK14" s="68">
        <f>IF(KJ14=0,MAX(KK$2:KK13)+1,0)</f>
        <v>12</v>
      </c>
      <c r="KL14" s="5" t="str">
        <f t="shared" si="116"/>
        <v>Doughty</v>
      </c>
      <c r="KM14" s="5" t="str">
        <f t="shared" si="117"/>
        <v>Doughty</v>
      </c>
      <c r="KO14">
        <f t="shared" si="118"/>
        <v>12</v>
      </c>
      <c r="KP14" s="5" t="str">
        <f t="shared" si="119"/>
        <v>Doughty</v>
      </c>
      <c r="KQ14" s="68">
        <f>COUNTIF(Builder!$K$25:$N$25,KP14)</f>
        <v>0</v>
      </c>
      <c r="KR14" s="68" t="str">
        <f>IF(KQ14=1,Stats!$N29,"")</f>
        <v/>
      </c>
      <c r="KS14" s="68" t="str">
        <f>IF(KQ14=1,Stats!$O29,"")</f>
        <v/>
      </c>
      <c r="KT14" s="68" t="str">
        <f>IF(KQ14=1,Stats!$P29,"")</f>
        <v/>
      </c>
      <c r="KU14" s="68" t="str">
        <f>IF(KQ14=1,Stats!$Q29,"")</f>
        <v/>
      </c>
      <c r="KV14" s="68" t="str">
        <f>IF(KQ14=1,Stats!$R29,"")</f>
        <v/>
      </c>
      <c r="KW14" s="68" t="str">
        <f>IF(KQ14=1,Stats!$S29,"")</f>
        <v/>
      </c>
      <c r="KX14" s="68">
        <f t="shared" si="120"/>
        <v>0</v>
      </c>
      <c r="KY14">
        <f t="shared" si="121"/>
        <v>0</v>
      </c>
      <c r="KZ14" s="68">
        <f>IF(KY14=0,MAX(KZ$2:KZ13)+1,0)</f>
        <v>12</v>
      </c>
      <c r="LA14" s="5" t="str">
        <f t="shared" si="122"/>
        <v>Doughty</v>
      </c>
      <c r="LB14" s="5" t="str">
        <f t="shared" si="123"/>
        <v>Doughty</v>
      </c>
      <c r="LD14">
        <f t="shared" si="124"/>
        <v>12</v>
      </c>
      <c r="LE14" s="5" t="str">
        <f t="shared" si="125"/>
        <v>Doughty</v>
      </c>
      <c r="LF14" s="68">
        <f>COUNTIF(Builder!$K$26:$N$26,LE14)</f>
        <v>0</v>
      </c>
      <c r="LG14" s="68" t="str">
        <f>IF(LF14=1,Stats!$N29,"")</f>
        <v/>
      </c>
      <c r="LH14" s="68" t="str">
        <f>IF(LF14=1,Stats!$O29,"")</f>
        <v/>
      </c>
      <c r="LI14" s="68" t="str">
        <f>IF(LF14=1,Stats!$P29,"")</f>
        <v/>
      </c>
      <c r="LJ14" s="68" t="str">
        <f>IF(LF14=1,Stats!$Q29,"")</f>
        <v/>
      </c>
      <c r="LK14" s="68" t="str">
        <f>IF(LF14=1,Stats!$R29,"")</f>
        <v/>
      </c>
      <c r="LL14" s="68" t="str">
        <f>IF(LF14=1,Stats!$S29,"")</f>
        <v/>
      </c>
      <c r="LM14" s="68">
        <f t="shared" si="126"/>
        <v>0</v>
      </c>
      <c r="LN14">
        <f t="shared" si="127"/>
        <v>0</v>
      </c>
      <c r="LO14" s="68">
        <f>IF(LN14=0,MAX(LO$2:LO13)+1,0)</f>
        <v>12</v>
      </c>
      <c r="LP14" s="5" t="str">
        <f t="shared" si="128"/>
        <v>Doughty</v>
      </c>
      <c r="LQ14" s="5" t="str">
        <f t="shared" si="129"/>
        <v>Doughty</v>
      </c>
      <c r="LS14">
        <f t="shared" si="130"/>
        <v>12</v>
      </c>
      <c r="LT14" s="5" t="str">
        <f t="shared" si="131"/>
        <v>Doughty</v>
      </c>
      <c r="LU14" s="68">
        <f>COUNTIF(Builder!$K$27:$N$27,LT14)</f>
        <v>0</v>
      </c>
      <c r="LV14" s="68" t="str">
        <f>IF(LU14=1,Stats!$N29,"")</f>
        <v/>
      </c>
      <c r="LW14" s="68" t="str">
        <f>IF(LU14=1,Stats!$O29,"")</f>
        <v/>
      </c>
      <c r="LX14" s="68" t="str">
        <f>IF(LU14=1,Stats!$P29,"")</f>
        <v/>
      </c>
      <c r="LY14" s="68" t="str">
        <f>IF(LU14=1,Stats!$Q29,"")</f>
        <v/>
      </c>
      <c r="LZ14" s="68" t="str">
        <f>IF(LU14=1,Stats!$R29,"")</f>
        <v/>
      </c>
      <c r="MA14" s="68" t="str">
        <f>IF(LU14=1,Stats!$S29,"")</f>
        <v/>
      </c>
      <c r="MB14" s="68">
        <f t="shared" si="132"/>
        <v>0</v>
      </c>
      <c r="MC14">
        <f t="shared" si="133"/>
        <v>0</v>
      </c>
      <c r="MD14" s="68">
        <f>IF(MC14=0,MAX(MD$2:MD13)+1,0)</f>
        <v>12</v>
      </c>
      <c r="ME14" s="5" t="str">
        <f t="shared" si="134"/>
        <v>Doughty</v>
      </c>
      <c r="MF14" s="5" t="str">
        <f t="shared" si="135"/>
        <v>Doughty</v>
      </c>
      <c r="MH14">
        <f t="shared" si="136"/>
        <v>12</v>
      </c>
      <c r="MI14" s="5" t="str">
        <f t="shared" si="137"/>
        <v>Doughty</v>
      </c>
      <c r="MJ14" s="68">
        <f>COUNTIF(Builder!$K$28:$N$28,MI14)</f>
        <v>0</v>
      </c>
      <c r="MK14" s="68" t="str">
        <f>IF(MJ14=1,Stats!$N29,"")</f>
        <v/>
      </c>
      <c r="ML14" s="68" t="str">
        <f>IF(MJ14=1,Stats!$O29,"")</f>
        <v/>
      </c>
      <c r="MM14" s="68" t="str">
        <f>IF(MJ14=1,Stats!$P29,"")</f>
        <v/>
      </c>
      <c r="MN14" s="68" t="str">
        <f>IF(MJ14=1,Stats!$Q29,"")</f>
        <v/>
      </c>
      <c r="MO14" s="68" t="str">
        <f>IF(MJ14=1,Stats!$R29,"")</f>
        <v/>
      </c>
      <c r="MP14" s="68" t="str">
        <f>IF(MJ14=1,Stats!$S29,"")</f>
        <v/>
      </c>
      <c r="MQ14" s="68">
        <f t="shared" si="138"/>
        <v>0</v>
      </c>
      <c r="MR14">
        <f t="shared" si="139"/>
        <v>0</v>
      </c>
      <c r="MS14" s="68">
        <f>IF(MR14=0,MAX(MS$2:MS13)+1,0)</f>
        <v>12</v>
      </c>
      <c r="MT14" s="5" t="str">
        <f t="shared" si="140"/>
        <v>Doughty</v>
      </c>
      <c r="MU14" s="5" t="str">
        <f t="shared" si="141"/>
        <v>Doughty</v>
      </c>
      <c r="MW14">
        <f t="shared" si="142"/>
        <v>12</v>
      </c>
      <c r="MX14" s="5" t="str">
        <f t="shared" si="143"/>
        <v>Doughty</v>
      </c>
      <c r="MY14" s="68">
        <f>COUNTIF(Builder!$K$29:$N$29,MX14)</f>
        <v>0</v>
      </c>
      <c r="MZ14" s="68" t="str">
        <f>IF(MY14=1,Stats!$N29,"")</f>
        <v/>
      </c>
      <c r="NA14" s="68" t="str">
        <f>IF(MY14=1,Stats!$O29,"")</f>
        <v/>
      </c>
      <c r="NB14" s="68" t="str">
        <f>IF(MY14=1,Stats!$P29,"")</f>
        <v/>
      </c>
      <c r="NC14" s="68" t="str">
        <f>IF(MY14=1,Stats!$Q29,"")</f>
        <v/>
      </c>
      <c r="ND14" s="68" t="str">
        <f>IF(MY14=1,Stats!$R29,"")</f>
        <v/>
      </c>
      <c r="NE14" s="68" t="str">
        <f>IF(MY14=1,Stats!$S29,"")</f>
        <v/>
      </c>
      <c r="NF14" s="68">
        <f t="shared" si="144"/>
        <v>0</v>
      </c>
      <c r="NG14">
        <f t="shared" si="145"/>
        <v>0</v>
      </c>
      <c r="NH14" s="68">
        <f>IF(NG14=0,MAX(NH$2:NH13)+1,0)</f>
        <v>12</v>
      </c>
      <c r="NI14" s="5" t="str">
        <f t="shared" si="146"/>
        <v>Doughty</v>
      </c>
      <c r="NJ14" s="5" t="str">
        <f t="shared" si="147"/>
        <v>Doughty</v>
      </c>
    </row>
    <row r="15" spans="1:374" ht="15" x14ac:dyDescent="0.3">
      <c r="A15">
        <v>13</v>
      </c>
      <c r="B15" s="5" t="s">
        <v>214</v>
      </c>
      <c r="C15" s="68">
        <f>COUNTIF(Builder!$K$5:$N$5,B15)</f>
        <v>0</v>
      </c>
      <c r="D15" s="68" t="str">
        <f>IF(C15=1,Stats!$N30,"")</f>
        <v/>
      </c>
      <c r="E15" s="68" t="str">
        <f>IF(C15=1,Stats!$O30,"")</f>
        <v/>
      </c>
      <c r="F15" s="68" t="str">
        <f>IF(C15=1,Stats!$P30,"")</f>
        <v/>
      </c>
      <c r="G15" s="68" t="str">
        <f>IF(C15=1,Stats!$Q30,"")</f>
        <v/>
      </c>
      <c r="H15" s="68" t="str">
        <f>IF(C15=1,Stats!$R30,"")</f>
        <v/>
      </c>
      <c r="I15" s="68" t="str">
        <f>IF(C15=1,Stats!$S30,"")</f>
        <v/>
      </c>
      <c r="J15" s="68">
        <f t="shared" si="0"/>
        <v>0</v>
      </c>
      <c r="K15">
        <f t="shared" si="1"/>
        <v>0</v>
      </c>
      <c r="L15" s="68">
        <f>IF(K15=0,MAX($L$2:L14)+1,0)</f>
        <v>13</v>
      </c>
      <c r="M15" s="5" t="str">
        <f t="shared" si="2"/>
        <v>Emerge</v>
      </c>
      <c r="N15" s="5" t="str">
        <f t="shared" si="3"/>
        <v>Emerge</v>
      </c>
      <c r="O15" s="5"/>
      <c r="P15">
        <f t="shared" si="4"/>
        <v>13</v>
      </c>
      <c r="Q15" s="5" t="str">
        <f t="shared" si="5"/>
        <v>Emerge</v>
      </c>
      <c r="R15" s="68">
        <f>COUNTIF(Builder!$K$6:$N$6,Q15)</f>
        <v>0</v>
      </c>
      <c r="S15" s="68" t="str">
        <f>IF(R15=1,Stats!$N30,"")</f>
        <v/>
      </c>
      <c r="T15" s="68" t="str">
        <f>IF(R15=1,Stats!$O30,"")</f>
        <v/>
      </c>
      <c r="U15" s="68" t="str">
        <f>IF(R15=1,Stats!$P30,"")</f>
        <v/>
      </c>
      <c r="V15" s="68" t="str">
        <f>IF(R15=1,Stats!$Q30,"")</f>
        <v/>
      </c>
      <c r="W15" s="68" t="str">
        <f>IF(R15=1,Stats!$R30,"")</f>
        <v/>
      </c>
      <c r="X15" s="68" t="str">
        <f>IF(R15=1,Stats!$S30,"")</f>
        <v/>
      </c>
      <c r="Y15" s="68">
        <f t="shared" si="6"/>
        <v>0</v>
      </c>
      <c r="Z15">
        <f t="shared" si="7"/>
        <v>0</v>
      </c>
      <c r="AA15" s="68">
        <f>IF(Z15=0,MAX($AA$2:AA14)+1,0)</f>
        <v>13</v>
      </c>
      <c r="AB15" s="5" t="str">
        <f t="shared" si="8"/>
        <v>Emerge</v>
      </c>
      <c r="AC15" s="5" t="str">
        <f t="shared" si="9"/>
        <v>Emerge</v>
      </c>
      <c r="AD15" s="5"/>
      <c r="AE15">
        <f t="shared" si="10"/>
        <v>13</v>
      </c>
      <c r="AF15" s="5" t="str">
        <f t="shared" si="11"/>
        <v>Emerge</v>
      </c>
      <c r="AG15" s="68">
        <f>COUNTIF(Builder!$K$7:$N$7,AF15)</f>
        <v>0</v>
      </c>
      <c r="AH15" s="68" t="str">
        <f>IF(AG15=1,Stats!$N30,"")</f>
        <v/>
      </c>
      <c r="AI15" s="68" t="str">
        <f>IF(AG15=1,Stats!$O30,"")</f>
        <v/>
      </c>
      <c r="AJ15" s="68" t="str">
        <f>IF(AG15=1,Stats!$P30,"")</f>
        <v/>
      </c>
      <c r="AK15" s="68" t="str">
        <f>IF(AG15=1,Stats!$Q30,"")</f>
        <v/>
      </c>
      <c r="AL15" s="68" t="str">
        <f>IF(AG15=1,Stats!$R30,"")</f>
        <v/>
      </c>
      <c r="AM15" s="68" t="str">
        <f>IF(AG15=1,Stats!$S30,"")</f>
        <v/>
      </c>
      <c r="AN15" s="68">
        <f t="shared" si="12"/>
        <v>0</v>
      </c>
      <c r="AO15">
        <f t="shared" si="13"/>
        <v>0</v>
      </c>
      <c r="AP15" s="68">
        <f>IF(AO15=0,MAX($AP$2:AP14)+1,0)</f>
        <v>13</v>
      </c>
      <c r="AQ15" s="5" t="str">
        <f t="shared" si="14"/>
        <v>Emerge</v>
      </c>
      <c r="AR15" s="5" t="str">
        <f t="shared" si="15"/>
        <v>Emerge</v>
      </c>
      <c r="AS15" s="5"/>
      <c r="AT15">
        <f t="shared" si="16"/>
        <v>13</v>
      </c>
      <c r="AU15" s="5" t="str">
        <f t="shared" si="17"/>
        <v>Emerge</v>
      </c>
      <c r="AV15" s="68">
        <f>COUNTIF(Builder!$K$8:$N$8,AU15)</f>
        <v>0</v>
      </c>
      <c r="AW15" s="68" t="str">
        <f>IF(AV15=1,Stats!$N30,"")</f>
        <v/>
      </c>
      <c r="AX15" s="68" t="str">
        <f>IF(AV15=1,Stats!$O30,"")</f>
        <v/>
      </c>
      <c r="AY15" s="68" t="str">
        <f>IF(AV15=1,Stats!$P30,"")</f>
        <v/>
      </c>
      <c r="AZ15" s="68" t="str">
        <f>IF(AV15=1,Stats!$Q30,"")</f>
        <v/>
      </c>
      <c r="BA15" s="68" t="str">
        <f>IF(AV15=1,Stats!$R30,"")</f>
        <v/>
      </c>
      <c r="BB15" s="68" t="str">
        <f>IF(AV15=1,Stats!$S30,"")</f>
        <v/>
      </c>
      <c r="BC15" s="68">
        <f t="shared" si="18"/>
        <v>0</v>
      </c>
      <c r="BD15">
        <f t="shared" si="19"/>
        <v>0</v>
      </c>
      <c r="BE15" s="68">
        <f>IF(BD15=0,MAX($BE$2:BE14)+1,0)</f>
        <v>13</v>
      </c>
      <c r="BF15" s="5" t="str">
        <f t="shared" si="20"/>
        <v>Emerge</v>
      </c>
      <c r="BG15" s="5" t="str">
        <f t="shared" si="21"/>
        <v>Emerge</v>
      </c>
      <c r="BH15" s="5"/>
      <c r="BI15">
        <f t="shared" si="148"/>
        <v>13</v>
      </c>
      <c r="BJ15" s="5" t="str">
        <f t="shared" si="149"/>
        <v>Emerge</v>
      </c>
      <c r="BK15" s="68">
        <f>COUNTIF(Builder!$K$9:$N$9,BJ15)</f>
        <v>0</v>
      </c>
      <c r="BL15" s="68" t="str">
        <f>IF(BK15=1,Stats!$N30,"")</f>
        <v/>
      </c>
      <c r="BM15" s="68" t="str">
        <f>IF(BK15=1,Stats!$O30,"")</f>
        <v/>
      </c>
      <c r="BN15" s="68" t="str">
        <f>IF(BK15=1,Stats!$P30,"")</f>
        <v/>
      </c>
      <c r="BO15" s="68" t="str">
        <f>IF(BK15=1,Stats!$Q30,"")</f>
        <v/>
      </c>
      <c r="BP15" s="68" t="str">
        <f>IF(BK15=1,Stats!$R30,"")</f>
        <v/>
      </c>
      <c r="BQ15" s="68" t="str">
        <f>IF(BK15=1,Stats!$S30,"")</f>
        <v/>
      </c>
      <c r="BR15" s="68">
        <f t="shared" si="150"/>
        <v>0</v>
      </c>
      <c r="BS15">
        <f t="shared" si="151"/>
        <v>0</v>
      </c>
      <c r="BT15" s="68">
        <f>IF(BS15=0,MAX(BT$2:BT14)+1,0)</f>
        <v>13</v>
      </c>
      <c r="BU15" s="5" t="str">
        <f t="shared" si="152"/>
        <v>Emerge</v>
      </c>
      <c r="BV15" s="5" t="str">
        <f t="shared" si="27"/>
        <v>Emerge</v>
      </c>
      <c r="BX15">
        <f t="shared" si="153"/>
        <v>13</v>
      </c>
      <c r="BY15" s="5" t="str">
        <f t="shared" si="154"/>
        <v>Emerge</v>
      </c>
      <c r="BZ15" s="68">
        <f>COUNTIF(Builder!$K$10:$N$10,BY15)</f>
        <v>0</v>
      </c>
      <c r="CA15" s="68" t="str">
        <f>IF(BZ15=1,Stats!$N30,"")</f>
        <v/>
      </c>
      <c r="CB15" s="68" t="str">
        <f>IF(BZ15=1,Stats!$O30,"")</f>
        <v/>
      </c>
      <c r="CC15" s="68" t="str">
        <f>IF(BZ15=1,Stats!$P30,"")</f>
        <v/>
      </c>
      <c r="CD15" s="68" t="str">
        <f>IF(BZ15=1,Stats!$Q30,"")</f>
        <v/>
      </c>
      <c r="CE15" s="68" t="str">
        <f>IF(BZ15=1,Stats!$R30,"")</f>
        <v/>
      </c>
      <c r="CF15" s="68" t="str">
        <f>IF(BZ15=1,Stats!$S30,"")</f>
        <v/>
      </c>
      <c r="CG15" s="68">
        <f t="shared" si="155"/>
        <v>0</v>
      </c>
      <c r="CH15">
        <f t="shared" si="156"/>
        <v>0</v>
      </c>
      <c r="CI15" s="68">
        <f>IF(CH15=0,MAX(CI$2:CI14)+1,0)</f>
        <v>13</v>
      </c>
      <c r="CJ15" s="5" t="str">
        <f t="shared" si="157"/>
        <v>Emerge</v>
      </c>
      <c r="CK15" s="5" t="str">
        <f t="shared" si="33"/>
        <v>Emerge</v>
      </c>
      <c r="CM15">
        <f t="shared" si="34"/>
        <v>13</v>
      </c>
      <c r="CN15" s="5" t="str">
        <f t="shared" si="35"/>
        <v>Emerge</v>
      </c>
      <c r="CO15" s="68">
        <f>COUNTIF(Builder!$K$11:$N$11,CN15)</f>
        <v>0</v>
      </c>
      <c r="CP15" s="68" t="str">
        <f>IF(CO15=1,Stats!$N30,"")</f>
        <v/>
      </c>
      <c r="CQ15" s="68" t="str">
        <f>IF(CO15=1,Stats!$O30,"")</f>
        <v/>
      </c>
      <c r="CR15" s="68" t="str">
        <f>IF(CO15=1,Stats!$P30,"")</f>
        <v/>
      </c>
      <c r="CS15" s="68" t="str">
        <f>IF(CO15=1,Stats!$Q30,"")</f>
        <v/>
      </c>
      <c r="CT15" s="68" t="str">
        <f>IF(CO15=1,Stats!$R30,"")</f>
        <v/>
      </c>
      <c r="CU15" s="68" t="str">
        <f>IF(CO15=1,Stats!$S30,"")</f>
        <v/>
      </c>
      <c r="CV15" s="68">
        <f t="shared" si="36"/>
        <v>0</v>
      </c>
      <c r="CW15">
        <f t="shared" si="37"/>
        <v>0</v>
      </c>
      <c r="CX15" s="68">
        <f>IF(CW15=0,MAX(CX$2:CX14)+1,0)</f>
        <v>13</v>
      </c>
      <c r="CY15" s="5" t="str">
        <f t="shared" si="38"/>
        <v>Emerge</v>
      </c>
      <c r="CZ15" s="5" t="str">
        <f t="shared" si="39"/>
        <v>Emerge</v>
      </c>
      <c r="DB15">
        <f t="shared" si="158"/>
        <v>13</v>
      </c>
      <c r="DC15" s="5" t="str">
        <f t="shared" si="159"/>
        <v>Emerge</v>
      </c>
      <c r="DD15" s="68">
        <f>COUNTIF(Builder!$K$12:$N$12,DC15)</f>
        <v>0</v>
      </c>
      <c r="DE15" s="68" t="str">
        <f>IF(DD15=1,Stats!$N30,"")</f>
        <v/>
      </c>
      <c r="DF15" s="68" t="str">
        <f>IF(DD15=1,Stats!$O30,"")</f>
        <v/>
      </c>
      <c r="DG15" s="68" t="str">
        <f>IF(DD15=1,Stats!$P30,"")</f>
        <v/>
      </c>
      <c r="DH15" s="68" t="str">
        <f>IF(DD15=1,Stats!$Q30,"")</f>
        <v/>
      </c>
      <c r="DI15" s="68" t="str">
        <f>IF(DD15=1,Stats!$R30,"")</f>
        <v/>
      </c>
      <c r="DJ15" s="68" t="str">
        <f>IF(DD15=1,Stats!$S30,"")</f>
        <v/>
      </c>
      <c r="DK15" s="68">
        <f t="shared" si="160"/>
        <v>0</v>
      </c>
      <c r="DL15">
        <f t="shared" si="161"/>
        <v>0</v>
      </c>
      <c r="DM15" s="68">
        <f>IF(DL15=0,MAX(DM$2:DM14)+1,0)</f>
        <v>13</v>
      </c>
      <c r="DN15" s="5" t="str">
        <f t="shared" si="162"/>
        <v>Emerge</v>
      </c>
      <c r="DO15" s="5" t="str">
        <f t="shared" si="45"/>
        <v>Emerge</v>
      </c>
      <c r="DQ15">
        <f t="shared" si="163"/>
        <v>13</v>
      </c>
      <c r="DR15" s="5" t="str">
        <f t="shared" si="164"/>
        <v>Emerge</v>
      </c>
      <c r="DS15" s="68">
        <f>COUNTIF(Builder!$K$13:$N$13,DR15)</f>
        <v>0</v>
      </c>
      <c r="DT15" s="68" t="str">
        <f>IF(DS15=1,Stats!$N30,"")</f>
        <v/>
      </c>
      <c r="DU15" s="68" t="str">
        <f>IF(DS15=1,Stats!$O30,"")</f>
        <v/>
      </c>
      <c r="DV15" s="68" t="str">
        <f>IF(DS15=1,Stats!$P30,"")</f>
        <v/>
      </c>
      <c r="DW15" s="68" t="str">
        <f>IF(DS15=1,Stats!$Q30,"")</f>
        <v/>
      </c>
      <c r="DX15" s="68" t="str">
        <f>IF(DS15=1,Stats!$R30,"")</f>
        <v/>
      </c>
      <c r="DY15" s="68" t="str">
        <f>IF(DS15=1,Stats!$S30,"")</f>
        <v/>
      </c>
      <c r="DZ15" s="68">
        <f t="shared" si="165"/>
        <v>0</v>
      </c>
      <c r="EA15">
        <f t="shared" si="166"/>
        <v>0</v>
      </c>
      <c r="EB15" s="68">
        <f>IF(EA15=0,MAX(EB$2:EB14)+1,0)</f>
        <v>13</v>
      </c>
      <c r="EC15" s="5" t="str">
        <f t="shared" si="167"/>
        <v>Emerge</v>
      </c>
      <c r="ED15" s="5" t="str">
        <f t="shared" si="51"/>
        <v>Emerge</v>
      </c>
      <c r="EF15">
        <f t="shared" si="52"/>
        <v>13</v>
      </c>
      <c r="EG15" s="5" t="str">
        <f t="shared" si="53"/>
        <v>Emerge</v>
      </c>
      <c r="EH15" s="68">
        <f>COUNTIF(Builder!$K$14:$N$14,EG15)</f>
        <v>0</v>
      </c>
      <c r="EI15" s="68" t="str">
        <f>IF(EH15=1,Stats!$N30,"")</f>
        <v/>
      </c>
      <c r="EJ15" s="68" t="str">
        <f>IF(EH15=1,Stats!$O30,"")</f>
        <v/>
      </c>
      <c r="EK15" s="68" t="str">
        <f>IF(EH15=1,Stats!$P30,"")</f>
        <v/>
      </c>
      <c r="EL15" s="68" t="str">
        <f>IF(EH15=1,Stats!$Q30,"")</f>
        <v/>
      </c>
      <c r="EM15" s="68" t="str">
        <f>IF(EH15=1,Stats!$R30,"")</f>
        <v/>
      </c>
      <c r="EN15" s="68" t="str">
        <f>IF(EH15=1,Stats!$S30,"")</f>
        <v/>
      </c>
      <c r="EO15" s="68">
        <f t="shared" si="54"/>
        <v>0</v>
      </c>
      <c r="EP15">
        <f t="shared" si="55"/>
        <v>0</v>
      </c>
      <c r="EQ15" s="68">
        <f>IF(EP15=0,MAX(EQ$2:EQ14)+1,0)</f>
        <v>13</v>
      </c>
      <c r="ER15" s="5" t="str">
        <f t="shared" si="56"/>
        <v>Emerge</v>
      </c>
      <c r="ES15" s="5" t="str">
        <f t="shared" si="57"/>
        <v>Emerge</v>
      </c>
      <c r="EU15">
        <f t="shared" si="58"/>
        <v>13</v>
      </c>
      <c r="EV15" s="5" t="str">
        <f t="shared" si="59"/>
        <v>Emerge</v>
      </c>
      <c r="EW15" s="68">
        <f>COUNTIF(Builder!$K$15:$N$15,EV15)</f>
        <v>0</v>
      </c>
      <c r="EX15" s="68" t="str">
        <f>IF(EW15=1,Stats!$N30,"")</f>
        <v/>
      </c>
      <c r="EY15" s="68" t="str">
        <f>IF(EW15=1,Stats!$O30,"")</f>
        <v/>
      </c>
      <c r="EZ15" s="68" t="str">
        <f>IF(EW15=1,Stats!$P30,"")</f>
        <v/>
      </c>
      <c r="FA15" s="68" t="str">
        <f>IF(EW15=1,Stats!$Q30,"")</f>
        <v/>
      </c>
      <c r="FB15" s="68" t="str">
        <f>IF(EW15=1,Stats!$R30,"")</f>
        <v/>
      </c>
      <c r="FC15" s="68" t="str">
        <f>IF(EW15=1,Stats!$S30,"")</f>
        <v/>
      </c>
      <c r="FD15" s="68">
        <f t="shared" si="60"/>
        <v>0</v>
      </c>
      <c r="FE15">
        <f t="shared" si="61"/>
        <v>0</v>
      </c>
      <c r="FF15" s="68">
        <f>IF(FE15=0,MAX(FF$2:FF14)+1,0)</f>
        <v>13</v>
      </c>
      <c r="FG15" s="5" t="str">
        <f t="shared" si="62"/>
        <v>Emerge</v>
      </c>
      <c r="FH15" s="5" t="str">
        <f t="shared" si="63"/>
        <v>Emerge</v>
      </c>
      <c r="FJ15">
        <f t="shared" si="64"/>
        <v>13</v>
      </c>
      <c r="FK15" s="5" t="str">
        <f t="shared" si="65"/>
        <v>Emerge</v>
      </c>
      <c r="FL15" s="68">
        <f>COUNTIF(Builder!$K$16:$N$16,FK15)</f>
        <v>0</v>
      </c>
      <c r="FM15" s="68" t="str">
        <f>IF(FL15=1,Stats!$N30,"")</f>
        <v/>
      </c>
      <c r="FN15" s="68" t="str">
        <f>IF(FL15=1,Stats!$O30,"")</f>
        <v/>
      </c>
      <c r="FO15" s="68" t="str">
        <f>IF(FL15=1,Stats!$P30,"")</f>
        <v/>
      </c>
      <c r="FP15" s="68" t="str">
        <f>IF(FL15=1,Stats!$Q30,"")</f>
        <v/>
      </c>
      <c r="FQ15" s="68" t="str">
        <f>IF(FL15=1,Stats!$R30,"")</f>
        <v/>
      </c>
      <c r="FR15" s="68" t="str">
        <f>IF(FL15=1,Stats!$S30,"")</f>
        <v/>
      </c>
      <c r="FS15" s="68">
        <f t="shared" si="66"/>
        <v>0</v>
      </c>
      <c r="FT15">
        <f t="shared" si="67"/>
        <v>0</v>
      </c>
      <c r="FU15" s="68">
        <f>IF(FT15=0,MAX(FU$2:FU14)+1,0)</f>
        <v>13</v>
      </c>
      <c r="FV15" s="5" t="str">
        <f t="shared" si="68"/>
        <v>Emerge</v>
      </c>
      <c r="FW15" s="5" t="str">
        <f t="shared" si="69"/>
        <v>Emerge</v>
      </c>
      <c r="FY15">
        <f t="shared" si="168"/>
        <v>13</v>
      </c>
      <c r="FZ15" s="5" t="str">
        <f t="shared" si="169"/>
        <v>Emerge</v>
      </c>
      <c r="GA15" s="68">
        <f>COUNTIF(Builder!$K$17:$N$17,FZ15)</f>
        <v>0</v>
      </c>
      <c r="GB15" s="68" t="str">
        <f>IF(GA15=1,Stats!$N30,"")</f>
        <v/>
      </c>
      <c r="GC15" s="68" t="str">
        <f>IF(GA15=1,Stats!$O30,"")</f>
        <v/>
      </c>
      <c r="GD15" s="68" t="str">
        <f>IF(GA15=1,Stats!$P30,"")</f>
        <v/>
      </c>
      <c r="GE15" s="68" t="str">
        <f>IF(GA15=1,Stats!$Q30,"")</f>
        <v/>
      </c>
      <c r="GF15" s="68" t="str">
        <f>IF(GA15=1,Stats!$R30,"")</f>
        <v/>
      </c>
      <c r="GG15" s="68" t="str">
        <f>IF(GA15=1,Stats!$S30,"")</f>
        <v/>
      </c>
      <c r="GH15" s="68">
        <f t="shared" si="170"/>
        <v>0</v>
      </c>
      <c r="GI15">
        <f t="shared" si="171"/>
        <v>0</v>
      </c>
      <c r="GJ15" s="68">
        <f>IF(GI15=0,MAX(GJ$2:GJ14)+1,0)</f>
        <v>13</v>
      </c>
      <c r="GK15" s="5" t="str">
        <f t="shared" si="172"/>
        <v>Emerge</v>
      </c>
      <c r="GL15" s="5" t="str">
        <f t="shared" si="75"/>
        <v>Emerge</v>
      </c>
      <c r="GN15">
        <f t="shared" si="76"/>
        <v>13</v>
      </c>
      <c r="GO15" s="5" t="str">
        <f t="shared" si="77"/>
        <v>Emerge</v>
      </c>
      <c r="GP15" s="68">
        <f>COUNTIF(Builder!$K$18:$N$18,GO15)</f>
        <v>0</v>
      </c>
      <c r="GQ15" s="68" t="str">
        <f>IF(GP15=1,Stats!$N30,"")</f>
        <v/>
      </c>
      <c r="GR15" s="68" t="str">
        <f>IF(GP15=1,Stats!$O30,"")</f>
        <v/>
      </c>
      <c r="GS15" s="68" t="str">
        <f>IF(GP15=1,Stats!$P30,"")</f>
        <v/>
      </c>
      <c r="GT15" s="68" t="str">
        <f>IF(GP15=1,Stats!$Q30,"")</f>
        <v/>
      </c>
      <c r="GU15" s="68" t="str">
        <f>IF(GP15=1,Stats!$R30,"")</f>
        <v/>
      </c>
      <c r="GV15" s="68" t="str">
        <f>IF(GP15=1,Stats!$S30,"")</f>
        <v/>
      </c>
      <c r="GW15" s="68">
        <f t="shared" si="78"/>
        <v>0</v>
      </c>
      <c r="GX15">
        <f t="shared" si="79"/>
        <v>0</v>
      </c>
      <c r="GY15" s="68">
        <f>IF(GX15=0,MAX(GY$2:GY14)+1,0)</f>
        <v>13</v>
      </c>
      <c r="GZ15" s="5" t="str">
        <f t="shared" si="80"/>
        <v>Emerge</v>
      </c>
      <c r="HA15" s="5" t="str">
        <f t="shared" si="81"/>
        <v>Emerge</v>
      </c>
      <c r="HC15">
        <f t="shared" si="82"/>
        <v>13</v>
      </c>
      <c r="HD15" s="5" t="str">
        <f t="shared" si="83"/>
        <v>Emerge</v>
      </c>
      <c r="HE15" s="68">
        <f>COUNTIF(Builder!$K$19:$N$19,HD15)</f>
        <v>0</v>
      </c>
      <c r="HF15" s="68" t="str">
        <f>IF(HE15=1,Stats!$N30,"")</f>
        <v/>
      </c>
      <c r="HG15" s="68" t="str">
        <f>IF(HE15=1,Stats!$O30,"")</f>
        <v/>
      </c>
      <c r="HH15" s="68" t="str">
        <f>IF(HE15=1,Stats!$P30,"")</f>
        <v/>
      </c>
      <c r="HI15" s="68" t="str">
        <f>IF(HE15=1,Stats!$Q30,"")</f>
        <v/>
      </c>
      <c r="HJ15" s="68" t="str">
        <f>IF(HE15=1,Stats!$R30,"")</f>
        <v/>
      </c>
      <c r="HK15" s="68" t="str">
        <f>IF(HE15=1,Stats!$S30,"")</f>
        <v/>
      </c>
      <c r="HL15" s="68">
        <f t="shared" si="84"/>
        <v>0</v>
      </c>
      <c r="HM15">
        <f t="shared" si="85"/>
        <v>0</v>
      </c>
      <c r="HN15" s="68">
        <f>IF(HM15=0,MAX(HN$2:HN14)+1,0)</f>
        <v>13</v>
      </c>
      <c r="HO15" s="5" t="str">
        <f t="shared" si="86"/>
        <v>Emerge</v>
      </c>
      <c r="HP15" s="5" t="str">
        <f t="shared" si="87"/>
        <v>Emerge</v>
      </c>
      <c r="HR15">
        <f t="shared" si="88"/>
        <v>13</v>
      </c>
      <c r="HS15" s="5" t="str">
        <f t="shared" si="89"/>
        <v>Emerge</v>
      </c>
      <c r="HT15" s="68">
        <f>COUNTIF(Builder!$K$20:$N$20,HS15)</f>
        <v>0</v>
      </c>
      <c r="HU15" s="68" t="str">
        <f>IF(HT15=1,Stats!$N30,"")</f>
        <v/>
      </c>
      <c r="HV15" s="68" t="str">
        <f>IF(HT15=1,Stats!$O30,"")</f>
        <v/>
      </c>
      <c r="HW15" s="68" t="str">
        <f>IF(HT15=1,Stats!$P30,"")</f>
        <v/>
      </c>
      <c r="HX15" s="68" t="str">
        <f>IF(HT15=1,Stats!$Q30,"")</f>
        <v/>
      </c>
      <c r="HY15" s="68" t="str">
        <f>IF(HT15=1,Stats!$R30,"")</f>
        <v/>
      </c>
      <c r="HZ15" s="68" t="str">
        <f>IF(HT15=1,Stats!$S30,"")</f>
        <v/>
      </c>
      <c r="IA15" s="68">
        <f t="shared" si="90"/>
        <v>0</v>
      </c>
      <c r="IB15">
        <f t="shared" si="91"/>
        <v>0</v>
      </c>
      <c r="IC15" s="68">
        <f>IF(IB15=0,MAX(IC$2:IC14)+1,0)</f>
        <v>13</v>
      </c>
      <c r="ID15" s="5" t="str">
        <f t="shared" si="92"/>
        <v>Emerge</v>
      </c>
      <c r="IE15" s="5" t="str">
        <f t="shared" si="93"/>
        <v>Emerge</v>
      </c>
      <c r="IG15">
        <f t="shared" si="94"/>
        <v>13</v>
      </c>
      <c r="IH15" s="5" t="str">
        <f t="shared" si="95"/>
        <v>Emerge</v>
      </c>
      <c r="II15" s="68">
        <f>COUNTIF(Builder!$K$21:$N$21,IH15)</f>
        <v>0</v>
      </c>
      <c r="IJ15" s="68" t="str">
        <f>IF(II15=1,Stats!$N30,"")</f>
        <v/>
      </c>
      <c r="IK15" s="68" t="str">
        <f>IF(II15=1,Stats!$O30,"")</f>
        <v/>
      </c>
      <c r="IL15" s="68" t="str">
        <f>IF(II15=1,Stats!$P30,"")</f>
        <v/>
      </c>
      <c r="IM15" s="68" t="str">
        <f>IF(II15=1,Stats!$Q30,"")</f>
        <v/>
      </c>
      <c r="IN15" s="68" t="str">
        <f>IF(II15=1,Stats!$R30,"")</f>
        <v/>
      </c>
      <c r="IO15" s="68" t="str">
        <f>IF(II15=1,Stats!$S30,"")</f>
        <v/>
      </c>
      <c r="IP15" s="68">
        <f t="shared" si="96"/>
        <v>0</v>
      </c>
      <c r="IQ15">
        <f t="shared" si="97"/>
        <v>0</v>
      </c>
      <c r="IR15" s="68">
        <f>IF(IQ15=0,MAX(IR$2:IR14)+1,0)</f>
        <v>13</v>
      </c>
      <c r="IS15" s="5" t="str">
        <f t="shared" si="98"/>
        <v>Emerge</v>
      </c>
      <c r="IT15" s="5" t="str">
        <f t="shared" si="99"/>
        <v>Emerge</v>
      </c>
      <c r="IV15">
        <f t="shared" si="100"/>
        <v>13</v>
      </c>
      <c r="IW15" s="5" t="str">
        <f t="shared" si="101"/>
        <v>Emerge</v>
      </c>
      <c r="IX15" s="68">
        <f>COUNTIF(Builder!$K$22:$N$22,IW15)</f>
        <v>0</v>
      </c>
      <c r="IY15" s="68" t="str">
        <f>IF(IX15=1,Stats!$N30,"")</f>
        <v/>
      </c>
      <c r="IZ15" s="68" t="str">
        <f>IF(IX15=1,Stats!$O30,"")</f>
        <v/>
      </c>
      <c r="JA15" s="68" t="str">
        <f>IF(IX15=1,Stats!$P30,"")</f>
        <v/>
      </c>
      <c r="JB15" s="68" t="str">
        <f>IF(IX15=1,Stats!$Q30,"")</f>
        <v/>
      </c>
      <c r="JC15" s="68" t="str">
        <f>IF(IX15=1,Stats!$R30,"")</f>
        <v/>
      </c>
      <c r="JD15" s="68" t="str">
        <f>IF(IX15=1,Stats!$S30,"")</f>
        <v/>
      </c>
      <c r="JE15" s="68">
        <f t="shared" si="102"/>
        <v>0</v>
      </c>
      <c r="JF15">
        <f t="shared" si="103"/>
        <v>0</v>
      </c>
      <c r="JG15" s="68">
        <f>IF(JF15=0,MAX(JG$2:JG14)+1,0)</f>
        <v>13</v>
      </c>
      <c r="JH15" s="5" t="str">
        <f t="shared" si="104"/>
        <v>Emerge</v>
      </c>
      <c r="JI15" s="5" t="str">
        <f t="shared" si="105"/>
        <v>Emerge</v>
      </c>
      <c r="JK15">
        <f t="shared" si="106"/>
        <v>13</v>
      </c>
      <c r="JL15" s="5" t="str">
        <f t="shared" si="107"/>
        <v>Emerge</v>
      </c>
      <c r="JM15" s="68">
        <f>COUNTIF(Builder!$K$23:$N$23,JL15)</f>
        <v>0</v>
      </c>
      <c r="JN15" s="68" t="str">
        <f>IF(JM15=1,Stats!$N30,"")</f>
        <v/>
      </c>
      <c r="JO15" s="68" t="str">
        <f>IF(JM15=1,Stats!$O30,"")</f>
        <v/>
      </c>
      <c r="JP15" s="68" t="str">
        <f>IF(JM15=1,Stats!$P30,"")</f>
        <v/>
      </c>
      <c r="JQ15" s="68" t="str">
        <f>IF(JM15=1,Stats!$Q30,"")</f>
        <v/>
      </c>
      <c r="JR15" s="68" t="str">
        <f>IF(JM15=1,Stats!$R30,"")</f>
        <v/>
      </c>
      <c r="JS15" s="68" t="str">
        <f>IF(JM15=1,Stats!$S30,"")</f>
        <v/>
      </c>
      <c r="JT15" s="68">
        <f t="shared" si="108"/>
        <v>0</v>
      </c>
      <c r="JU15">
        <f t="shared" si="109"/>
        <v>0</v>
      </c>
      <c r="JV15" s="68">
        <f>IF(JU15=0,MAX(JV$2:JV14)+1,0)</f>
        <v>13</v>
      </c>
      <c r="JW15" s="5" t="str">
        <f t="shared" si="110"/>
        <v>Emerge</v>
      </c>
      <c r="JX15" s="5" t="str">
        <f t="shared" si="111"/>
        <v>Emerge</v>
      </c>
      <c r="JZ15">
        <f t="shared" si="112"/>
        <v>13</v>
      </c>
      <c r="KA15" s="5" t="str">
        <f t="shared" si="113"/>
        <v>Emerge</v>
      </c>
      <c r="KB15" s="68">
        <f>COUNTIF(Builder!$K$24:$N$24,KA15)</f>
        <v>0</v>
      </c>
      <c r="KC15" s="68" t="str">
        <f>IF(KB15=1,Stats!$N30,"")</f>
        <v/>
      </c>
      <c r="KD15" s="68" t="str">
        <f>IF(KB15=1,Stats!$O30,"")</f>
        <v/>
      </c>
      <c r="KE15" s="68" t="str">
        <f>IF(KB15=1,Stats!$P30,"")</f>
        <v/>
      </c>
      <c r="KF15" s="68" t="str">
        <f>IF(KB15=1,Stats!$Q30,"")</f>
        <v/>
      </c>
      <c r="KG15" s="68" t="str">
        <f>IF(KB15=1,Stats!$R30,"")</f>
        <v/>
      </c>
      <c r="KH15" s="68" t="str">
        <f>IF(KB15=1,Stats!$S30,"")</f>
        <v/>
      </c>
      <c r="KI15" s="68">
        <f t="shared" si="114"/>
        <v>0</v>
      </c>
      <c r="KJ15">
        <f t="shared" si="115"/>
        <v>0</v>
      </c>
      <c r="KK15" s="68">
        <f>IF(KJ15=0,MAX(KK$2:KK14)+1,0)</f>
        <v>13</v>
      </c>
      <c r="KL15" s="5" t="str">
        <f t="shared" si="116"/>
        <v>Emerge</v>
      </c>
      <c r="KM15" s="5" t="str">
        <f t="shared" si="117"/>
        <v>Emerge</v>
      </c>
      <c r="KO15">
        <f t="shared" si="118"/>
        <v>13</v>
      </c>
      <c r="KP15" s="5" t="str">
        <f t="shared" si="119"/>
        <v>Emerge</v>
      </c>
      <c r="KQ15" s="68">
        <f>COUNTIF(Builder!$K$25:$N$25,KP15)</f>
        <v>0</v>
      </c>
      <c r="KR15" s="68" t="str">
        <f>IF(KQ15=1,Stats!$N30,"")</f>
        <v/>
      </c>
      <c r="KS15" s="68" t="str">
        <f>IF(KQ15=1,Stats!$O30,"")</f>
        <v/>
      </c>
      <c r="KT15" s="68" t="str">
        <f>IF(KQ15=1,Stats!$P30,"")</f>
        <v/>
      </c>
      <c r="KU15" s="68" t="str">
        <f>IF(KQ15=1,Stats!$Q30,"")</f>
        <v/>
      </c>
      <c r="KV15" s="68" t="str">
        <f>IF(KQ15=1,Stats!$R30,"")</f>
        <v/>
      </c>
      <c r="KW15" s="68" t="str">
        <f>IF(KQ15=1,Stats!$S30,"")</f>
        <v/>
      </c>
      <c r="KX15" s="68">
        <f t="shared" si="120"/>
        <v>0</v>
      </c>
      <c r="KY15">
        <f t="shared" si="121"/>
        <v>0</v>
      </c>
      <c r="KZ15" s="68">
        <f>IF(KY15=0,MAX(KZ$2:KZ14)+1,0)</f>
        <v>13</v>
      </c>
      <c r="LA15" s="5" t="str">
        <f t="shared" si="122"/>
        <v>Emerge</v>
      </c>
      <c r="LB15" s="5" t="str">
        <f t="shared" si="123"/>
        <v>Emerge</v>
      </c>
      <c r="LD15">
        <f t="shared" si="124"/>
        <v>13</v>
      </c>
      <c r="LE15" s="5" t="str">
        <f t="shared" si="125"/>
        <v>Emerge</v>
      </c>
      <c r="LF15" s="68">
        <f>COUNTIF(Builder!$K$26:$N$26,LE15)</f>
        <v>0</v>
      </c>
      <c r="LG15" s="68" t="str">
        <f>IF(LF15=1,Stats!$N30,"")</f>
        <v/>
      </c>
      <c r="LH15" s="68" t="str">
        <f>IF(LF15=1,Stats!$O30,"")</f>
        <v/>
      </c>
      <c r="LI15" s="68" t="str">
        <f>IF(LF15=1,Stats!$P30,"")</f>
        <v/>
      </c>
      <c r="LJ15" s="68" t="str">
        <f>IF(LF15=1,Stats!$Q30,"")</f>
        <v/>
      </c>
      <c r="LK15" s="68" t="str">
        <f>IF(LF15=1,Stats!$R30,"")</f>
        <v/>
      </c>
      <c r="LL15" s="68" t="str">
        <f>IF(LF15=1,Stats!$S30,"")</f>
        <v/>
      </c>
      <c r="LM15" s="68">
        <f t="shared" si="126"/>
        <v>0</v>
      </c>
      <c r="LN15">
        <f t="shared" si="127"/>
        <v>0</v>
      </c>
      <c r="LO15" s="68">
        <f>IF(LN15=0,MAX(LO$2:LO14)+1,0)</f>
        <v>13</v>
      </c>
      <c r="LP15" s="5" t="str">
        <f t="shared" si="128"/>
        <v>Emerge</v>
      </c>
      <c r="LQ15" s="5" t="str">
        <f t="shared" si="129"/>
        <v>Emerge</v>
      </c>
      <c r="LS15">
        <f t="shared" si="130"/>
        <v>13</v>
      </c>
      <c r="LT15" s="5" t="str">
        <f t="shared" si="131"/>
        <v>Emerge</v>
      </c>
      <c r="LU15" s="68">
        <f>COUNTIF(Builder!$K$27:$N$27,LT15)</f>
        <v>0</v>
      </c>
      <c r="LV15" s="68" t="str">
        <f>IF(LU15=1,Stats!$N30,"")</f>
        <v/>
      </c>
      <c r="LW15" s="68" t="str">
        <f>IF(LU15=1,Stats!$O30,"")</f>
        <v/>
      </c>
      <c r="LX15" s="68" t="str">
        <f>IF(LU15=1,Stats!$P30,"")</f>
        <v/>
      </c>
      <c r="LY15" s="68" t="str">
        <f>IF(LU15=1,Stats!$Q30,"")</f>
        <v/>
      </c>
      <c r="LZ15" s="68" t="str">
        <f>IF(LU15=1,Stats!$R30,"")</f>
        <v/>
      </c>
      <c r="MA15" s="68" t="str">
        <f>IF(LU15=1,Stats!$S30,"")</f>
        <v/>
      </c>
      <c r="MB15" s="68">
        <f t="shared" si="132"/>
        <v>0</v>
      </c>
      <c r="MC15">
        <f t="shared" si="133"/>
        <v>0</v>
      </c>
      <c r="MD15" s="68">
        <f>IF(MC15=0,MAX(MD$2:MD14)+1,0)</f>
        <v>13</v>
      </c>
      <c r="ME15" s="5" t="str">
        <f t="shared" si="134"/>
        <v>Emerge</v>
      </c>
      <c r="MF15" s="5" t="str">
        <f t="shared" si="135"/>
        <v>Emerge</v>
      </c>
      <c r="MH15">
        <f t="shared" si="136"/>
        <v>13</v>
      </c>
      <c r="MI15" s="5" t="str">
        <f t="shared" si="137"/>
        <v>Emerge</v>
      </c>
      <c r="MJ15" s="68">
        <f>COUNTIF(Builder!$K$28:$N$28,MI15)</f>
        <v>0</v>
      </c>
      <c r="MK15" s="68" t="str">
        <f>IF(MJ15=1,Stats!$N30,"")</f>
        <v/>
      </c>
      <c r="ML15" s="68" t="str">
        <f>IF(MJ15=1,Stats!$O30,"")</f>
        <v/>
      </c>
      <c r="MM15" s="68" t="str">
        <f>IF(MJ15=1,Stats!$P30,"")</f>
        <v/>
      </c>
      <c r="MN15" s="68" t="str">
        <f>IF(MJ15=1,Stats!$Q30,"")</f>
        <v/>
      </c>
      <c r="MO15" s="68" t="str">
        <f>IF(MJ15=1,Stats!$R30,"")</f>
        <v/>
      </c>
      <c r="MP15" s="68" t="str">
        <f>IF(MJ15=1,Stats!$S30,"")</f>
        <v/>
      </c>
      <c r="MQ15" s="68">
        <f t="shared" si="138"/>
        <v>0</v>
      </c>
      <c r="MR15">
        <f t="shared" si="139"/>
        <v>0</v>
      </c>
      <c r="MS15" s="68">
        <f>IF(MR15=0,MAX(MS$2:MS14)+1,0)</f>
        <v>13</v>
      </c>
      <c r="MT15" s="5" t="str">
        <f t="shared" si="140"/>
        <v>Emerge</v>
      </c>
      <c r="MU15" s="5" t="str">
        <f t="shared" si="141"/>
        <v>Emerge</v>
      </c>
      <c r="MW15">
        <f t="shared" si="142"/>
        <v>13</v>
      </c>
      <c r="MX15" s="5" t="str">
        <f t="shared" si="143"/>
        <v>Emerge</v>
      </c>
      <c r="MY15" s="68">
        <f>COUNTIF(Builder!$K$29:$N$29,MX15)</f>
        <v>0</v>
      </c>
      <c r="MZ15" s="68" t="str">
        <f>IF(MY15=1,Stats!$N30,"")</f>
        <v/>
      </c>
      <c r="NA15" s="68" t="str">
        <f>IF(MY15=1,Stats!$O30,"")</f>
        <v/>
      </c>
      <c r="NB15" s="68" t="str">
        <f>IF(MY15=1,Stats!$P30,"")</f>
        <v/>
      </c>
      <c r="NC15" s="68" t="str">
        <f>IF(MY15=1,Stats!$Q30,"")</f>
        <v/>
      </c>
      <c r="ND15" s="68" t="str">
        <f>IF(MY15=1,Stats!$R30,"")</f>
        <v/>
      </c>
      <c r="NE15" s="68" t="str">
        <f>IF(MY15=1,Stats!$S30,"")</f>
        <v/>
      </c>
      <c r="NF15" s="68">
        <f t="shared" si="144"/>
        <v>0</v>
      </c>
      <c r="NG15">
        <f t="shared" si="145"/>
        <v>0</v>
      </c>
      <c r="NH15" s="68">
        <f>IF(NG15=0,MAX(NH$2:NH14)+1,0)</f>
        <v>13</v>
      </c>
      <c r="NI15" s="5" t="str">
        <f t="shared" si="146"/>
        <v>Emerge</v>
      </c>
      <c r="NJ15" s="5" t="str">
        <f t="shared" si="147"/>
        <v>Emerge</v>
      </c>
    </row>
    <row r="16" spans="1:374" ht="15" x14ac:dyDescent="0.3">
      <c r="A16">
        <v>14</v>
      </c>
      <c r="B16" s="5" t="s">
        <v>83</v>
      </c>
      <c r="C16" s="68">
        <f>COUNTIF(Builder!$K$5:$N$5,B16)</f>
        <v>0</v>
      </c>
      <c r="D16" s="68" t="str">
        <f>IF(C16=1,Stats!$N31,"")</f>
        <v/>
      </c>
      <c r="E16" s="68" t="str">
        <f>IF(C16=1,Stats!$O31,"")</f>
        <v/>
      </c>
      <c r="F16" s="68" t="str">
        <f>IF(C16=1,Stats!$P31,"")</f>
        <v/>
      </c>
      <c r="G16" s="68" t="str">
        <f>IF(C16=1,Stats!$Q31,"")</f>
        <v/>
      </c>
      <c r="H16" s="68" t="str">
        <f>IF(C16=1,Stats!$R31,"")</f>
        <v/>
      </c>
      <c r="I16" s="68" t="str">
        <f>IF(C16=1,Stats!$S31,"")</f>
        <v/>
      </c>
      <c r="J16" s="68">
        <f t="shared" si="0"/>
        <v>0</v>
      </c>
      <c r="K16">
        <f t="shared" si="1"/>
        <v>0</v>
      </c>
      <c r="L16" s="68">
        <f>IF(K16=0,MAX($L$2:L15)+1,0)</f>
        <v>14</v>
      </c>
      <c r="M16" s="5" t="str">
        <f t="shared" si="2"/>
        <v>Ephemeral</v>
      </c>
      <c r="N16" s="5" t="str">
        <f t="shared" si="3"/>
        <v>Ephemeral</v>
      </c>
      <c r="O16" s="5"/>
      <c r="P16">
        <f t="shared" si="4"/>
        <v>14</v>
      </c>
      <c r="Q16" s="5" t="str">
        <f t="shared" si="5"/>
        <v>Ephemeral</v>
      </c>
      <c r="R16" s="68">
        <f>COUNTIF(Builder!$K$6:$N$6,Q16)</f>
        <v>0</v>
      </c>
      <c r="S16" s="68" t="str">
        <f>IF(R16=1,Stats!$N31,"")</f>
        <v/>
      </c>
      <c r="T16" s="68" t="str">
        <f>IF(R16=1,Stats!$O31,"")</f>
        <v/>
      </c>
      <c r="U16" s="68" t="str">
        <f>IF(R16=1,Stats!$P31,"")</f>
        <v/>
      </c>
      <c r="V16" s="68" t="str">
        <f>IF(R16=1,Stats!$Q31,"")</f>
        <v/>
      </c>
      <c r="W16" s="68" t="str">
        <f>IF(R16=1,Stats!$R31,"")</f>
        <v/>
      </c>
      <c r="X16" s="68" t="str">
        <f>IF(R16=1,Stats!$S31,"")</f>
        <v/>
      </c>
      <c r="Y16" s="68">
        <f t="shared" si="6"/>
        <v>0</v>
      </c>
      <c r="Z16">
        <f t="shared" si="7"/>
        <v>0</v>
      </c>
      <c r="AA16" s="68">
        <f>IF(Z16=0,MAX($AA$2:AA15)+1,0)</f>
        <v>14</v>
      </c>
      <c r="AB16" s="5" t="str">
        <f t="shared" si="8"/>
        <v>Ephemeral</v>
      </c>
      <c r="AC16" s="5" t="str">
        <f t="shared" si="9"/>
        <v>Ephemeral</v>
      </c>
      <c r="AD16" s="5"/>
      <c r="AE16">
        <f t="shared" si="10"/>
        <v>14</v>
      </c>
      <c r="AF16" s="5" t="str">
        <f t="shared" si="11"/>
        <v>Ephemeral</v>
      </c>
      <c r="AG16" s="68">
        <f>COUNTIF(Builder!$K$7:$N$7,AF16)</f>
        <v>0</v>
      </c>
      <c r="AH16" s="68" t="str">
        <f>IF(AG16=1,Stats!$N31,"")</f>
        <v/>
      </c>
      <c r="AI16" s="68" t="str">
        <f>IF(AG16=1,Stats!$O31,"")</f>
        <v/>
      </c>
      <c r="AJ16" s="68" t="str">
        <f>IF(AG16=1,Stats!$P31,"")</f>
        <v/>
      </c>
      <c r="AK16" s="68" t="str">
        <f>IF(AG16=1,Stats!$Q31,"")</f>
        <v/>
      </c>
      <c r="AL16" s="68" t="str">
        <f>IF(AG16=1,Stats!$R31,"")</f>
        <v/>
      </c>
      <c r="AM16" s="68" t="str">
        <f>IF(AG16=1,Stats!$S31,"")</f>
        <v/>
      </c>
      <c r="AN16" s="68">
        <f t="shared" si="12"/>
        <v>0</v>
      </c>
      <c r="AO16">
        <f t="shared" si="13"/>
        <v>0</v>
      </c>
      <c r="AP16" s="68">
        <f>IF(AO16=0,MAX($AP$2:AP15)+1,0)</f>
        <v>14</v>
      </c>
      <c r="AQ16" s="5" t="str">
        <f t="shared" si="14"/>
        <v>Ephemeral</v>
      </c>
      <c r="AR16" s="5" t="str">
        <f t="shared" si="15"/>
        <v>Ephemeral</v>
      </c>
      <c r="AS16" s="5"/>
      <c r="AT16">
        <f t="shared" si="16"/>
        <v>14</v>
      </c>
      <c r="AU16" s="5" t="str">
        <f t="shared" si="17"/>
        <v>Ephemeral</v>
      </c>
      <c r="AV16" s="68">
        <f>COUNTIF(Builder!$K$8:$N$8,AU16)</f>
        <v>0</v>
      </c>
      <c r="AW16" s="68" t="str">
        <f>IF(AV16=1,Stats!$N31,"")</f>
        <v/>
      </c>
      <c r="AX16" s="68" t="str">
        <f>IF(AV16=1,Stats!$O31,"")</f>
        <v/>
      </c>
      <c r="AY16" s="68" t="str">
        <f>IF(AV16=1,Stats!$P31,"")</f>
        <v/>
      </c>
      <c r="AZ16" s="68" t="str">
        <f>IF(AV16=1,Stats!$Q31,"")</f>
        <v/>
      </c>
      <c r="BA16" s="68" t="str">
        <f>IF(AV16=1,Stats!$R31,"")</f>
        <v/>
      </c>
      <c r="BB16" s="68" t="str">
        <f>IF(AV16=1,Stats!$S31,"")</f>
        <v/>
      </c>
      <c r="BC16" s="68">
        <f t="shared" si="18"/>
        <v>0</v>
      </c>
      <c r="BD16">
        <f t="shared" si="19"/>
        <v>0</v>
      </c>
      <c r="BE16" s="68">
        <f>IF(BD16=0,MAX($BE$2:BE15)+1,0)</f>
        <v>14</v>
      </c>
      <c r="BF16" s="5" t="str">
        <f t="shared" si="20"/>
        <v>Ephemeral</v>
      </c>
      <c r="BG16" s="5" t="str">
        <f t="shared" si="21"/>
        <v>Ephemeral</v>
      </c>
      <c r="BH16" s="5"/>
      <c r="BI16">
        <f t="shared" si="148"/>
        <v>14</v>
      </c>
      <c r="BJ16" s="5" t="str">
        <f t="shared" si="149"/>
        <v>Ephemeral</v>
      </c>
      <c r="BK16" s="68">
        <f>COUNTIF(Builder!$K$9:$N$9,BJ16)</f>
        <v>0</v>
      </c>
      <c r="BL16" s="68" t="str">
        <f>IF(BK16=1,Stats!$N31,"")</f>
        <v/>
      </c>
      <c r="BM16" s="68" t="str">
        <f>IF(BK16=1,Stats!$O31,"")</f>
        <v/>
      </c>
      <c r="BN16" s="68" t="str">
        <f>IF(BK16=1,Stats!$P31,"")</f>
        <v/>
      </c>
      <c r="BO16" s="68" t="str">
        <f>IF(BK16=1,Stats!$Q31,"")</f>
        <v/>
      </c>
      <c r="BP16" s="68" t="str">
        <f>IF(BK16=1,Stats!$R31,"")</f>
        <v/>
      </c>
      <c r="BQ16" s="68" t="str">
        <f>IF(BK16=1,Stats!$S31,"")</f>
        <v/>
      </c>
      <c r="BR16" s="68">
        <f t="shared" si="150"/>
        <v>0</v>
      </c>
      <c r="BS16">
        <f t="shared" si="151"/>
        <v>0</v>
      </c>
      <c r="BT16" s="68">
        <f>IF(BS16=0,MAX(BT$2:BT15)+1,0)</f>
        <v>14</v>
      </c>
      <c r="BU16" s="5" t="str">
        <f t="shared" si="152"/>
        <v>Ephemeral</v>
      </c>
      <c r="BV16" s="5" t="str">
        <f t="shared" si="27"/>
        <v>Ephemeral</v>
      </c>
      <c r="BX16">
        <f t="shared" si="153"/>
        <v>14</v>
      </c>
      <c r="BY16" s="5" t="str">
        <f t="shared" si="154"/>
        <v>Ephemeral</v>
      </c>
      <c r="BZ16" s="68">
        <f>COUNTIF(Builder!$K$10:$N$10,BY16)</f>
        <v>0</v>
      </c>
      <c r="CA16" s="68" t="str">
        <f>IF(BZ16=1,Stats!$N31,"")</f>
        <v/>
      </c>
      <c r="CB16" s="68" t="str">
        <f>IF(BZ16=1,Stats!$O31,"")</f>
        <v/>
      </c>
      <c r="CC16" s="68" t="str">
        <f>IF(BZ16=1,Stats!$P31,"")</f>
        <v/>
      </c>
      <c r="CD16" s="68" t="str">
        <f>IF(BZ16=1,Stats!$Q31,"")</f>
        <v/>
      </c>
      <c r="CE16" s="68" t="str">
        <f>IF(BZ16=1,Stats!$R31,"")</f>
        <v/>
      </c>
      <c r="CF16" s="68" t="str">
        <f>IF(BZ16=1,Stats!$S31,"")</f>
        <v/>
      </c>
      <c r="CG16" s="68">
        <f t="shared" si="155"/>
        <v>0</v>
      </c>
      <c r="CH16">
        <f t="shared" si="156"/>
        <v>0</v>
      </c>
      <c r="CI16" s="68">
        <f>IF(CH16=0,MAX(CI$2:CI15)+1,0)</f>
        <v>14</v>
      </c>
      <c r="CJ16" s="5" t="str">
        <f t="shared" si="157"/>
        <v>Ephemeral</v>
      </c>
      <c r="CK16" s="5" t="str">
        <f t="shared" si="33"/>
        <v>Ephemeral</v>
      </c>
      <c r="CM16">
        <f t="shared" si="34"/>
        <v>14</v>
      </c>
      <c r="CN16" s="5" t="str">
        <f t="shared" si="35"/>
        <v>Ephemeral</v>
      </c>
      <c r="CO16" s="68">
        <f>COUNTIF(Builder!$K$11:$N$11,CN16)</f>
        <v>0</v>
      </c>
      <c r="CP16" s="68" t="str">
        <f>IF(CO16=1,Stats!$N31,"")</f>
        <v/>
      </c>
      <c r="CQ16" s="68" t="str">
        <f>IF(CO16=1,Stats!$O31,"")</f>
        <v/>
      </c>
      <c r="CR16" s="68" t="str">
        <f>IF(CO16=1,Stats!$P31,"")</f>
        <v/>
      </c>
      <c r="CS16" s="68" t="str">
        <f>IF(CO16=1,Stats!$Q31,"")</f>
        <v/>
      </c>
      <c r="CT16" s="68" t="str">
        <f>IF(CO16=1,Stats!$R31,"")</f>
        <v/>
      </c>
      <c r="CU16" s="68" t="str">
        <f>IF(CO16=1,Stats!$S31,"")</f>
        <v/>
      </c>
      <c r="CV16" s="68">
        <f t="shared" si="36"/>
        <v>0</v>
      </c>
      <c r="CW16">
        <f t="shared" si="37"/>
        <v>0</v>
      </c>
      <c r="CX16" s="68">
        <f>IF(CW16=0,MAX(CX$2:CX15)+1,0)</f>
        <v>14</v>
      </c>
      <c r="CY16" s="5" t="str">
        <f t="shared" si="38"/>
        <v>Ephemeral</v>
      </c>
      <c r="CZ16" s="5" t="str">
        <f t="shared" si="39"/>
        <v>Ephemeral</v>
      </c>
      <c r="DB16">
        <f t="shared" si="158"/>
        <v>14</v>
      </c>
      <c r="DC16" s="5" t="str">
        <f t="shared" si="159"/>
        <v>Ephemeral</v>
      </c>
      <c r="DD16" s="68">
        <f>COUNTIF(Builder!$K$12:$N$12,DC16)</f>
        <v>0</v>
      </c>
      <c r="DE16" s="68" t="str">
        <f>IF(DD16=1,Stats!$N31,"")</f>
        <v/>
      </c>
      <c r="DF16" s="68" t="str">
        <f>IF(DD16=1,Stats!$O31,"")</f>
        <v/>
      </c>
      <c r="DG16" s="68" t="str">
        <f>IF(DD16=1,Stats!$P31,"")</f>
        <v/>
      </c>
      <c r="DH16" s="68" t="str">
        <f>IF(DD16=1,Stats!$Q31,"")</f>
        <v/>
      </c>
      <c r="DI16" s="68" t="str">
        <f>IF(DD16=1,Stats!$R31,"")</f>
        <v/>
      </c>
      <c r="DJ16" s="68" t="str">
        <f>IF(DD16=1,Stats!$S31,"")</f>
        <v/>
      </c>
      <c r="DK16" s="68">
        <f t="shared" si="160"/>
        <v>0</v>
      </c>
      <c r="DL16">
        <f t="shared" si="161"/>
        <v>0</v>
      </c>
      <c r="DM16" s="68">
        <f>IF(DL16=0,MAX(DM$2:DM15)+1,0)</f>
        <v>14</v>
      </c>
      <c r="DN16" s="5" t="str">
        <f t="shared" si="162"/>
        <v>Ephemeral</v>
      </c>
      <c r="DO16" s="5" t="str">
        <f t="shared" si="45"/>
        <v>Ephemeral</v>
      </c>
      <c r="DQ16">
        <f t="shared" si="163"/>
        <v>14</v>
      </c>
      <c r="DR16" s="5" t="str">
        <f t="shared" si="164"/>
        <v>Ephemeral</v>
      </c>
      <c r="DS16" s="68">
        <f>COUNTIF(Builder!$K$13:$N$13,DR16)</f>
        <v>0</v>
      </c>
      <c r="DT16" s="68" t="str">
        <f>IF(DS16=1,Stats!$N31,"")</f>
        <v/>
      </c>
      <c r="DU16" s="68" t="str">
        <f>IF(DS16=1,Stats!$O31,"")</f>
        <v/>
      </c>
      <c r="DV16" s="68" t="str">
        <f>IF(DS16=1,Stats!$P31,"")</f>
        <v/>
      </c>
      <c r="DW16" s="68" t="str">
        <f>IF(DS16=1,Stats!$Q31,"")</f>
        <v/>
      </c>
      <c r="DX16" s="68" t="str">
        <f>IF(DS16=1,Stats!$R31,"")</f>
        <v/>
      </c>
      <c r="DY16" s="68" t="str">
        <f>IF(DS16=1,Stats!$S31,"")</f>
        <v/>
      </c>
      <c r="DZ16" s="68">
        <f t="shared" si="165"/>
        <v>0</v>
      </c>
      <c r="EA16">
        <f t="shared" si="166"/>
        <v>0</v>
      </c>
      <c r="EB16" s="68">
        <f>IF(EA16=0,MAX(EB$2:EB15)+1,0)</f>
        <v>14</v>
      </c>
      <c r="EC16" s="5" t="str">
        <f t="shared" si="167"/>
        <v>Ephemeral</v>
      </c>
      <c r="ED16" s="5" t="str">
        <f t="shared" si="51"/>
        <v>Ephemeral</v>
      </c>
      <c r="EF16">
        <f t="shared" si="52"/>
        <v>14</v>
      </c>
      <c r="EG16" s="5" t="str">
        <f t="shared" si="53"/>
        <v>Ephemeral</v>
      </c>
      <c r="EH16" s="68">
        <f>COUNTIF(Builder!$K$14:$N$14,EG16)</f>
        <v>0</v>
      </c>
      <c r="EI16" s="68" t="str">
        <f>IF(EH16=1,Stats!$N31,"")</f>
        <v/>
      </c>
      <c r="EJ16" s="68" t="str">
        <f>IF(EH16=1,Stats!$O31,"")</f>
        <v/>
      </c>
      <c r="EK16" s="68" t="str">
        <f>IF(EH16=1,Stats!$P31,"")</f>
        <v/>
      </c>
      <c r="EL16" s="68" t="str">
        <f>IF(EH16=1,Stats!$Q31,"")</f>
        <v/>
      </c>
      <c r="EM16" s="68" t="str">
        <f>IF(EH16=1,Stats!$R31,"")</f>
        <v/>
      </c>
      <c r="EN16" s="68" t="str">
        <f>IF(EH16=1,Stats!$S31,"")</f>
        <v/>
      </c>
      <c r="EO16" s="68">
        <f t="shared" si="54"/>
        <v>0</v>
      </c>
      <c r="EP16">
        <f t="shared" si="55"/>
        <v>0</v>
      </c>
      <c r="EQ16" s="68">
        <f>IF(EP16=0,MAX(EQ$2:EQ15)+1,0)</f>
        <v>14</v>
      </c>
      <c r="ER16" s="5" t="str">
        <f t="shared" si="56"/>
        <v>Ephemeral</v>
      </c>
      <c r="ES16" s="5" t="str">
        <f t="shared" si="57"/>
        <v>Ephemeral</v>
      </c>
      <c r="EU16">
        <f t="shared" si="58"/>
        <v>14</v>
      </c>
      <c r="EV16" s="5" t="str">
        <f t="shared" si="59"/>
        <v>Ephemeral</v>
      </c>
      <c r="EW16" s="68">
        <f>COUNTIF(Builder!$K$15:$N$15,EV16)</f>
        <v>0</v>
      </c>
      <c r="EX16" s="68" t="str">
        <f>IF(EW16=1,Stats!$N31,"")</f>
        <v/>
      </c>
      <c r="EY16" s="68" t="str">
        <f>IF(EW16=1,Stats!$O31,"")</f>
        <v/>
      </c>
      <c r="EZ16" s="68" t="str">
        <f>IF(EW16=1,Stats!$P31,"")</f>
        <v/>
      </c>
      <c r="FA16" s="68" t="str">
        <f>IF(EW16=1,Stats!$Q31,"")</f>
        <v/>
      </c>
      <c r="FB16" s="68" t="str">
        <f>IF(EW16=1,Stats!$R31,"")</f>
        <v/>
      </c>
      <c r="FC16" s="68" t="str">
        <f>IF(EW16=1,Stats!$S31,"")</f>
        <v/>
      </c>
      <c r="FD16" s="68">
        <f t="shared" si="60"/>
        <v>0</v>
      </c>
      <c r="FE16">
        <f t="shared" si="61"/>
        <v>0</v>
      </c>
      <c r="FF16" s="68">
        <f>IF(FE16=0,MAX(FF$2:FF15)+1,0)</f>
        <v>14</v>
      </c>
      <c r="FG16" s="5" t="str">
        <f t="shared" si="62"/>
        <v>Ephemeral</v>
      </c>
      <c r="FH16" s="5" t="str">
        <f t="shared" si="63"/>
        <v>Ephemeral</v>
      </c>
      <c r="FJ16">
        <f t="shared" si="64"/>
        <v>14</v>
      </c>
      <c r="FK16" s="5" t="str">
        <f t="shared" si="65"/>
        <v>Ephemeral</v>
      </c>
      <c r="FL16" s="68">
        <f>COUNTIF(Builder!$K$16:$N$16,FK16)</f>
        <v>0</v>
      </c>
      <c r="FM16" s="68" t="str">
        <f>IF(FL16=1,Stats!$N31,"")</f>
        <v/>
      </c>
      <c r="FN16" s="68" t="str">
        <f>IF(FL16=1,Stats!$O31,"")</f>
        <v/>
      </c>
      <c r="FO16" s="68" t="str">
        <f>IF(FL16=1,Stats!$P31,"")</f>
        <v/>
      </c>
      <c r="FP16" s="68" t="str">
        <f>IF(FL16=1,Stats!$Q31,"")</f>
        <v/>
      </c>
      <c r="FQ16" s="68" t="str">
        <f>IF(FL16=1,Stats!$R31,"")</f>
        <v/>
      </c>
      <c r="FR16" s="68" t="str">
        <f>IF(FL16=1,Stats!$S31,"")</f>
        <v/>
      </c>
      <c r="FS16" s="68">
        <f t="shared" si="66"/>
        <v>0</v>
      </c>
      <c r="FT16">
        <f t="shared" si="67"/>
        <v>0</v>
      </c>
      <c r="FU16" s="68">
        <f>IF(FT16=0,MAX(FU$2:FU15)+1,0)</f>
        <v>14</v>
      </c>
      <c r="FV16" s="5" t="str">
        <f t="shared" si="68"/>
        <v>Ephemeral</v>
      </c>
      <c r="FW16" s="5" t="str">
        <f t="shared" si="69"/>
        <v>Ephemeral</v>
      </c>
      <c r="FY16">
        <f t="shared" si="168"/>
        <v>14</v>
      </c>
      <c r="FZ16" s="5" t="str">
        <f t="shared" si="169"/>
        <v>Ephemeral</v>
      </c>
      <c r="GA16" s="68">
        <f>COUNTIF(Builder!$K$17:$N$17,FZ16)</f>
        <v>0</v>
      </c>
      <c r="GB16" s="68" t="str">
        <f>IF(GA16=1,Stats!$N31,"")</f>
        <v/>
      </c>
      <c r="GC16" s="68" t="str">
        <f>IF(GA16=1,Stats!$O31,"")</f>
        <v/>
      </c>
      <c r="GD16" s="68" t="str">
        <f>IF(GA16=1,Stats!$P31,"")</f>
        <v/>
      </c>
      <c r="GE16" s="68" t="str">
        <f>IF(GA16=1,Stats!$Q31,"")</f>
        <v/>
      </c>
      <c r="GF16" s="68" t="str">
        <f>IF(GA16=1,Stats!$R31,"")</f>
        <v/>
      </c>
      <c r="GG16" s="68" t="str">
        <f>IF(GA16=1,Stats!$S31,"")</f>
        <v/>
      </c>
      <c r="GH16" s="68">
        <f t="shared" si="170"/>
        <v>0</v>
      </c>
      <c r="GI16">
        <f t="shared" si="171"/>
        <v>0</v>
      </c>
      <c r="GJ16" s="68">
        <f>IF(GI16=0,MAX(GJ$2:GJ15)+1,0)</f>
        <v>14</v>
      </c>
      <c r="GK16" s="5" t="str">
        <f t="shared" si="172"/>
        <v>Ephemeral</v>
      </c>
      <c r="GL16" s="5" t="str">
        <f t="shared" si="75"/>
        <v>Ephemeral</v>
      </c>
      <c r="GN16">
        <f t="shared" si="76"/>
        <v>14</v>
      </c>
      <c r="GO16" s="5" t="str">
        <f t="shared" si="77"/>
        <v>Ephemeral</v>
      </c>
      <c r="GP16" s="68">
        <f>COUNTIF(Builder!$K$18:$N$18,GO16)</f>
        <v>0</v>
      </c>
      <c r="GQ16" s="68" t="str">
        <f>IF(GP16=1,Stats!$N31,"")</f>
        <v/>
      </c>
      <c r="GR16" s="68" t="str">
        <f>IF(GP16=1,Stats!$O31,"")</f>
        <v/>
      </c>
      <c r="GS16" s="68" t="str">
        <f>IF(GP16=1,Stats!$P31,"")</f>
        <v/>
      </c>
      <c r="GT16" s="68" t="str">
        <f>IF(GP16=1,Stats!$Q31,"")</f>
        <v/>
      </c>
      <c r="GU16" s="68" t="str">
        <f>IF(GP16=1,Stats!$R31,"")</f>
        <v/>
      </c>
      <c r="GV16" s="68" t="str">
        <f>IF(GP16=1,Stats!$S31,"")</f>
        <v/>
      </c>
      <c r="GW16" s="68">
        <f t="shared" si="78"/>
        <v>0</v>
      </c>
      <c r="GX16">
        <f t="shared" si="79"/>
        <v>0</v>
      </c>
      <c r="GY16" s="68">
        <f>IF(GX16=0,MAX(GY$2:GY15)+1,0)</f>
        <v>14</v>
      </c>
      <c r="GZ16" s="5" t="str">
        <f t="shared" si="80"/>
        <v>Ephemeral</v>
      </c>
      <c r="HA16" s="5" t="str">
        <f t="shared" si="81"/>
        <v>Ephemeral</v>
      </c>
      <c r="HC16">
        <f t="shared" si="82"/>
        <v>14</v>
      </c>
      <c r="HD16" s="5" t="str">
        <f t="shared" si="83"/>
        <v>Ephemeral</v>
      </c>
      <c r="HE16" s="68">
        <f>COUNTIF(Builder!$K$19:$N$19,HD16)</f>
        <v>0</v>
      </c>
      <c r="HF16" s="68" t="str">
        <f>IF(HE16=1,Stats!$N31,"")</f>
        <v/>
      </c>
      <c r="HG16" s="68" t="str">
        <f>IF(HE16=1,Stats!$O31,"")</f>
        <v/>
      </c>
      <c r="HH16" s="68" t="str">
        <f>IF(HE16=1,Stats!$P31,"")</f>
        <v/>
      </c>
      <c r="HI16" s="68" t="str">
        <f>IF(HE16=1,Stats!$Q31,"")</f>
        <v/>
      </c>
      <c r="HJ16" s="68" t="str">
        <f>IF(HE16=1,Stats!$R31,"")</f>
        <v/>
      </c>
      <c r="HK16" s="68" t="str">
        <f>IF(HE16=1,Stats!$S31,"")</f>
        <v/>
      </c>
      <c r="HL16" s="68">
        <f t="shared" si="84"/>
        <v>0</v>
      </c>
      <c r="HM16">
        <f t="shared" si="85"/>
        <v>0</v>
      </c>
      <c r="HN16" s="68">
        <f>IF(HM16=0,MAX(HN$2:HN15)+1,0)</f>
        <v>14</v>
      </c>
      <c r="HO16" s="5" t="str">
        <f t="shared" si="86"/>
        <v>Ephemeral</v>
      </c>
      <c r="HP16" s="5" t="str">
        <f t="shared" si="87"/>
        <v>Ephemeral</v>
      </c>
      <c r="HR16">
        <f t="shared" si="88"/>
        <v>14</v>
      </c>
      <c r="HS16" s="5" t="str">
        <f t="shared" si="89"/>
        <v>Ephemeral</v>
      </c>
      <c r="HT16" s="68">
        <f>COUNTIF(Builder!$K$20:$N$20,HS16)</f>
        <v>0</v>
      </c>
      <c r="HU16" s="68" t="str">
        <f>IF(HT16=1,Stats!$N31,"")</f>
        <v/>
      </c>
      <c r="HV16" s="68" t="str">
        <f>IF(HT16=1,Stats!$O31,"")</f>
        <v/>
      </c>
      <c r="HW16" s="68" t="str">
        <f>IF(HT16=1,Stats!$P31,"")</f>
        <v/>
      </c>
      <c r="HX16" s="68" t="str">
        <f>IF(HT16=1,Stats!$Q31,"")</f>
        <v/>
      </c>
      <c r="HY16" s="68" t="str">
        <f>IF(HT16=1,Stats!$R31,"")</f>
        <v/>
      </c>
      <c r="HZ16" s="68" t="str">
        <f>IF(HT16=1,Stats!$S31,"")</f>
        <v/>
      </c>
      <c r="IA16" s="68">
        <f t="shared" si="90"/>
        <v>0</v>
      </c>
      <c r="IB16">
        <f t="shared" si="91"/>
        <v>0</v>
      </c>
      <c r="IC16" s="68">
        <f>IF(IB16=0,MAX(IC$2:IC15)+1,0)</f>
        <v>14</v>
      </c>
      <c r="ID16" s="5" t="str">
        <f t="shared" si="92"/>
        <v>Ephemeral</v>
      </c>
      <c r="IE16" s="5" t="str">
        <f t="shared" si="93"/>
        <v>Ephemeral</v>
      </c>
      <c r="IG16">
        <f t="shared" si="94"/>
        <v>14</v>
      </c>
      <c r="IH16" s="5" t="str">
        <f t="shared" si="95"/>
        <v>Ephemeral</v>
      </c>
      <c r="II16" s="68">
        <f>COUNTIF(Builder!$K$21:$N$21,IH16)</f>
        <v>0</v>
      </c>
      <c r="IJ16" s="68" t="str">
        <f>IF(II16=1,Stats!$N31,"")</f>
        <v/>
      </c>
      <c r="IK16" s="68" t="str">
        <f>IF(II16=1,Stats!$O31,"")</f>
        <v/>
      </c>
      <c r="IL16" s="68" t="str">
        <f>IF(II16=1,Stats!$P31,"")</f>
        <v/>
      </c>
      <c r="IM16" s="68" t="str">
        <f>IF(II16=1,Stats!$Q31,"")</f>
        <v/>
      </c>
      <c r="IN16" s="68" t="str">
        <f>IF(II16=1,Stats!$R31,"")</f>
        <v/>
      </c>
      <c r="IO16" s="68" t="str">
        <f>IF(II16=1,Stats!$S31,"")</f>
        <v/>
      </c>
      <c r="IP16" s="68">
        <f t="shared" si="96"/>
        <v>0</v>
      </c>
      <c r="IQ16">
        <f t="shared" si="97"/>
        <v>0</v>
      </c>
      <c r="IR16" s="68">
        <f>IF(IQ16=0,MAX(IR$2:IR15)+1,0)</f>
        <v>14</v>
      </c>
      <c r="IS16" s="5" t="str">
        <f t="shared" si="98"/>
        <v>Ephemeral</v>
      </c>
      <c r="IT16" s="5" t="str">
        <f t="shared" si="99"/>
        <v>Ephemeral</v>
      </c>
      <c r="IV16">
        <f t="shared" si="100"/>
        <v>14</v>
      </c>
      <c r="IW16" s="5" t="str">
        <f t="shared" si="101"/>
        <v>Ephemeral</v>
      </c>
      <c r="IX16" s="68">
        <f>COUNTIF(Builder!$K$22:$N$22,IW16)</f>
        <v>0</v>
      </c>
      <c r="IY16" s="68" t="str">
        <f>IF(IX16=1,Stats!$N31,"")</f>
        <v/>
      </c>
      <c r="IZ16" s="68" t="str">
        <f>IF(IX16=1,Stats!$O31,"")</f>
        <v/>
      </c>
      <c r="JA16" s="68" t="str">
        <f>IF(IX16=1,Stats!$P31,"")</f>
        <v/>
      </c>
      <c r="JB16" s="68" t="str">
        <f>IF(IX16=1,Stats!$Q31,"")</f>
        <v/>
      </c>
      <c r="JC16" s="68" t="str">
        <f>IF(IX16=1,Stats!$R31,"")</f>
        <v/>
      </c>
      <c r="JD16" s="68" t="str">
        <f>IF(IX16=1,Stats!$S31,"")</f>
        <v/>
      </c>
      <c r="JE16" s="68">
        <f t="shared" si="102"/>
        <v>0</v>
      </c>
      <c r="JF16">
        <f t="shared" si="103"/>
        <v>0</v>
      </c>
      <c r="JG16" s="68">
        <f>IF(JF16=0,MAX(JG$2:JG15)+1,0)</f>
        <v>14</v>
      </c>
      <c r="JH16" s="5" t="str">
        <f t="shared" si="104"/>
        <v>Ephemeral</v>
      </c>
      <c r="JI16" s="5" t="str">
        <f t="shared" si="105"/>
        <v>Ephemeral</v>
      </c>
      <c r="JK16">
        <f t="shared" si="106"/>
        <v>14</v>
      </c>
      <c r="JL16" s="5" t="str">
        <f t="shared" si="107"/>
        <v>Ephemeral</v>
      </c>
      <c r="JM16" s="68">
        <f>COUNTIF(Builder!$K$23:$N$23,JL16)</f>
        <v>0</v>
      </c>
      <c r="JN16" s="68" t="str">
        <f>IF(JM16=1,Stats!$N31,"")</f>
        <v/>
      </c>
      <c r="JO16" s="68" t="str">
        <f>IF(JM16=1,Stats!$O31,"")</f>
        <v/>
      </c>
      <c r="JP16" s="68" t="str">
        <f>IF(JM16=1,Stats!$P31,"")</f>
        <v/>
      </c>
      <c r="JQ16" s="68" t="str">
        <f>IF(JM16=1,Stats!$Q31,"")</f>
        <v/>
      </c>
      <c r="JR16" s="68" t="str">
        <f>IF(JM16=1,Stats!$R31,"")</f>
        <v/>
      </c>
      <c r="JS16" s="68" t="str">
        <f>IF(JM16=1,Stats!$S31,"")</f>
        <v/>
      </c>
      <c r="JT16" s="68">
        <f t="shared" si="108"/>
        <v>0</v>
      </c>
      <c r="JU16">
        <f t="shared" si="109"/>
        <v>0</v>
      </c>
      <c r="JV16" s="68">
        <f>IF(JU16=0,MAX(JV$2:JV15)+1,0)</f>
        <v>14</v>
      </c>
      <c r="JW16" s="5" t="str">
        <f t="shared" si="110"/>
        <v>Ephemeral</v>
      </c>
      <c r="JX16" s="5" t="str">
        <f t="shared" si="111"/>
        <v>Ephemeral</v>
      </c>
      <c r="JZ16">
        <f t="shared" si="112"/>
        <v>14</v>
      </c>
      <c r="KA16" s="5" t="str">
        <f t="shared" si="113"/>
        <v>Ephemeral</v>
      </c>
      <c r="KB16" s="68">
        <f>COUNTIF(Builder!$K$24:$N$24,KA16)</f>
        <v>0</v>
      </c>
      <c r="KC16" s="68" t="str">
        <f>IF(KB16=1,Stats!$N31,"")</f>
        <v/>
      </c>
      <c r="KD16" s="68" t="str">
        <f>IF(KB16=1,Stats!$O31,"")</f>
        <v/>
      </c>
      <c r="KE16" s="68" t="str">
        <f>IF(KB16=1,Stats!$P31,"")</f>
        <v/>
      </c>
      <c r="KF16" s="68" t="str">
        <f>IF(KB16=1,Stats!$Q31,"")</f>
        <v/>
      </c>
      <c r="KG16" s="68" t="str">
        <f>IF(KB16=1,Stats!$R31,"")</f>
        <v/>
      </c>
      <c r="KH16" s="68" t="str">
        <f>IF(KB16=1,Stats!$S31,"")</f>
        <v/>
      </c>
      <c r="KI16" s="68">
        <f t="shared" si="114"/>
        <v>0</v>
      </c>
      <c r="KJ16">
        <f t="shared" si="115"/>
        <v>0</v>
      </c>
      <c r="KK16" s="68">
        <f>IF(KJ16=0,MAX(KK$2:KK15)+1,0)</f>
        <v>14</v>
      </c>
      <c r="KL16" s="5" t="str">
        <f t="shared" si="116"/>
        <v>Ephemeral</v>
      </c>
      <c r="KM16" s="5" t="str">
        <f t="shared" si="117"/>
        <v>Ephemeral</v>
      </c>
      <c r="KO16">
        <f t="shared" si="118"/>
        <v>14</v>
      </c>
      <c r="KP16" s="5" t="str">
        <f t="shared" si="119"/>
        <v>Ephemeral</v>
      </c>
      <c r="KQ16" s="68">
        <f>COUNTIF(Builder!$K$25:$N$25,KP16)</f>
        <v>0</v>
      </c>
      <c r="KR16" s="68" t="str">
        <f>IF(KQ16=1,Stats!$N31,"")</f>
        <v/>
      </c>
      <c r="KS16" s="68" t="str">
        <f>IF(KQ16=1,Stats!$O31,"")</f>
        <v/>
      </c>
      <c r="KT16" s="68" t="str">
        <f>IF(KQ16=1,Stats!$P31,"")</f>
        <v/>
      </c>
      <c r="KU16" s="68" t="str">
        <f>IF(KQ16=1,Stats!$Q31,"")</f>
        <v/>
      </c>
      <c r="KV16" s="68" t="str">
        <f>IF(KQ16=1,Stats!$R31,"")</f>
        <v/>
      </c>
      <c r="KW16" s="68" t="str">
        <f>IF(KQ16=1,Stats!$S31,"")</f>
        <v/>
      </c>
      <c r="KX16" s="68">
        <f t="shared" si="120"/>
        <v>0</v>
      </c>
      <c r="KY16">
        <f t="shared" si="121"/>
        <v>0</v>
      </c>
      <c r="KZ16" s="68">
        <f>IF(KY16=0,MAX(KZ$2:KZ15)+1,0)</f>
        <v>14</v>
      </c>
      <c r="LA16" s="5" t="str">
        <f t="shared" si="122"/>
        <v>Ephemeral</v>
      </c>
      <c r="LB16" s="5" t="str">
        <f t="shared" si="123"/>
        <v>Ephemeral</v>
      </c>
      <c r="LD16">
        <f t="shared" si="124"/>
        <v>14</v>
      </c>
      <c r="LE16" s="5" t="str">
        <f t="shared" si="125"/>
        <v>Ephemeral</v>
      </c>
      <c r="LF16" s="68">
        <f>COUNTIF(Builder!$K$26:$N$26,LE16)</f>
        <v>0</v>
      </c>
      <c r="LG16" s="68" t="str">
        <f>IF(LF16=1,Stats!$N31,"")</f>
        <v/>
      </c>
      <c r="LH16" s="68" t="str">
        <f>IF(LF16=1,Stats!$O31,"")</f>
        <v/>
      </c>
      <c r="LI16" s="68" t="str">
        <f>IF(LF16=1,Stats!$P31,"")</f>
        <v/>
      </c>
      <c r="LJ16" s="68" t="str">
        <f>IF(LF16=1,Stats!$Q31,"")</f>
        <v/>
      </c>
      <c r="LK16" s="68" t="str">
        <f>IF(LF16=1,Stats!$R31,"")</f>
        <v/>
      </c>
      <c r="LL16" s="68" t="str">
        <f>IF(LF16=1,Stats!$S31,"")</f>
        <v/>
      </c>
      <c r="LM16" s="68">
        <f t="shared" si="126"/>
        <v>0</v>
      </c>
      <c r="LN16">
        <f t="shared" si="127"/>
        <v>0</v>
      </c>
      <c r="LO16" s="68">
        <f>IF(LN16=0,MAX(LO$2:LO15)+1,0)</f>
        <v>14</v>
      </c>
      <c r="LP16" s="5" t="str">
        <f t="shared" si="128"/>
        <v>Ephemeral</v>
      </c>
      <c r="LQ16" s="5" t="str">
        <f t="shared" si="129"/>
        <v>Ephemeral</v>
      </c>
      <c r="LS16">
        <f t="shared" si="130"/>
        <v>14</v>
      </c>
      <c r="LT16" s="5" t="str">
        <f t="shared" si="131"/>
        <v>Ephemeral</v>
      </c>
      <c r="LU16" s="68">
        <f>COUNTIF(Builder!$K$27:$N$27,LT16)</f>
        <v>0</v>
      </c>
      <c r="LV16" s="68" t="str">
        <f>IF(LU16=1,Stats!$N31,"")</f>
        <v/>
      </c>
      <c r="LW16" s="68" t="str">
        <f>IF(LU16=1,Stats!$O31,"")</f>
        <v/>
      </c>
      <c r="LX16" s="68" t="str">
        <f>IF(LU16=1,Stats!$P31,"")</f>
        <v/>
      </c>
      <c r="LY16" s="68" t="str">
        <f>IF(LU16=1,Stats!$Q31,"")</f>
        <v/>
      </c>
      <c r="LZ16" s="68" t="str">
        <f>IF(LU16=1,Stats!$R31,"")</f>
        <v/>
      </c>
      <c r="MA16" s="68" t="str">
        <f>IF(LU16=1,Stats!$S31,"")</f>
        <v/>
      </c>
      <c r="MB16" s="68">
        <f t="shared" si="132"/>
        <v>0</v>
      </c>
      <c r="MC16">
        <f t="shared" si="133"/>
        <v>0</v>
      </c>
      <c r="MD16" s="68">
        <f>IF(MC16=0,MAX(MD$2:MD15)+1,0)</f>
        <v>14</v>
      </c>
      <c r="ME16" s="5" t="str">
        <f t="shared" si="134"/>
        <v>Ephemeral</v>
      </c>
      <c r="MF16" s="5" t="str">
        <f t="shared" si="135"/>
        <v>Ephemeral</v>
      </c>
      <c r="MH16">
        <f t="shared" si="136"/>
        <v>14</v>
      </c>
      <c r="MI16" s="5" t="str">
        <f t="shared" si="137"/>
        <v>Ephemeral</v>
      </c>
      <c r="MJ16" s="68">
        <f>COUNTIF(Builder!$K$28:$N$28,MI16)</f>
        <v>0</v>
      </c>
      <c r="MK16" s="68" t="str">
        <f>IF(MJ16=1,Stats!$N31,"")</f>
        <v/>
      </c>
      <c r="ML16" s="68" t="str">
        <f>IF(MJ16=1,Stats!$O31,"")</f>
        <v/>
      </c>
      <c r="MM16" s="68" t="str">
        <f>IF(MJ16=1,Stats!$P31,"")</f>
        <v/>
      </c>
      <c r="MN16" s="68" t="str">
        <f>IF(MJ16=1,Stats!$Q31,"")</f>
        <v/>
      </c>
      <c r="MO16" s="68" t="str">
        <f>IF(MJ16=1,Stats!$R31,"")</f>
        <v/>
      </c>
      <c r="MP16" s="68" t="str">
        <f>IF(MJ16=1,Stats!$S31,"")</f>
        <v/>
      </c>
      <c r="MQ16" s="68">
        <f t="shared" si="138"/>
        <v>0</v>
      </c>
      <c r="MR16">
        <f t="shared" si="139"/>
        <v>0</v>
      </c>
      <c r="MS16" s="68">
        <f>IF(MR16=0,MAX(MS$2:MS15)+1,0)</f>
        <v>14</v>
      </c>
      <c r="MT16" s="5" t="str">
        <f t="shared" si="140"/>
        <v>Ephemeral</v>
      </c>
      <c r="MU16" s="5" t="str">
        <f t="shared" si="141"/>
        <v>Ephemeral</v>
      </c>
      <c r="MW16">
        <f t="shared" si="142"/>
        <v>14</v>
      </c>
      <c r="MX16" s="5" t="str">
        <f t="shared" si="143"/>
        <v>Ephemeral</v>
      </c>
      <c r="MY16" s="68">
        <f>COUNTIF(Builder!$K$29:$N$29,MX16)</f>
        <v>0</v>
      </c>
      <c r="MZ16" s="68" t="str">
        <f>IF(MY16=1,Stats!$N31,"")</f>
        <v/>
      </c>
      <c r="NA16" s="68" t="str">
        <f>IF(MY16=1,Stats!$O31,"")</f>
        <v/>
      </c>
      <c r="NB16" s="68" t="str">
        <f>IF(MY16=1,Stats!$P31,"")</f>
        <v/>
      </c>
      <c r="NC16" s="68" t="str">
        <f>IF(MY16=1,Stats!$Q31,"")</f>
        <v/>
      </c>
      <c r="ND16" s="68" t="str">
        <f>IF(MY16=1,Stats!$R31,"")</f>
        <v/>
      </c>
      <c r="NE16" s="68" t="str">
        <f>IF(MY16=1,Stats!$S31,"")</f>
        <v/>
      </c>
      <c r="NF16" s="68">
        <f t="shared" si="144"/>
        <v>0</v>
      </c>
      <c r="NG16">
        <f t="shared" si="145"/>
        <v>0</v>
      </c>
      <c r="NH16" s="68">
        <f>IF(NG16=0,MAX(NH$2:NH15)+1,0)</f>
        <v>14</v>
      </c>
      <c r="NI16" s="5" t="str">
        <f t="shared" si="146"/>
        <v>Ephemeral</v>
      </c>
      <c r="NJ16" s="5" t="str">
        <f t="shared" si="147"/>
        <v>Ephemeral</v>
      </c>
    </row>
    <row r="17" spans="1:374" ht="15" x14ac:dyDescent="0.3">
      <c r="A17">
        <v>15</v>
      </c>
      <c r="B17" s="5" t="s">
        <v>27</v>
      </c>
      <c r="C17" s="68">
        <f>COUNTIF(Builder!$K$5:$N$5,B17)</f>
        <v>0</v>
      </c>
      <c r="D17" s="68" t="str">
        <f>IF(C17=1,Stats!$N32,"")</f>
        <v/>
      </c>
      <c r="E17" s="68" t="str">
        <f>IF(C17=1,Stats!$O32,"")</f>
        <v/>
      </c>
      <c r="F17" s="68" t="str">
        <f>IF(C17=1,Stats!$P32,"")</f>
        <v/>
      </c>
      <c r="G17" s="68" t="str">
        <f>IF(C17=1,Stats!$Q32,"")</f>
        <v/>
      </c>
      <c r="H17" s="68" t="str">
        <f>IF(C17=1,Stats!$R32,"")</f>
        <v/>
      </c>
      <c r="I17" s="68" t="str">
        <f>IF(C17=1,Stats!$S32,"")</f>
        <v/>
      </c>
      <c r="J17" s="68">
        <f t="shared" si="0"/>
        <v>0</v>
      </c>
      <c r="K17">
        <f t="shared" si="1"/>
        <v>0</v>
      </c>
      <c r="L17" s="68">
        <f>IF(K17=0,MAX($L$2:L16)+1,0)</f>
        <v>15</v>
      </c>
      <c r="M17" s="5" t="str">
        <f t="shared" si="2"/>
        <v>Expendable</v>
      </c>
      <c r="N17" s="5" t="str">
        <f t="shared" si="3"/>
        <v>Expendable</v>
      </c>
      <c r="O17" s="5"/>
      <c r="P17">
        <f t="shared" si="4"/>
        <v>15</v>
      </c>
      <c r="Q17" s="5" t="str">
        <f t="shared" si="5"/>
        <v>Expendable</v>
      </c>
      <c r="R17" s="68">
        <f>COUNTIF(Builder!$K$6:$N$6,Q17)</f>
        <v>0</v>
      </c>
      <c r="S17" s="68" t="str">
        <f>IF(R17=1,Stats!$N32,"")</f>
        <v/>
      </c>
      <c r="T17" s="68" t="str">
        <f>IF(R17=1,Stats!$O32,"")</f>
        <v/>
      </c>
      <c r="U17" s="68" t="str">
        <f>IF(R17=1,Stats!$P32,"")</f>
        <v/>
      </c>
      <c r="V17" s="68" t="str">
        <f>IF(R17=1,Stats!$Q32,"")</f>
        <v/>
      </c>
      <c r="W17" s="68" t="str">
        <f>IF(R17=1,Stats!$R32,"")</f>
        <v/>
      </c>
      <c r="X17" s="68" t="str">
        <f>IF(R17=1,Stats!$S32,"")</f>
        <v/>
      </c>
      <c r="Y17" s="68">
        <f t="shared" si="6"/>
        <v>0</v>
      </c>
      <c r="Z17">
        <f t="shared" si="7"/>
        <v>0</v>
      </c>
      <c r="AA17" s="68">
        <f>IF(Z17=0,MAX($AA$2:AA16)+1,0)</f>
        <v>15</v>
      </c>
      <c r="AB17" s="5" t="str">
        <f t="shared" si="8"/>
        <v>Expendable</v>
      </c>
      <c r="AC17" s="5" t="str">
        <f t="shared" si="9"/>
        <v>Expendable</v>
      </c>
      <c r="AD17" s="5"/>
      <c r="AE17">
        <f t="shared" si="10"/>
        <v>15</v>
      </c>
      <c r="AF17" s="5" t="str">
        <f t="shared" si="11"/>
        <v>Expendable</v>
      </c>
      <c r="AG17" s="68">
        <f>COUNTIF(Builder!$K$7:$N$7,AF17)</f>
        <v>0</v>
      </c>
      <c r="AH17" s="68" t="str">
        <f>IF(AG17=1,Stats!$N32,"")</f>
        <v/>
      </c>
      <c r="AI17" s="68" t="str">
        <f>IF(AG17=1,Stats!$O32,"")</f>
        <v/>
      </c>
      <c r="AJ17" s="68" t="str">
        <f>IF(AG17=1,Stats!$P32,"")</f>
        <v/>
      </c>
      <c r="AK17" s="68" t="str">
        <f>IF(AG17=1,Stats!$Q32,"")</f>
        <v/>
      </c>
      <c r="AL17" s="68" t="str">
        <f>IF(AG17=1,Stats!$R32,"")</f>
        <v/>
      </c>
      <c r="AM17" s="68" t="str">
        <f>IF(AG17=1,Stats!$S32,"")</f>
        <v/>
      </c>
      <c r="AN17" s="68">
        <f t="shared" si="12"/>
        <v>0</v>
      </c>
      <c r="AO17">
        <f t="shared" si="13"/>
        <v>0</v>
      </c>
      <c r="AP17" s="68">
        <f>IF(AO17=0,MAX($AP$2:AP16)+1,0)</f>
        <v>15</v>
      </c>
      <c r="AQ17" s="5" t="str">
        <f t="shared" si="14"/>
        <v>Expendable</v>
      </c>
      <c r="AR17" s="5" t="str">
        <f t="shared" si="15"/>
        <v>Expendable</v>
      </c>
      <c r="AS17" s="5"/>
      <c r="AT17">
        <f t="shared" si="16"/>
        <v>15</v>
      </c>
      <c r="AU17" s="5" t="str">
        <f t="shared" si="17"/>
        <v>Expendable</v>
      </c>
      <c r="AV17" s="68">
        <f>COUNTIF(Builder!$K$8:$N$8,AU17)</f>
        <v>0</v>
      </c>
      <c r="AW17" s="68" t="str">
        <f>IF(AV17=1,Stats!$N32,"")</f>
        <v/>
      </c>
      <c r="AX17" s="68" t="str">
        <f>IF(AV17=1,Stats!$O32,"")</f>
        <v/>
      </c>
      <c r="AY17" s="68" t="str">
        <f>IF(AV17=1,Stats!$P32,"")</f>
        <v/>
      </c>
      <c r="AZ17" s="68" t="str">
        <f>IF(AV17=1,Stats!$Q32,"")</f>
        <v/>
      </c>
      <c r="BA17" s="68" t="str">
        <f>IF(AV17=1,Stats!$R32,"")</f>
        <v/>
      </c>
      <c r="BB17" s="68" t="str">
        <f>IF(AV17=1,Stats!$S32,"")</f>
        <v/>
      </c>
      <c r="BC17" s="68">
        <f t="shared" si="18"/>
        <v>0</v>
      </c>
      <c r="BD17">
        <f t="shared" si="19"/>
        <v>0</v>
      </c>
      <c r="BE17" s="68">
        <f>IF(BD17=0,MAX($BE$2:BE16)+1,0)</f>
        <v>15</v>
      </c>
      <c r="BF17" s="5" t="str">
        <f t="shared" si="20"/>
        <v>Expendable</v>
      </c>
      <c r="BG17" s="5" t="str">
        <f t="shared" si="21"/>
        <v>Expendable</v>
      </c>
      <c r="BH17" s="5"/>
      <c r="BI17">
        <f t="shared" si="148"/>
        <v>15</v>
      </c>
      <c r="BJ17" s="5" t="str">
        <f t="shared" si="149"/>
        <v>Expendable</v>
      </c>
      <c r="BK17" s="68">
        <f>COUNTIF(Builder!$K$9:$N$9,BJ17)</f>
        <v>0</v>
      </c>
      <c r="BL17" s="68" t="str">
        <f>IF(BK17=1,Stats!$N32,"")</f>
        <v/>
      </c>
      <c r="BM17" s="68" t="str">
        <f>IF(BK17=1,Stats!$O32,"")</f>
        <v/>
      </c>
      <c r="BN17" s="68" t="str">
        <f>IF(BK17=1,Stats!$P32,"")</f>
        <v/>
      </c>
      <c r="BO17" s="68" t="str">
        <f>IF(BK17=1,Stats!$Q32,"")</f>
        <v/>
      </c>
      <c r="BP17" s="68" t="str">
        <f>IF(BK17=1,Stats!$R32,"")</f>
        <v/>
      </c>
      <c r="BQ17" s="68" t="str">
        <f>IF(BK17=1,Stats!$S32,"")</f>
        <v/>
      </c>
      <c r="BR17" s="68">
        <f t="shared" si="150"/>
        <v>0</v>
      </c>
      <c r="BS17">
        <f t="shared" si="151"/>
        <v>0</v>
      </c>
      <c r="BT17" s="68">
        <f>IF(BS17=0,MAX(BT$2:BT16)+1,0)</f>
        <v>15</v>
      </c>
      <c r="BU17" s="5" t="str">
        <f t="shared" si="152"/>
        <v>Expendable</v>
      </c>
      <c r="BV17" s="5" t="str">
        <f t="shared" si="27"/>
        <v>Expendable</v>
      </c>
      <c r="BX17">
        <f t="shared" si="153"/>
        <v>15</v>
      </c>
      <c r="BY17" s="5" t="str">
        <f t="shared" si="154"/>
        <v>Expendable</v>
      </c>
      <c r="BZ17" s="68">
        <f>COUNTIF(Builder!$K$10:$N$10,BY17)</f>
        <v>0</v>
      </c>
      <c r="CA17" s="68" t="str">
        <f>IF(BZ17=1,Stats!$N32,"")</f>
        <v/>
      </c>
      <c r="CB17" s="68" t="str">
        <f>IF(BZ17=1,Stats!$O32,"")</f>
        <v/>
      </c>
      <c r="CC17" s="68" t="str">
        <f>IF(BZ17=1,Stats!$P32,"")</f>
        <v/>
      </c>
      <c r="CD17" s="68" t="str">
        <f>IF(BZ17=1,Stats!$Q32,"")</f>
        <v/>
      </c>
      <c r="CE17" s="68" t="str">
        <f>IF(BZ17=1,Stats!$R32,"")</f>
        <v/>
      </c>
      <c r="CF17" s="68" t="str">
        <f>IF(BZ17=1,Stats!$S32,"")</f>
        <v/>
      </c>
      <c r="CG17" s="68">
        <f t="shared" si="155"/>
        <v>0</v>
      </c>
      <c r="CH17">
        <f t="shared" si="156"/>
        <v>0</v>
      </c>
      <c r="CI17" s="68">
        <f>IF(CH17=0,MAX(CI$2:CI16)+1,0)</f>
        <v>15</v>
      </c>
      <c r="CJ17" s="5" t="str">
        <f t="shared" si="157"/>
        <v>Expendable</v>
      </c>
      <c r="CK17" s="5" t="str">
        <f t="shared" si="33"/>
        <v>Expendable</v>
      </c>
      <c r="CM17">
        <f t="shared" si="34"/>
        <v>15</v>
      </c>
      <c r="CN17" s="5" t="str">
        <f t="shared" si="35"/>
        <v>Expendable</v>
      </c>
      <c r="CO17" s="68">
        <f>COUNTIF(Builder!$K$11:$N$11,CN17)</f>
        <v>0</v>
      </c>
      <c r="CP17" s="68" t="str">
        <f>IF(CO17=1,Stats!$N32,"")</f>
        <v/>
      </c>
      <c r="CQ17" s="68" t="str">
        <f>IF(CO17=1,Stats!$O32,"")</f>
        <v/>
      </c>
      <c r="CR17" s="68" t="str">
        <f>IF(CO17=1,Stats!$P32,"")</f>
        <v/>
      </c>
      <c r="CS17" s="68" t="str">
        <f>IF(CO17=1,Stats!$Q32,"")</f>
        <v/>
      </c>
      <c r="CT17" s="68" t="str">
        <f>IF(CO17=1,Stats!$R32,"")</f>
        <v/>
      </c>
      <c r="CU17" s="68" t="str">
        <f>IF(CO17=1,Stats!$S32,"")</f>
        <v/>
      </c>
      <c r="CV17" s="68">
        <f t="shared" si="36"/>
        <v>0</v>
      </c>
      <c r="CW17">
        <f t="shared" si="37"/>
        <v>0</v>
      </c>
      <c r="CX17" s="68">
        <f>IF(CW17=0,MAX(CX$2:CX16)+1,0)</f>
        <v>15</v>
      </c>
      <c r="CY17" s="5" t="str">
        <f t="shared" si="38"/>
        <v>Expendable</v>
      </c>
      <c r="CZ17" s="5" t="str">
        <f t="shared" si="39"/>
        <v>Expendable</v>
      </c>
      <c r="DB17">
        <f t="shared" si="158"/>
        <v>15</v>
      </c>
      <c r="DC17" s="5" t="str">
        <f t="shared" si="159"/>
        <v>Expendable</v>
      </c>
      <c r="DD17" s="68">
        <f>COUNTIF(Builder!$K$12:$N$12,DC17)</f>
        <v>0</v>
      </c>
      <c r="DE17" s="68" t="str">
        <f>IF(DD17=1,Stats!$N32,"")</f>
        <v/>
      </c>
      <c r="DF17" s="68" t="str">
        <f>IF(DD17=1,Stats!$O32,"")</f>
        <v/>
      </c>
      <c r="DG17" s="68" t="str">
        <f>IF(DD17=1,Stats!$P32,"")</f>
        <v/>
      </c>
      <c r="DH17" s="68" t="str">
        <f>IF(DD17=1,Stats!$Q32,"")</f>
        <v/>
      </c>
      <c r="DI17" s="68" t="str">
        <f>IF(DD17=1,Stats!$R32,"")</f>
        <v/>
      </c>
      <c r="DJ17" s="68" t="str">
        <f>IF(DD17=1,Stats!$S32,"")</f>
        <v/>
      </c>
      <c r="DK17" s="68">
        <f t="shared" si="160"/>
        <v>0</v>
      </c>
      <c r="DL17">
        <f t="shared" si="161"/>
        <v>0</v>
      </c>
      <c r="DM17" s="68">
        <f>IF(DL17=0,MAX(DM$2:DM16)+1,0)</f>
        <v>15</v>
      </c>
      <c r="DN17" s="5" t="str">
        <f t="shared" si="162"/>
        <v>Expendable</v>
      </c>
      <c r="DO17" s="5" t="str">
        <f t="shared" si="45"/>
        <v>Expendable</v>
      </c>
      <c r="DQ17">
        <f t="shared" si="163"/>
        <v>15</v>
      </c>
      <c r="DR17" s="5" t="str">
        <f t="shared" si="164"/>
        <v>Expendable</v>
      </c>
      <c r="DS17" s="68">
        <f>COUNTIF(Builder!$K$13:$N$13,DR17)</f>
        <v>0</v>
      </c>
      <c r="DT17" s="68" t="str">
        <f>IF(DS17=1,Stats!$N32,"")</f>
        <v/>
      </c>
      <c r="DU17" s="68" t="str">
        <f>IF(DS17=1,Stats!$O32,"")</f>
        <v/>
      </c>
      <c r="DV17" s="68" t="str">
        <f>IF(DS17=1,Stats!$P32,"")</f>
        <v/>
      </c>
      <c r="DW17" s="68" t="str">
        <f>IF(DS17=1,Stats!$Q32,"")</f>
        <v/>
      </c>
      <c r="DX17" s="68" t="str">
        <f>IF(DS17=1,Stats!$R32,"")</f>
        <v/>
      </c>
      <c r="DY17" s="68" t="str">
        <f>IF(DS17=1,Stats!$S32,"")</f>
        <v/>
      </c>
      <c r="DZ17" s="68">
        <f t="shared" si="165"/>
        <v>0</v>
      </c>
      <c r="EA17">
        <f t="shared" si="166"/>
        <v>0</v>
      </c>
      <c r="EB17" s="68">
        <f>IF(EA17=0,MAX(EB$2:EB16)+1,0)</f>
        <v>15</v>
      </c>
      <c r="EC17" s="5" t="str">
        <f t="shared" si="167"/>
        <v>Expendable</v>
      </c>
      <c r="ED17" s="5" t="str">
        <f t="shared" si="51"/>
        <v>Expendable</v>
      </c>
      <c r="EF17">
        <f t="shared" si="52"/>
        <v>15</v>
      </c>
      <c r="EG17" s="5" t="str">
        <f t="shared" si="53"/>
        <v>Expendable</v>
      </c>
      <c r="EH17" s="68">
        <f>COUNTIF(Builder!$K$14:$N$14,EG17)</f>
        <v>0</v>
      </c>
      <c r="EI17" s="68" t="str">
        <f>IF(EH17=1,Stats!$N32,"")</f>
        <v/>
      </c>
      <c r="EJ17" s="68" t="str">
        <f>IF(EH17=1,Stats!$O32,"")</f>
        <v/>
      </c>
      <c r="EK17" s="68" t="str">
        <f>IF(EH17=1,Stats!$P32,"")</f>
        <v/>
      </c>
      <c r="EL17" s="68" t="str">
        <f>IF(EH17=1,Stats!$Q32,"")</f>
        <v/>
      </c>
      <c r="EM17" s="68" t="str">
        <f>IF(EH17=1,Stats!$R32,"")</f>
        <v/>
      </c>
      <c r="EN17" s="68" t="str">
        <f>IF(EH17=1,Stats!$S32,"")</f>
        <v/>
      </c>
      <c r="EO17" s="68">
        <f t="shared" si="54"/>
        <v>0</v>
      </c>
      <c r="EP17">
        <f t="shared" si="55"/>
        <v>0</v>
      </c>
      <c r="EQ17" s="68">
        <f>IF(EP17=0,MAX(EQ$2:EQ16)+1,0)</f>
        <v>15</v>
      </c>
      <c r="ER17" s="5" t="str">
        <f t="shared" si="56"/>
        <v>Expendable</v>
      </c>
      <c r="ES17" s="5" t="str">
        <f t="shared" si="57"/>
        <v>Expendable</v>
      </c>
      <c r="EU17">
        <f t="shared" si="58"/>
        <v>15</v>
      </c>
      <c r="EV17" s="5" t="str">
        <f t="shared" si="59"/>
        <v>Expendable</v>
      </c>
      <c r="EW17" s="68">
        <f>COUNTIF(Builder!$K$15:$N$15,EV17)</f>
        <v>0</v>
      </c>
      <c r="EX17" s="68" t="str">
        <f>IF(EW17=1,Stats!$N32,"")</f>
        <v/>
      </c>
      <c r="EY17" s="68" t="str">
        <f>IF(EW17=1,Stats!$O32,"")</f>
        <v/>
      </c>
      <c r="EZ17" s="68" t="str">
        <f>IF(EW17=1,Stats!$P32,"")</f>
        <v/>
      </c>
      <c r="FA17" s="68" t="str">
        <f>IF(EW17=1,Stats!$Q32,"")</f>
        <v/>
      </c>
      <c r="FB17" s="68" t="str">
        <f>IF(EW17=1,Stats!$R32,"")</f>
        <v/>
      </c>
      <c r="FC17" s="68" t="str">
        <f>IF(EW17=1,Stats!$S32,"")</f>
        <v/>
      </c>
      <c r="FD17" s="68">
        <f t="shared" si="60"/>
        <v>0</v>
      </c>
      <c r="FE17">
        <f t="shared" si="61"/>
        <v>0</v>
      </c>
      <c r="FF17" s="68">
        <f>IF(FE17=0,MAX(FF$2:FF16)+1,0)</f>
        <v>15</v>
      </c>
      <c r="FG17" s="5" t="str">
        <f t="shared" si="62"/>
        <v>Expendable</v>
      </c>
      <c r="FH17" s="5" t="str">
        <f t="shared" si="63"/>
        <v>Expendable</v>
      </c>
      <c r="FJ17">
        <f t="shared" si="64"/>
        <v>15</v>
      </c>
      <c r="FK17" s="5" t="str">
        <f t="shared" si="65"/>
        <v>Expendable</v>
      </c>
      <c r="FL17" s="68">
        <f>COUNTIF(Builder!$K$16:$N$16,FK17)</f>
        <v>0</v>
      </c>
      <c r="FM17" s="68" t="str">
        <f>IF(FL17=1,Stats!$N32,"")</f>
        <v/>
      </c>
      <c r="FN17" s="68" t="str">
        <f>IF(FL17=1,Stats!$O32,"")</f>
        <v/>
      </c>
      <c r="FO17" s="68" t="str">
        <f>IF(FL17=1,Stats!$P32,"")</f>
        <v/>
      </c>
      <c r="FP17" s="68" t="str">
        <f>IF(FL17=1,Stats!$Q32,"")</f>
        <v/>
      </c>
      <c r="FQ17" s="68" t="str">
        <f>IF(FL17=1,Stats!$R32,"")</f>
        <v/>
      </c>
      <c r="FR17" s="68" t="str">
        <f>IF(FL17=1,Stats!$S32,"")</f>
        <v/>
      </c>
      <c r="FS17" s="68">
        <f t="shared" si="66"/>
        <v>0</v>
      </c>
      <c r="FT17">
        <f t="shared" si="67"/>
        <v>0</v>
      </c>
      <c r="FU17" s="68">
        <f>IF(FT17=0,MAX(FU$2:FU16)+1,0)</f>
        <v>15</v>
      </c>
      <c r="FV17" s="5" t="str">
        <f t="shared" si="68"/>
        <v>Expendable</v>
      </c>
      <c r="FW17" s="5" t="str">
        <f t="shared" si="69"/>
        <v>Expendable</v>
      </c>
      <c r="FY17">
        <f t="shared" si="168"/>
        <v>15</v>
      </c>
      <c r="FZ17" s="5" t="str">
        <f t="shared" si="169"/>
        <v>Expendable</v>
      </c>
      <c r="GA17" s="68">
        <f>COUNTIF(Builder!$K$17:$N$17,FZ17)</f>
        <v>0</v>
      </c>
      <c r="GB17" s="68" t="str">
        <f>IF(GA17=1,Stats!$N32,"")</f>
        <v/>
      </c>
      <c r="GC17" s="68" t="str">
        <f>IF(GA17=1,Stats!$O32,"")</f>
        <v/>
      </c>
      <c r="GD17" s="68" t="str">
        <f>IF(GA17=1,Stats!$P32,"")</f>
        <v/>
      </c>
      <c r="GE17" s="68" t="str">
        <f>IF(GA17=1,Stats!$Q32,"")</f>
        <v/>
      </c>
      <c r="GF17" s="68" t="str">
        <f>IF(GA17=1,Stats!$R32,"")</f>
        <v/>
      </c>
      <c r="GG17" s="68" t="str">
        <f>IF(GA17=1,Stats!$S32,"")</f>
        <v/>
      </c>
      <c r="GH17" s="68">
        <f t="shared" si="170"/>
        <v>0</v>
      </c>
      <c r="GI17">
        <f t="shared" si="171"/>
        <v>0</v>
      </c>
      <c r="GJ17" s="68">
        <f>IF(GI17=0,MAX(GJ$2:GJ16)+1,0)</f>
        <v>15</v>
      </c>
      <c r="GK17" s="5" t="str">
        <f t="shared" si="172"/>
        <v>Expendable</v>
      </c>
      <c r="GL17" s="5" t="str">
        <f t="shared" si="75"/>
        <v>Expendable</v>
      </c>
      <c r="GN17">
        <f t="shared" si="76"/>
        <v>15</v>
      </c>
      <c r="GO17" s="5" t="str">
        <f t="shared" si="77"/>
        <v>Expendable</v>
      </c>
      <c r="GP17" s="68">
        <f>COUNTIF(Builder!$K$18:$N$18,GO17)</f>
        <v>0</v>
      </c>
      <c r="GQ17" s="68" t="str">
        <f>IF(GP17=1,Stats!$N32,"")</f>
        <v/>
      </c>
      <c r="GR17" s="68" t="str">
        <f>IF(GP17=1,Stats!$O32,"")</f>
        <v/>
      </c>
      <c r="GS17" s="68" t="str">
        <f>IF(GP17=1,Stats!$P32,"")</f>
        <v/>
      </c>
      <c r="GT17" s="68" t="str">
        <f>IF(GP17=1,Stats!$Q32,"")</f>
        <v/>
      </c>
      <c r="GU17" s="68" t="str">
        <f>IF(GP17=1,Stats!$R32,"")</f>
        <v/>
      </c>
      <c r="GV17" s="68" t="str">
        <f>IF(GP17=1,Stats!$S32,"")</f>
        <v/>
      </c>
      <c r="GW17" s="68">
        <f t="shared" si="78"/>
        <v>0</v>
      </c>
      <c r="GX17">
        <f t="shared" si="79"/>
        <v>0</v>
      </c>
      <c r="GY17" s="68">
        <f>IF(GX17=0,MAX(GY$2:GY16)+1,0)</f>
        <v>15</v>
      </c>
      <c r="GZ17" s="5" t="str">
        <f t="shared" si="80"/>
        <v>Expendable</v>
      </c>
      <c r="HA17" s="5" t="str">
        <f t="shared" si="81"/>
        <v>Expendable</v>
      </c>
      <c r="HC17">
        <f t="shared" si="82"/>
        <v>15</v>
      </c>
      <c r="HD17" s="5" t="str">
        <f t="shared" si="83"/>
        <v>Expendable</v>
      </c>
      <c r="HE17" s="68">
        <f>COUNTIF(Builder!$K$19:$N$19,HD17)</f>
        <v>0</v>
      </c>
      <c r="HF17" s="68" t="str">
        <f>IF(HE17=1,Stats!$N32,"")</f>
        <v/>
      </c>
      <c r="HG17" s="68" t="str">
        <f>IF(HE17=1,Stats!$O32,"")</f>
        <v/>
      </c>
      <c r="HH17" s="68" t="str">
        <f>IF(HE17=1,Stats!$P32,"")</f>
        <v/>
      </c>
      <c r="HI17" s="68" t="str">
        <f>IF(HE17=1,Stats!$Q32,"")</f>
        <v/>
      </c>
      <c r="HJ17" s="68" t="str">
        <f>IF(HE17=1,Stats!$R32,"")</f>
        <v/>
      </c>
      <c r="HK17" s="68" t="str">
        <f>IF(HE17=1,Stats!$S32,"")</f>
        <v/>
      </c>
      <c r="HL17" s="68">
        <f t="shared" si="84"/>
        <v>0</v>
      </c>
      <c r="HM17">
        <f t="shared" si="85"/>
        <v>0</v>
      </c>
      <c r="HN17" s="68">
        <f>IF(HM17=0,MAX(HN$2:HN16)+1,0)</f>
        <v>15</v>
      </c>
      <c r="HO17" s="5" t="str">
        <f t="shared" si="86"/>
        <v>Expendable</v>
      </c>
      <c r="HP17" s="5" t="str">
        <f t="shared" si="87"/>
        <v>Expendable</v>
      </c>
      <c r="HR17">
        <f t="shared" si="88"/>
        <v>15</v>
      </c>
      <c r="HS17" s="5" t="str">
        <f t="shared" si="89"/>
        <v>Expendable</v>
      </c>
      <c r="HT17" s="68">
        <f>COUNTIF(Builder!$K$20:$N$20,HS17)</f>
        <v>0</v>
      </c>
      <c r="HU17" s="68" t="str">
        <f>IF(HT17=1,Stats!$N32,"")</f>
        <v/>
      </c>
      <c r="HV17" s="68" t="str">
        <f>IF(HT17=1,Stats!$O32,"")</f>
        <v/>
      </c>
      <c r="HW17" s="68" t="str">
        <f>IF(HT17=1,Stats!$P32,"")</f>
        <v/>
      </c>
      <c r="HX17" s="68" t="str">
        <f>IF(HT17=1,Stats!$Q32,"")</f>
        <v/>
      </c>
      <c r="HY17" s="68" t="str">
        <f>IF(HT17=1,Stats!$R32,"")</f>
        <v/>
      </c>
      <c r="HZ17" s="68" t="str">
        <f>IF(HT17=1,Stats!$S32,"")</f>
        <v/>
      </c>
      <c r="IA17" s="68">
        <f t="shared" si="90"/>
        <v>0</v>
      </c>
      <c r="IB17">
        <f t="shared" si="91"/>
        <v>0</v>
      </c>
      <c r="IC17" s="68">
        <f>IF(IB17=0,MAX(IC$2:IC16)+1,0)</f>
        <v>15</v>
      </c>
      <c r="ID17" s="5" t="str">
        <f t="shared" si="92"/>
        <v>Expendable</v>
      </c>
      <c r="IE17" s="5" t="str">
        <f t="shared" si="93"/>
        <v>Expendable</v>
      </c>
      <c r="IG17">
        <f t="shared" si="94"/>
        <v>15</v>
      </c>
      <c r="IH17" s="5" t="str">
        <f t="shared" si="95"/>
        <v>Expendable</v>
      </c>
      <c r="II17" s="68">
        <f>COUNTIF(Builder!$K$21:$N$21,IH17)</f>
        <v>0</v>
      </c>
      <c r="IJ17" s="68" t="str">
        <f>IF(II17=1,Stats!$N32,"")</f>
        <v/>
      </c>
      <c r="IK17" s="68" t="str">
        <f>IF(II17=1,Stats!$O32,"")</f>
        <v/>
      </c>
      <c r="IL17" s="68" t="str">
        <f>IF(II17=1,Stats!$P32,"")</f>
        <v/>
      </c>
      <c r="IM17" s="68" t="str">
        <f>IF(II17=1,Stats!$Q32,"")</f>
        <v/>
      </c>
      <c r="IN17" s="68" t="str">
        <f>IF(II17=1,Stats!$R32,"")</f>
        <v/>
      </c>
      <c r="IO17" s="68" t="str">
        <f>IF(II17=1,Stats!$S32,"")</f>
        <v/>
      </c>
      <c r="IP17" s="68">
        <f t="shared" si="96"/>
        <v>0</v>
      </c>
      <c r="IQ17">
        <f t="shared" si="97"/>
        <v>0</v>
      </c>
      <c r="IR17" s="68">
        <f>IF(IQ17=0,MAX(IR$2:IR16)+1,0)</f>
        <v>15</v>
      </c>
      <c r="IS17" s="5" t="str">
        <f t="shared" si="98"/>
        <v>Expendable</v>
      </c>
      <c r="IT17" s="5" t="str">
        <f t="shared" si="99"/>
        <v>Expendable</v>
      </c>
      <c r="IV17">
        <f t="shared" si="100"/>
        <v>15</v>
      </c>
      <c r="IW17" s="5" t="str">
        <f t="shared" si="101"/>
        <v>Expendable</v>
      </c>
      <c r="IX17" s="68">
        <f>COUNTIF(Builder!$K$22:$N$22,IW17)</f>
        <v>0</v>
      </c>
      <c r="IY17" s="68" t="str">
        <f>IF(IX17=1,Stats!$N32,"")</f>
        <v/>
      </c>
      <c r="IZ17" s="68" t="str">
        <f>IF(IX17=1,Stats!$O32,"")</f>
        <v/>
      </c>
      <c r="JA17" s="68" t="str">
        <f>IF(IX17=1,Stats!$P32,"")</f>
        <v/>
      </c>
      <c r="JB17" s="68" t="str">
        <f>IF(IX17=1,Stats!$Q32,"")</f>
        <v/>
      </c>
      <c r="JC17" s="68" t="str">
        <f>IF(IX17=1,Stats!$R32,"")</f>
        <v/>
      </c>
      <c r="JD17" s="68" t="str">
        <f>IF(IX17=1,Stats!$S32,"")</f>
        <v/>
      </c>
      <c r="JE17" s="68">
        <f t="shared" si="102"/>
        <v>0</v>
      </c>
      <c r="JF17">
        <f t="shared" si="103"/>
        <v>0</v>
      </c>
      <c r="JG17" s="68">
        <f>IF(JF17=0,MAX(JG$2:JG16)+1,0)</f>
        <v>15</v>
      </c>
      <c r="JH17" s="5" t="str">
        <f t="shared" si="104"/>
        <v>Expendable</v>
      </c>
      <c r="JI17" s="5" t="str">
        <f t="shared" si="105"/>
        <v>Expendable</v>
      </c>
      <c r="JK17">
        <f t="shared" si="106"/>
        <v>15</v>
      </c>
      <c r="JL17" s="5" t="str">
        <f t="shared" si="107"/>
        <v>Expendable</v>
      </c>
      <c r="JM17" s="68">
        <f>COUNTIF(Builder!$K$23:$N$23,JL17)</f>
        <v>0</v>
      </c>
      <c r="JN17" s="68" t="str">
        <f>IF(JM17=1,Stats!$N32,"")</f>
        <v/>
      </c>
      <c r="JO17" s="68" t="str">
        <f>IF(JM17=1,Stats!$O32,"")</f>
        <v/>
      </c>
      <c r="JP17" s="68" t="str">
        <f>IF(JM17=1,Stats!$P32,"")</f>
        <v/>
      </c>
      <c r="JQ17" s="68" t="str">
        <f>IF(JM17=1,Stats!$Q32,"")</f>
        <v/>
      </c>
      <c r="JR17" s="68" t="str">
        <f>IF(JM17=1,Stats!$R32,"")</f>
        <v/>
      </c>
      <c r="JS17" s="68" t="str">
        <f>IF(JM17=1,Stats!$S32,"")</f>
        <v/>
      </c>
      <c r="JT17" s="68">
        <f t="shared" si="108"/>
        <v>0</v>
      </c>
      <c r="JU17">
        <f t="shared" si="109"/>
        <v>0</v>
      </c>
      <c r="JV17" s="68">
        <f>IF(JU17=0,MAX(JV$2:JV16)+1,0)</f>
        <v>15</v>
      </c>
      <c r="JW17" s="5" t="str">
        <f t="shared" si="110"/>
        <v>Expendable</v>
      </c>
      <c r="JX17" s="5" t="str">
        <f t="shared" si="111"/>
        <v>Expendable</v>
      </c>
      <c r="JZ17">
        <f t="shared" si="112"/>
        <v>15</v>
      </c>
      <c r="KA17" s="5" t="str">
        <f t="shared" si="113"/>
        <v>Expendable</v>
      </c>
      <c r="KB17" s="68">
        <f>COUNTIF(Builder!$K$24:$N$24,KA17)</f>
        <v>0</v>
      </c>
      <c r="KC17" s="68" t="str">
        <f>IF(KB17=1,Stats!$N32,"")</f>
        <v/>
      </c>
      <c r="KD17" s="68" t="str">
        <f>IF(KB17=1,Stats!$O32,"")</f>
        <v/>
      </c>
      <c r="KE17" s="68" t="str">
        <f>IF(KB17=1,Stats!$P32,"")</f>
        <v/>
      </c>
      <c r="KF17" s="68" t="str">
        <f>IF(KB17=1,Stats!$Q32,"")</f>
        <v/>
      </c>
      <c r="KG17" s="68" t="str">
        <f>IF(KB17=1,Stats!$R32,"")</f>
        <v/>
      </c>
      <c r="KH17" s="68" t="str">
        <f>IF(KB17=1,Stats!$S32,"")</f>
        <v/>
      </c>
      <c r="KI17" s="68">
        <f t="shared" si="114"/>
        <v>0</v>
      </c>
      <c r="KJ17">
        <f t="shared" si="115"/>
        <v>0</v>
      </c>
      <c r="KK17" s="68">
        <f>IF(KJ17=0,MAX(KK$2:KK16)+1,0)</f>
        <v>15</v>
      </c>
      <c r="KL17" s="5" t="str">
        <f t="shared" si="116"/>
        <v>Expendable</v>
      </c>
      <c r="KM17" s="5" t="str">
        <f t="shared" si="117"/>
        <v>Expendable</v>
      </c>
      <c r="KO17">
        <f t="shared" si="118"/>
        <v>15</v>
      </c>
      <c r="KP17" s="5" t="str">
        <f t="shared" si="119"/>
        <v>Expendable</v>
      </c>
      <c r="KQ17" s="68">
        <f>COUNTIF(Builder!$K$25:$N$25,KP17)</f>
        <v>0</v>
      </c>
      <c r="KR17" s="68" t="str">
        <f>IF(KQ17=1,Stats!$N32,"")</f>
        <v/>
      </c>
      <c r="KS17" s="68" t="str">
        <f>IF(KQ17=1,Stats!$O32,"")</f>
        <v/>
      </c>
      <c r="KT17" s="68" t="str">
        <f>IF(KQ17=1,Stats!$P32,"")</f>
        <v/>
      </c>
      <c r="KU17" s="68" t="str">
        <f>IF(KQ17=1,Stats!$Q32,"")</f>
        <v/>
      </c>
      <c r="KV17" s="68" t="str">
        <f>IF(KQ17=1,Stats!$R32,"")</f>
        <v/>
      </c>
      <c r="KW17" s="68" t="str">
        <f>IF(KQ17=1,Stats!$S32,"")</f>
        <v/>
      </c>
      <c r="KX17" s="68">
        <f t="shared" si="120"/>
        <v>0</v>
      </c>
      <c r="KY17">
        <f t="shared" si="121"/>
        <v>0</v>
      </c>
      <c r="KZ17" s="68">
        <f>IF(KY17=0,MAX(KZ$2:KZ16)+1,0)</f>
        <v>15</v>
      </c>
      <c r="LA17" s="5" t="str">
        <f t="shared" si="122"/>
        <v>Expendable</v>
      </c>
      <c r="LB17" s="5" t="str">
        <f t="shared" si="123"/>
        <v>Expendable</v>
      </c>
      <c r="LD17">
        <f t="shared" si="124"/>
        <v>15</v>
      </c>
      <c r="LE17" s="5" t="str">
        <f t="shared" si="125"/>
        <v>Expendable</v>
      </c>
      <c r="LF17" s="68">
        <f>COUNTIF(Builder!$K$26:$N$26,LE17)</f>
        <v>0</v>
      </c>
      <c r="LG17" s="68" t="str">
        <f>IF(LF17=1,Stats!$N32,"")</f>
        <v/>
      </c>
      <c r="LH17" s="68" t="str">
        <f>IF(LF17=1,Stats!$O32,"")</f>
        <v/>
      </c>
      <c r="LI17" s="68" t="str">
        <f>IF(LF17=1,Stats!$P32,"")</f>
        <v/>
      </c>
      <c r="LJ17" s="68" t="str">
        <f>IF(LF17=1,Stats!$Q32,"")</f>
        <v/>
      </c>
      <c r="LK17" s="68" t="str">
        <f>IF(LF17=1,Stats!$R32,"")</f>
        <v/>
      </c>
      <c r="LL17" s="68" t="str">
        <f>IF(LF17=1,Stats!$S32,"")</f>
        <v/>
      </c>
      <c r="LM17" s="68">
        <f t="shared" si="126"/>
        <v>0</v>
      </c>
      <c r="LN17">
        <f t="shared" si="127"/>
        <v>0</v>
      </c>
      <c r="LO17" s="68">
        <f>IF(LN17=0,MAX(LO$2:LO16)+1,0)</f>
        <v>15</v>
      </c>
      <c r="LP17" s="5" t="str">
        <f t="shared" si="128"/>
        <v>Expendable</v>
      </c>
      <c r="LQ17" s="5" t="str">
        <f t="shared" si="129"/>
        <v>Expendable</v>
      </c>
      <c r="LS17">
        <f t="shared" si="130"/>
        <v>15</v>
      </c>
      <c r="LT17" s="5" t="str">
        <f t="shared" si="131"/>
        <v>Expendable</v>
      </c>
      <c r="LU17" s="68">
        <f>COUNTIF(Builder!$K$27:$N$27,LT17)</f>
        <v>0</v>
      </c>
      <c r="LV17" s="68" t="str">
        <f>IF(LU17=1,Stats!$N32,"")</f>
        <v/>
      </c>
      <c r="LW17" s="68" t="str">
        <f>IF(LU17=1,Stats!$O32,"")</f>
        <v/>
      </c>
      <c r="LX17" s="68" t="str">
        <f>IF(LU17=1,Stats!$P32,"")</f>
        <v/>
      </c>
      <c r="LY17" s="68" t="str">
        <f>IF(LU17=1,Stats!$Q32,"")</f>
        <v/>
      </c>
      <c r="LZ17" s="68" t="str">
        <f>IF(LU17=1,Stats!$R32,"")</f>
        <v/>
      </c>
      <c r="MA17" s="68" t="str">
        <f>IF(LU17=1,Stats!$S32,"")</f>
        <v/>
      </c>
      <c r="MB17" s="68">
        <f t="shared" si="132"/>
        <v>0</v>
      </c>
      <c r="MC17">
        <f t="shared" si="133"/>
        <v>0</v>
      </c>
      <c r="MD17" s="68">
        <f>IF(MC17=0,MAX(MD$2:MD16)+1,0)</f>
        <v>15</v>
      </c>
      <c r="ME17" s="5" t="str">
        <f t="shared" si="134"/>
        <v>Expendable</v>
      </c>
      <c r="MF17" s="5" t="str">
        <f t="shared" si="135"/>
        <v>Expendable</v>
      </c>
      <c r="MH17">
        <f t="shared" si="136"/>
        <v>15</v>
      </c>
      <c r="MI17" s="5" t="str">
        <f t="shared" si="137"/>
        <v>Expendable</v>
      </c>
      <c r="MJ17" s="68">
        <f>COUNTIF(Builder!$K$28:$N$28,MI17)</f>
        <v>0</v>
      </c>
      <c r="MK17" s="68" t="str">
        <f>IF(MJ17=1,Stats!$N32,"")</f>
        <v/>
      </c>
      <c r="ML17" s="68" t="str">
        <f>IF(MJ17=1,Stats!$O32,"")</f>
        <v/>
      </c>
      <c r="MM17" s="68" t="str">
        <f>IF(MJ17=1,Stats!$P32,"")</f>
        <v/>
      </c>
      <c r="MN17" s="68" t="str">
        <f>IF(MJ17=1,Stats!$Q32,"")</f>
        <v/>
      </c>
      <c r="MO17" s="68" t="str">
        <f>IF(MJ17=1,Stats!$R32,"")</f>
        <v/>
      </c>
      <c r="MP17" s="68" t="str">
        <f>IF(MJ17=1,Stats!$S32,"")</f>
        <v/>
      </c>
      <c r="MQ17" s="68">
        <f t="shared" si="138"/>
        <v>0</v>
      </c>
      <c r="MR17">
        <f t="shared" si="139"/>
        <v>0</v>
      </c>
      <c r="MS17" s="68">
        <f>IF(MR17=0,MAX(MS$2:MS16)+1,0)</f>
        <v>15</v>
      </c>
      <c r="MT17" s="5" t="str">
        <f t="shared" si="140"/>
        <v>Expendable</v>
      </c>
      <c r="MU17" s="5" t="str">
        <f t="shared" si="141"/>
        <v>Expendable</v>
      </c>
      <c r="MW17">
        <f t="shared" si="142"/>
        <v>15</v>
      </c>
      <c r="MX17" s="5" t="str">
        <f t="shared" si="143"/>
        <v>Expendable</v>
      </c>
      <c r="MY17" s="68">
        <f>COUNTIF(Builder!$K$29:$N$29,MX17)</f>
        <v>0</v>
      </c>
      <c r="MZ17" s="68" t="str">
        <f>IF(MY17=1,Stats!$N32,"")</f>
        <v/>
      </c>
      <c r="NA17" s="68" t="str">
        <f>IF(MY17=1,Stats!$O32,"")</f>
        <v/>
      </c>
      <c r="NB17" s="68" t="str">
        <f>IF(MY17=1,Stats!$P32,"")</f>
        <v/>
      </c>
      <c r="NC17" s="68" t="str">
        <f>IF(MY17=1,Stats!$Q32,"")</f>
        <v/>
      </c>
      <c r="ND17" s="68" t="str">
        <f>IF(MY17=1,Stats!$R32,"")</f>
        <v/>
      </c>
      <c r="NE17" s="68" t="str">
        <f>IF(MY17=1,Stats!$S32,"")</f>
        <v/>
      </c>
      <c r="NF17" s="68">
        <f t="shared" si="144"/>
        <v>0</v>
      </c>
      <c r="NG17">
        <f t="shared" si="145"/>
        <v>0</v>
      </c>
      <c r="NH17" s="68">
        <f>IF(NG17=0,MAX(NH$2:NH16)+1,0)</f>
        <v>15</v>
      </c>
      <c r="NI17" s="5" t="str">
        <f t="shared" si="146"/>
        <v>Expendable</v>
      </c>
      <c r="NJ17" s="5" t="str">
        <f t="shared" si="147"/>
        <v>Expendable</v>
      </c>
    </row>
    <row r="18" spans="1:374" ht="15" x14ac:dyDescent="0.3">
      <c r="A18">
        <v>16</v>
      </c>
      <c r="B18" s="5" t="s">
        <v>28</v>
      </c>
      <c r="C18" s="68">
        <f>COUNTIF(Builder!$K$5:$N$5,B18)</f>
        <v>0</v>
      </c>
      <c r="D18" s="68" t="str">
        <f>IF(C18=1,Stats!$N33,"")</f>
        <v/>
      </c>
      <c r="E18" s="68" t="str">
        <f>IF(C18=1,Stats!$O33,"")</f>
        <v/>
      </c>
      <c r="F18" s="68" t="str">
        <f>IF(C18=1,Stats!$P33,"")</f>
        <v/>
      </c>
      <c r="G18" s="68" t="str">
        <f>IF(C18=1,Stats!$Q33,"")</f>
        <v/>
      </c>
      <c r="H18" s="68" t="str">
        <f>IF(C18=1,Stats!$R33,"")</f>
        <v/>
      </c>
      <c r="I18" s="68" t="str">
        <f>IF(C18=1,Stats!$S33,"")</f>
        <v/>
      </c>
      <c r="J18" s="68">
        <f t="shared" si="0"/>
        <v>0</v>
      </c>
      <c r="K18">
        <f t="shared" si="1"/>
        <v>0</v>
      </c>
      <c r="L18" s="68">
        <f>IF(K18=0,MAX($L$2:L17)+1,0)</f>
        <v>16</v>
      </c>
      <c r="M18" s="5" t="str">
        <f t="shared" si="2"/>
        <v>Fast</v>
      </c>
      <c r="N18" s="5" t="str">
        <f t="shared" si="3"/>
        <v>Fast</v>
      </c>
      <c r="O18" s="5"/>
      <c r="P18">
        <f t="shared" si="4"/>
        <v>16</v>
      </c>
      <c r="Q18" s="5" t="str">
        <f t="shared" si="5"/>
        <v>Fast</v>
      </c>
      <c r="R18" s="68">
        <f>COUNTIF(Builder!$K$6:$N$6,Q18)</f>
        <v>0</v>
      </c>
      <c r="S18" s="68" t="str">
        <f>IF(R18=1,Stats!$N33,"")</f>
        <v/>
      </c>
      <c r="T18" s="68" t="str">
        <f>IF(R18=1,Stats!$O33,"")</f>
        <v/>
      </c>
      <c r="U18" s="68" t="str">
        <f>IF(R18=1,Stats!$P33,"")</f>
        <v/>
      </c>
      <c r="V18" s="68" t="str">
        <f>IF(R18=1,Stats!$Q33,"")</f>
        <v/>
      </c>
      <c r="W18" s="68" t="str">
        <f>IF(R18=1,Stats!$R33,"")</f>
        <v/>
      </c>
      <c r="X18" s="68" t="str">
        <f>IF(R18=1,Stats!$S33,"")</f>
        <v/>
      </c>
      <c r="Y18" s="68">
        <f t="shared" si="6"/>
        <v>0</v>
      </c>
      <c r="Z18">
        <f t="shared" si="7"/>
        <v>0</v>
      </c>
      <c r="AA18" s="68">
        <f>IF(Z18=0,MAX($AA$2:AA17)+1,0)</f>
        <v>16</v>
      </c>
      <c r="AB18" s="5" t="str">
        <f t="shared" si="8"/>
        <v>Fast</v>
      </c>
      <c r="AC18" s="5" t="str">
        <f t="shared" si="9"/>
        <v>Fast</v>
      </c>
      <c r="AD18" s="5"/>
      <c r="AE18">
        <f t="shared" si="10"/>
        <v>16</v>
      </c>
      <c r="AF18" s="5" t="str">
        <f t="shared" si="11"/>
        <v>Fast</v>
      </c>
      <c r="AG18" s="68">
        <f>COUNTIF(Builder!$K$7:$N$7,AF18)</f>
        <v>0</v>
      </c>
      <c r="AH18" s="68" t="str">
        <f>IF(AG18=1,Stats!$N33,"")</f>
        <v/>
      </c>
      <c r="AI18" s="68" t="str">
        <f>IF(AG18=1,Stats!$O33,"")</f>
        <v/>
      </c>
      <c r="AJ18" s="68" t="str">
        <f>IF(AG18=1,Stats!$P33,"")</f>
        <v/>
      </c>
      <c r="AK18" s="68" t="str">
        <f>IF(AG18=1,Stats!$Q33,"")</f>
        <v/>
      </c>
      <c r="AL18" s="68" t="str">
        <f>IF(AG18=1,Stats!$R33,"")</f>
        <v/>
      </c>
      <c r="AM18" s="68" t="str">
        <f>IF(AG18=1,Stats!$S33,"")</f>
        <v/>
      </c>
      <c r="AN18" s="68">
        <f t="shared" si="12"/>
        <v>0</v>
      </c>
      <c r="AO18">
        <f t="shared" si="13"/>
        <v>0</v>
      </c>
      <c r="AP18" s="68">
        <f>IF(AO18=0,MAX($AP$2:AP17)+1,0)</f>
        <v>16</v>
      </c>
      <c r="AQ18" s="5" t="str">
        <f t="shared" si="14"/>
        <v>Fast</v>
      </c>
      <c r="AR18" s="5" t="str">
        <f t="shared" si="15"/>
        <v>Fast</v>
      </c>
      <c r="AS18" s="5"/>
      <c r="AT18">
        <f t="shared" si="16"/>
        <v>16</v>
      </c>
      <c r="AU18" s="5" t="str">
        <f t="shared" si="17"/>
        <v>Fast</v>
      </c>
      <c r="AV18" s="68">
        <f>COUNTIF(Builder!$K$8:$N$8,AU18)</f>
        <v>0</v>
      </c>
      <c r="AW18" s="68" t="str">
        <f>IF(AV18=1,Stats!$N33,"")</f>
        <v/>
      </c>
      <c r="AX18" s="68" t="str">
        <f>IF(AV18=1,Stats!$O33,"")</f>
        <v/>
      </c>
      <c r="AY18" s="68" t="str">
        <f>IF(AV18=1,Stats!$P33,"")</f>
        <v/>
      </c>
      <c r="AZ18" s="68" t="str">
        <f>IF(AV18=1,Stats!$Q33,"")</f>
        <v/>
      </c>
      <c r="BA18" s="68" t="str">
        <f>IF(AV18=1,Stats!$R33,"")</f>
        <v/>
      </c>
      <c r="BB18" s="68" t="str">
        <f>IF(AV18=1,Stats!$S33,"")</f>
        <v/>
      </c>
      <c r="BC18" s="68">
        <f t="shared" si="18"/>
        <v>0</v>
      </c>
      <c r="BD18">
        <f t="shared" si="19"/>
        <v>0</v>
      </c>
      <c r="BE18" s="68">
        <f>IF(BD18=0,MAX($BE$2:BE17)+1,0)</f>
        <v>16</v>
      </c>
      <c r="BF18" s="5" t="str">
        <f t="shared" si="20"/>
        <v>Fast</v>
      </c>
      <c r="BG18" s="5" t="str">
        <f t="shared" si="21"/>
        <v>Fast</v>
      </c>
      <c r="BH18" s="5"/>
      <c r="BI18">
        <f t="shared" si="148"/>
        <v>16</v>
      </c>
      <c r="BJ18" s="5" t="str">
        <f t="shared" si="149"/>
        <v>Fast</v>
      </c>
      <c r="BK18" s="68">
        <f>COUNTIF(Builder!$K$9:$N$9,BJ18)</f>
        <v>0</v>
      </c>
      <c r="BL18" s="68" t="str">
        <f>IF(BK18=1,Stats!$N33,"")</f>
        <v/>
      </c>
      <c r="BM18" s="68" t="str">
        <f>IF(BK18=1,Stats!$O33,"")</f>
        <v/>
      </c>
      <c r="BN18" s="68" t="str">
        <f>IF(BK18=1,Stats!$P33,"")</f>
        <v/>
      </c>
      <c r="BO18" s="68" t="str">
        <f>IF(BK18=1,Stats!$Q33,"")</f>
        <v/>
      </c>
      <c r="BP18" s="68" t="str">
        <f>IF(BK18=1,Stats!$R33,"")</f>
        <v/>
      </c>
      <c r="BQ18" s="68" t="str">
        <f>IF(BK18=1,Stats!$S33,"")</f>
        <v/>
      </c>
      <c r="BR18" s="68">
        <f t="shared" si="150"/>
        <v>0</v>
      </c>
      <c r="BS18">
        <f t="shared" si="151"/>
        <v>0</v>
      </c>
      <c r="BT18" s="68">
        <f>IF(BS18=0,MAX(BT$2:BT17)+1,0)</f>
        <v>16</v>
      </c>
      <c r="BU18" s="5" t="str">
        <f t="shared" si="152"/>
        <v>Fast</v>
      </c>
      <c r="BV18" s="5" t="str">
        <f t="shared" si="27"/>
        <v>Fast</v>
      </c>
      <c r="BX18">
        <f t="shared" si="153"/>
        <v>16</v>
      </c>
      <c r="BY18" s="5" t="str">
        <f t="shared" si="154"/>
        <v>Fast</v>
      </c>
      <c r="BZ18" s="68">
        <f>COUNTIF(Builder!$K$10:$N$10,BY18)</f>
        <v>0</v>
      </c>
      <c r="CA18" s="68" t="str">
        <f>IF(BZ18=1,Stats!$N33,"")</f>
        <v/>
      </c>
      <c r="CB18" s="68" t="str">
        <f>IF(BZ18=1,Stats!$O33,"")</f>
        <v/>
      </c>
      <c r="CC18" s="68" t="str">
        <f>IF(BZ18=1,Stats!$P33,"")</f>
        <v/>
      </c>
      <c r="CD18" s="68" t="str">
        <f>IF(BZ18=1,Stats!$Q33,"")</f>
        <v/>
      </c>
      <c r="CE18" s="68" t="str">
        <f>IF(BZ18=1,Stats!$R33,"")</f>
        <v/>
      </c>
      <c r="CF18" s="68" t="str">
        <f>IF(BZ18=1,Stats!$S33,"")</f>
        <v/>
      </c>
      <c r="CG18" s="68">
        <f t="shared" si="155"/>
        <v>0</v>
      </c>
      <c r="CH18">
        <f t="shared" si="156"/>
        <v>0</v>
      </c>
      <c r="CI18" s="68">
        <f>IF(CH18=0,MAX(CI$2:CI17)+1,0)</f>
        <v>16</v>
      </c>
      <c r="CJ18" s="5" t="str">
        <f t="shared" si="157"/>
        <v>Fast</v>
      </c>
      <c r="CK18" s="5" t="str">
        <f t="shared" si="33"/>
        <v>Fast</v>
      </c>
      <c r="CM18">
        <f t="shared" si="34"/>
        <v>16</v>
      </c>
      <c r="CN18" s="5" t="str">
        <f t="shared" si="35"/>
        <v>Fast</v>
      </c>
      <c r="CO18" s="68">
        <f>COUNTIF(Builder!$K$11:$N$11,CN18)</f>
        <v>0</v>
      </c>
      <c r="CP18" s="68" t="str">
        <f>IF(CO18=1,Stats!$N33,"")</f>
        <v/>
      </c>
      <c r="CQ18" s="68" t="str">
        <f>IF(CO18=1,Stats!$O33,"")</f>
        <v/>
      </c>
      <c r="CR18" s="68" t="str">
        <f>IF(CO18=1,Stats!$P33,"")</f>
        <v/>
      </c>
      <c r="CS18" s="68" t="str">
        <f>IF(CO18=1,Stats!$Q33,"")</f>
        <v/>
      </c>
      <c r="CT18" s="68" t="str">
        <f>IF(CO18=1,Stats!$R33,"")</f>
        <v/>
      </c>
      <c r="CU18" s="68" t="str">
        <f>IF(CO18=1,Stats!$S33,"")</f>
        <v/>
      </c>
      <c r="CV18" s="68">
        <f t="shared" si="36"/>
        <v>0</v>
      </c>
      <c r="CW18">
        <f t="shared" si="37"/>
        <v>0</v>
      </c>
      <c r="CX18" s="68">
        <f>IF(CW18=0,MAX(CX$2:CX17)+1,0)</f>
        <v>16</v>
      </c>
      <c r="CY18" s="5" t="str">
        <f t="shared" si="38"/>
        <v>Fast</v>
      </c>
      <c r="CZ18" s="5" t="str">
        <f t="shared" si="39"/>
        <v>Fast</v>
      </c>
      <c r="DB18">
        <f t="shared" si="158"/>
        <v>16</v>
      </c>
      <c r="DC18" s="5" t="str">
        <f t="shared" si="159"/>
        <v>Fast</v>
      </c>
      <c r="DD18" s="68">
        <f>COUNTIF(Builder!$K$12:$N$12,DC18)</f>
        <v>0</v>
      </c>
      <c r="DE18" s="68" t="str">
        <f>IF(DD18=1,Stats!$N33,"")</f>
        <v/>
      </c>
      <c r="DF18" s="68" t="str">
        <f>IF(DD18=1,Stats!$O33,"")</f>
        <v/>
      </c>
      <c r="DG18" s="68" t="str">
        <f>IF(DD18=1,Stats!$P33,"")</f>
        <v/>
      </c>
      <c r="DH18" s="68" t="str">
        <f>IF(DD18=1,Stats!$Q33,"")</f>
        <v/>
      </c>
      <c r="DI18" s="68" t="str">
        <f>IF(DD18=1,Stats!$R33,"")</f>
        <v/>
      </c>
      <c r="DJ18" s="68" t="str">
        <f>IF(DD18=1,Stats!$S33,"")</f>
        <v/>
      </c>
      <c r="DK18" s="68">
        <f t="shared" si="160"/>
        <v>0</v>
      </c>
      <c r="DL18">
        <f t="shared" si="161"/>
        <v>0</v>
      </c>
      <c r="DM18" s="68">
        <f>IF(DL18=0,MAX(DM$2:DM17)+1,0)</f>
        <v>16</v>
      </c>
      <c r="DN18" s="5" t="str">
        <f t="shared" si="162"/>
        <v>Fast</v>
      </c>
      <c r="DO18" s="5" t="str">
        <f t="shared" si="45"/>
        <v>Fast</v>
      </c>
      <c r="DQ18">
        <f t="shared" si="163"/>
        <v>16</v>
      </c>
      <c r="DR18" s="5" t="str">
        <f t="shared" si="164"/>
        <v>Fast</v>
      </c>
      <c r="DS18" s="68">
        <f>COUNTIF(Builder!$K$13:$N$13,DR18)</f>
        <v>0</v>
      </c>
      <c r="DT18" s="68" t="str">
        <f>IF(DS18=1,Stats!$N33,"")</f>
        <v/>
      </c>
      <c r="DU18" s="68" t="str">
        <f>IF(DS18=1,Stats!$O33,"")</f>
        <v/>
      </c>
      <c r="DV18" s="68" t="str">
        <f>IF(DS18=1,Stats!$P33,"")</f>
        <v/>
      </c>
      <c r="DW18" s="68" t="str">
        <f>IF(DS18=1,Stats!$Q33,"")</f>
        <v/>
      </c>
      <c r="DX18" s="68" t="str">
        <f>IF(DS18=1,Stats!$R33,"")</f>
        <v/>
      </c>
      <c r="DY18" s="68" t="str">
        <f>IF(DS18=1,Stats!$S33,"")</f>
        <v/>
      </c>
      <c r="DZ18" s="68">
        <f t="shared" si="165"/>
        <v>0</v>
      </c>
      <c r="EA18">
        <f t="shared" si="166"/>
        <v>0</v>
      </c>
      <c r="EB18" s="68">
        <f>IF(EA18=0,MAX(EB$2:EB17)+1,0)</f>
        <v>16</v>
      </c>
      <c r="EC18" s="5" t="str">
        <f t="shared" si="167"/>
        <v>Fast</v>
      </c>
      <c r="ED18" s="5" t="str">
        <f t="shared" si="51"/>
        <v>Fast</v>
      </c>
      <c r="EF18">
        <f t="shared" si="52"/>
        <v>16</v>
      </c>
      <c r="EG18" s="5" t="str">
        <f t="shared" si="53"/>
        <v>Fast</v>
      </c>
      <c r="EH18" s="68">
        <f>COUNTIF(Builder!$K$14:$N$14,EG18)</f>
        <v>0</v>
      </c>
      <c r="EI18" s="68" t="str">
        <f>IF(EH18=1,Stats!$N33,"")</f>
        <v/>
      </c>
      <c r="EJ18" s="68" t="str">
        <f>IF(EH18=1,Stats!$O33,"")</f>
        <v/>
      </c>
      <c r="EK18" s="68" t="str">
        <f>IF(EH18=1,Stats!$P33,"")</f>
        <v/>
      </c>
      <c r="EL18" s="68" t="str">
        <f>IF(EH18=1,Stats!$Q33,"")</f>
        <v/>
      </c>
      <c r="EM18" s="68" t="str">
        <f>IF(EH18=1,Stats!$R33,"")</f>
        <v/>
      </c>
      <c r="EN18" s="68" t="str">
        <f>IF(EH18=1,Stats!$S33,"")</f>
        <v/>
      </c>
      <c r="EO18" s="68">
        <f t="shared" si="54"/>
        <v>0</v>
      </c>
      <c r="EP18">
        <f t="shared" si="55"/>
        <v>0</v>
      </c>
      <c r="EQ18" s="68">
        <f>IF(EP18=0,MAX(EQ$2:EQ17)+1,0)</f>
        <v>16</v>
      </c>
      <c r="ER18" s="5" t="str">
        <f t="shared" si="56"/>
        <v>Fast</v>
      </c>
      <c r="ES18" s="5" t="str">
        <f t="shared" si="57"/>
        <v>Fast</v>
      </c>
      <c r="EU18">
        <f t="shared" si="58"/>
        <v>16</v>
      </c>
      <c r="EV18" s="5" t="str">
        <f t="shared" si="59"/>
        <v>Fast</v>
      </c>
      <c r="EW18" s="68">
        <f>COUNTIF(Builder!$K$15:$N$15,EV18)</f>
        <v>0</v>
      </c>
      <c r="EX18" s="68" t="str">
        <f>IF(EW18=1,Stats!$N33,"")</f>
        <v/>
      </c>
      <c r="EY18" s="68" t="str">
        <f>IF(EW18=1,Stats!$O33,"")</f>
        <v/>
      </c>
      <c r="EZ18" s="68" t="str">
        <f>IF(EW18=1,Stats!$P33,"")</f>
        <v/>
      </c>
      <c r="FA18" s="68" t="str">
        <f>IF(EW18=1,Stats!$Q33,"")</f>
        <v/>
      </c>
      <c r="FB18" s="68" t="str">
        <f>IF(EW18=1,Stats!$R33,"")</f>
        <v/>
      </c>
      <c r="FC18" s="68" t="str">
        <f>IF(EW18=1,Stats!$S33,"")</f>
        <v/>
      </c>
      <c r="FD18" s="68">
        <f t="shared" si="60"/>
        <v>0</v>
      </c>
      <c r="FE18">
        <f t="shared" si="61"/>
        <v>0</v>
      </c>
      <c r="FF18" s="68">
        <f>IF(FE18=0,MAX(FF$2:FF17)+1,0)</f>
        <v>16</v>
      </c>
      <c r="FG18" s="5" t="str">
        <f t="shared" si="62"/>
        <v>Fast</v>
      </c>
      <c r="FH18" s="5" t="str">
        <f t="shared" si="63"/>
        <v>Fast</v>
      </c>
      <c r="FJ18">
        <f t="shared" si="64"/>
        <v>16</v>
      </c>
      <c r="FK18" s="5" t="str">
        <f t="shared" si="65"/>
        <v>Fast</v>
      </c>
      <c r="FL18" s="68">
        <f>COUNTIF(Builder!$K$16:$N$16,FK18)</f>
        <v>0</v>
      </c>
      <c r="FM18" s="68" t="str">
        <f>IF(FL18=1,Stats!$N33,"")</f>
        <v/>
      </c>
      <c r="FN18" s="68" t="str">
        <f>IF(FL18=1,Stats!$O33,"")</f>
        <v/>
      </c>
      <c r="FO18" s="68" t="str">
        <f>IF(FL18=1,Stats!$P33,"")</f>
        <v/>
      </c>
      <c r="FP18" s="68" t="str">
        <f>IF(FL18=1,Stats!$Q33,"")</f>
        <v/>
      </c>
      <c r="FQ18" s="68" t="str">
        <f>IF(FL18=1,Stats!$R33,"")</f>
        <v/>
      </c>
      <c r="FR18" s="68" t="str">
        <f>IF(FL18=1,Stats!$S33,"")</f>
        <v/>
      </c>
      <c r="FS18" s="68">
        <f t="shared" si="66"/>
        <v>0</v>
      </c>
      <c r="FT18">
        <f t="shared" si="67"/>
        <v>0</v>
      </c>
      <c r="FU18" s="68">
        <f>IF(FT18=0,MAX(FU$2:FU17)+1,0)</f>
        <v>16</v>
      </c>
      <c r="FV18" s="5" t="str">
        <f t="shared" si="68"/>
        <v>Fast</v>
      </c>
      <c r="FW18" s="5" t="str">
        <f t="shared" si="69"/>
        <v>Fast</v>
      </c>
      <c r="FY18">
        <f t="shared" si="168"/>
        <v>16</v>
      </c>
      <c r="FZ18" s="5" t="str">
        <f t="shared" si="169"/>
        <v>Fast</v>
      </c>
      <c r="GA18" s="68">
        <f>COUNTIF(Builder!$K$17:$N$17,FZ18)</f>
        <v>0</v>
      </c>
      <c r="GB18" s="68" t="str">
        <f>IF(GA18=1,Stats!$N33,"")</f>
        <v/>
      </c>
      <c r="GC18" s="68" t="str">
        <f>IF(GA18=1,Stats!$O33,"")</f>
        <v/>
      </c>
      <c r="GD18" s="68" t="str">
        <f>IF(GA18=1,Stats!$P33,"")</f>
        <v/>
      </c>
      <c r="GE18" s="68" t="str">
        <f>IF(GA18=1,Stats!$Q33,"")</f>
        <v/>
      </c>
      <c r="GF18" s="68" t="str">
        <f>IF(GA18=1,Stats!$R33,"")</f>
        <v/>
      </c>
      <c r="GG18" s="68" t="str">
        <f>IF(GA18=1,Stats!$S33,"")</f>
        <v/>
      </c>
      <c r="GH18" s="68">
        <f t="shared" si="170"/>
        <v>0</v>
      </c>
      <c r="GI18">
        <f t="shared" si="171"/>
        <v>0</v>
      </c>
      <c r="GJ18" s="68">
        <f>IF(GI18=0,MAX(GJ$2:GJ17)+1,0)</f>
        <v>16</v>
      </c>
      <c r="GK18" s="5" t="str">
        <f t="shared" si="172"/>
        <v>Fast</v>
      </c>
      <c r="GL18" s="5" t="str">
        <f t="shared" si="75"/>
        <v>Fast</v>
      </c>
      <c r="GN18">
        <f t="shared" si="76"/>
        <v>16</v>
      </c>
      <c r="GO18" s="5" t="str">
        <f t="shared" si="77"/>
        <v>Fast</v>
      </c>
      <c r="GP18" s="68">
        <f>COUNTIF(Builder!$K$18:$N$18,GO18)</f>
        <v>0</v>
      </c>
      <c r="GQ18" s="68" t="str">
        <f>IF(GP18=1,Stats!$N33,"")</f>
        <v/>
      </c>
      <c r="GR18" s="68" t="str">
        <f>IF(GP18=1,Stats!$O33,"")</f>
        <v/>
      </c>
      <c r="GS18" s="68" t="str">
        <f>IF(GP18=1,Stats!$P33,"")</f>
        <v/>
      </c>
      <c r="GT18" s="68" t="str">
        <f>IF(GP18=1,Stats!$Q33,"")</f>
        <v/>
      </c>
      <c r="GU18" s="68" t="str">
        <f>IF(GP18=1,Stats!$R33,"")</f>
        <v/>
      </c>
      <c r="GV18" s="68" t="str">
        <f>IF(GP18=1,Stats!$S33,"")</f>
        <v/>
      </c>
      <c r="GW18" s="68">
        <f t="shared" si="78"/>
        <v>0</v>
      </c>
      <c r="GX18">
        <f t="shared" si="79"/>
        <v>0</v>
      </c>
      <c r="GY18" s="68">
        <f>IF(GX18=0,MAX(GY$2:GY17)+1,0)</f>
        <v>16</v>
      </c>
      <c r="GZ18" s="5" t="str">
        <f t="shared" si="80"/>
        <v>Fast</v>
      </c>
      <c r="HA18" s="5" t="str">
        <f t="shared" si="81"/>
        <v>Fast</v>
      </c>
      <c r="HC18">
        <f t="shared" si="82"/>
        <v>16</v>
      </c>
      <c r="HD18" s="5" t="str">
        <f t="shared" si="83"/>
        <v>Fast</v>
      </c>
      <c r="HE18" s="68">
        <f>COUNTIF(Builder!$K$19:$N$19,HD18)</f>
        <v>0</v>
      </c>
      <c r="HF18" s="68" t="str">
        <f>IF(HE18=1,Stats!$N33,"")</f>
        <v/>
      </c>
      <c r="HG18" s="68" t="str">
        <f>IF(HE18=1,Stats!$O33,"")</f>
        <v/>
      </c>
      <c r="HH18" s="68" t="str">
        <f>IF(HE18=1,Stats!$P33,"")</f>
        <v/>
      </c>
      <c r="HI18" s="68" t="str">
        <f>IF(HE18=1,Stats!$Q33,"")</f>
        <v/>
      </c>
      <c r="HJ18" s="68" t="str">
        <f>IF(HE18=1,Stats!$R33,"")</f>
        <v/>
      </c>
      <c r="HK18" s="68" t="str">
        <f>IF(HE18=1,Stats!$S33,"")</f>
        <v/>
      </c>
      <c r="HL18" s="68">
        <f t="shared" si="84"/>
        <v>0</v>
      </c>
      <c r="HM18">
        <f t="shared" si="85"/>
        <v>0</v>
      </c>
      <c r="HN18" s="68">
        <f>IF(HM18=0,MAX(HN$2:HN17)+1,0)</f>
        <v>16</v>
      </c>
      <c r="HO18" s="5" t="str">
        <f t="shared" si="86"/>
        <v>Fast</v>
      </c>
      <c r="HP18" s="5" t="str">
        <f t="shared" si="87"/>
        <v>Fast</v>
      </c>
      <c r="HR18">
        <f t="shared" si="88"/>
        <v>16</v>
      </c>
      <c r="HS18" s="5" t="str">
        <f t="shared" si="89"/>
        <v>Fast</v>
      </c>
      <c r="HT18" s="68">
        <f>COUNTIF(Builder!$K$20:$N$20,HS18)</f>
        <v>0</v>
      </c>
      <c r="HU18" s="68" t="str">
        <f>IF(HT18=1,Stats!$N33,"")</f>
        <v/>
      </c>
      <c r="HV18" s="68" t="str">
        <f>IF(HT18=1,Stats!$O33,"")</f>
        <v/>
      </c>
      <c r="HW18" s="68" t="str">
        <f>IF(HT18=1,Stats!$P33,"")</f>
        <v/>
      </c>
      <c r="HX18" s="68" t="str">
        <f>IF(HT18=1,Stats!$Q33,"")</f>
        <v/>
      </c>
      <c r="HY18" s="68" t="str">
        <f>IF(HT18=1,Stats!$R33,"")</f>
        <v/>
      </c>
      <c r="HZ18" s="68" t="str">
        <f>IF(HT18=1,Stats!$S33,"")</f>
        <v/>
      </c>
      <c r="IA18" s="68">
        <f t="shared" si="90"/>
        <v>0</v>
      </c>
      <c r="IB18">
        <f t="shared" si="91"/>
        <v>0</v>
      </c>
      <c r="IC18" s="68">
        <f>IF(IB18=0,MAX(IC$2:IC17)+1,0)</f>
        <v>16</v>
      </c>
      <c r="ID18" s="5" t="str">
        <f t="shared" si="92"/>
        <v>Fast</v>
      </c>
      <c r="IE18" s="5" t="str">
        <f t="shared" si="93"/>
        <v>Fast</v>
      </c>
      <c r="IG18">
        <f t="shared" si="94"/>
        <v>16</v>
      </c>
      <c r="IH18" s="5" t="str">
        <f t="shared" si="95"/>
        <v>Fast</v>
      </c>
      <c r="II18" s="68">
        <f>COUNTIF(Builder!$K$21:$N$21,IH18)</f>
        <v>0</v>
      </c>
      <c r="IJ18" s="68" t="str">
        <f>IF(II18=1,Stats!$N33,"")</f>
        <v/>
      </c>
      <c r="IK18" s="68" t="str">
        <f>IF(II18=1,Stats!$O33,"")</f>
        <v/>
      </c>
      <c r="IL18" s="68" t="str">
        <f>IF(II18=1,Stats!$P33,"")</f>
        <v/>
      </c>
      <c r="IM18" s="68" t="str">
        <f>IF(II18=1,Stats!$Q33,"")</f>
        <v/>
      </c>
      <c r="IN18" s="68" t="str">
        <f>IF(II18=1,Stats!$R33,"")</f>
        <v/>
      </c>
      <c r="IO18" s="68" t="str">
        <f>IF(II18=1,Stats!$S33,"")</f>
        <v/>
      </c>
      <c r="IP18" s="68">
        <f t="shared" si="96"/>
        <v>0</v>
      </c>
      <c r="IQ18">
        <f t="shared" si="97"/>
        <v>0</v>
      </c>
      <c r="IR18" s="68">
        <f>IF(IQ18=0,MAX(IR$2:IR17)+1,0)</f>
        <v>16</v>
      </c>
      <c r="IS18" s="5" t="str">
        <f t="shared" si="98"/>
        <v>Fast</v>
      </c>
      <c r="IT18" s="5" t="str">
        <f t="shared" si="99"/>
        <v>Fast</v>
      </c>
      <c r="IV18">
        <f t="shared" si="100"/>
        <v>16</v>
      </c>
      <c r="IW18" s="5" t="str">
        <f t="shared" si="101"/>
        <v>Fast</v>
      </c>
      <c r="IX18" s="68">
        <f>COUNTIF(Builder!$K$22:$N$22,IW18)</f>
        <v>0</v>
      </c>
      <c r="IY18" s="68" t="str">
        <f>IF(IX18=1,Stats!$N33,"")</f>
        <v/>
      </c>
      <c r="IZ18" s="68" t="str">
        <f>IF(IX18=1,Stats!$O33,"")</f>
        <v/>
      </c>
      <c r="JA18" s="68" t="str">
        <f>IF(IX18=1,Stats!$P33,"")</f>
        <v/>
      </c>
      <c r="JB18" s="68" t="str">
        <f>IF(IX18=1,Stats!$Q33,"")</f>
        <v/>
      </c>
      <c r="JC18" s="68" t="str">
        <f>IF(IX18=1,Stats!$R33,"")</f>
        <v/>
      </c>
      <c r="JD18" s="68" t="str">
        <f>IF(IX18=1,Stats!$S33,"")</f>
        <v/>
      </c>
      <c r="JE18" s="68">
        <f t="shared" si="102"/>
        <v>0</v>
      </c>
      <c r="JF18">
        <f t="shared" si="103"/>
        <v>0</v>
      </c>
      <c r="JG18" s="68">
        <f>IF(JF18=0,MAX(JG$2:JG17)+1,0)</f>
        <v>16</v>
      </c>
      <c r="JH18" s="5" t="str">
        <f t="shared" si="104"/>
        <v>Fast</v>
      </c>
      <c r="JI18" s="5" t="str">
        <f t="shared" si="105"/>
        <v>Fast</v>
      </c>
      <c r="JK18">
        <f t="shared" si="106"/>
        <v>16</v>
      </c>
      <c r="JL18" s="5" t="str">
        <f t="shared" si="107"/>
        <v>Fast</v>
      </c>
      <c r="JM18" s="68">
        <f>COUNTIF(Builder!$K$23:$N$23,JL18)</f>
        <v>0</v>
      </c>
      <c r="JN18" s="68" t="str">
        <f>IF(JM18=1,Stats!$N33,"")</f>
        <v/>
      </c>
      <c r="JO18" s="68" t="str">
        <f>IF(JM18=1,Stats!$O33,"")</f>
        <v/>
      </c>
      <c r="JP18" s="68" t="str">
        <f>IF(JM18=1,Stats!$P33,"")</f>
        <v/>
      </c>
      <c r="JQ18" s="68" t="str">
        <f>IF(JM18=1,Stats!$Q33,"")</f>
        <v/>
      </c>
      <c r="JR18" s="68" t="str">
        <f>IF(JM18=1,Stats!$R33,"")</f>
        <v/>
      </c>
      <c r="JS18" s="68" t="str">
        <f>IF(JM18=1,Stats!$S33,"")</f>
        <v/>
      </c>
      <c r="JT18" s="68">
        <f t="shared" si="108"/>
        <v>0</v>
      </c>
      <c r="JU18">
        <f t="shared" si="109"/>
        <v>0</v>
      </c>
      <c r="JV18" s="68">
        <f>IF(JU18=0,MAX(JV$2:JV17)+1,0)</f>
        <v>16</v>
      </c>
      <c r="JW18" s="5" t="str">
        <f t="shared" si="110"/>
        <v>Fast</v>
      </c>
      <c r="JX18" s="5" t="str">
        <f t="shared" si="111"/>
        <v>Fast</v>
      </c>
      <c r="JZ18">
        <f t="shared" si="112"/>
        <v>16</v>
      </c>
      <c r="KA18" s="5" t="str">
        <f t="shared" si="113"/>
        <v>Fast</v>
      </c>
      <c r="KB18" s="68">
        <f>COUNTIF(Builder!$K$24:$N$24,KA18)</f>
        <v>0</v>
      </c>
      <c r="KC18" s="68" t="str">
        <f>IF(KB18=1,Stats!$N33,"")</f>
        <v/>
      </c>
      <c r="KD18" s="68" t="str">
        <f>IF(KB18=1,Stats!$O33,"")</f>
        <v/>
      </c>
      <c r="KE18" s="68" t="str">
        <f>IF(KB18=1,Stats!$P33,"")</f>
        <v/>
      </c>
      <c r="KF18" s="68" t="str">
        <f>IF(KB18=1,Stats!$Q33,"")</f>
        <v/>
      </c>
      <c r="KG18" s="68" t="str">
        <f>IF(KB18=1,Stats!$R33,"")</f>
        <v/>
      </c>
      <c r="KH18" s="68" t="str">
        <f>IF(KB18=1,Stats!$S33,"")</f>
        <v/>
      </c>
      <c r="KI18" s="68">
        <f t="shared" si="114"/>
        <v>0</v>
      </c>
      <c r="KJ18">
        <f t="shared" si="115"/>
        <v>0</v>
      </c>
      <c r="KK18" s="68">
        <f>IF(KJ18=0,MAX(KK$2:KK17)+1,0)</f>
        <v>16</v>
      </c>
      <c r="KL18" s="5" t="str">
        <f t="shared" si="116"/>
        <v>Fast</v>
      </c>
      <c r="KM18" s="5" t="str">
        <f t="shared" si="117"/>
        <v>Fast</v>
      </c>
      <c r="KO18">
        <f t="shared" si="118"/>
        <v>16</v>
      </c>
      <c r="KP18" s="5" t="str">
        <f t="shared" si="119"/>
        <v>Fast</v>
      </c>
      <c r="KQ18" s="68">
        <f>COUNTIF(Builder!$K$25:$N$25,KP18)</f>
        <v>0</v>
      </c>
      <c r="KR18" s="68" t="str">
        <f>IF(KQ18=1,Stats!$N33,"")</f>
        <v/>
      </c>
      <c r="KS18" s="68" t="str">
        <f>IF(KQ18=1,Stats!$O33,"")</f>
        <v/>
      </c>
      <c r="KT18" s="68" t="str">
        <f>IF(KQ18=1,Stats!$P33,"")</f>
        <v/>
      </c>
      <c r="KU18" s="68" t="str">
        <f>IF(KQ18=1,Stats!$Q33,"")</f>
        <v/>
      </c>
      <c r="KV18" s="68" t="str">
        <f>IF(KQ18=1,Stats!$R33,"")</f>
        <v/>
      </c>
      <c r="KW18" s="68" t="str">
        <f>IF(KQ18=1,Stats!$S33,"")</f>
        <v/>
      </c>
      <c r="KX18" s="68">
        <f t="shared" si="120"/>
        <v>0</v>
      </c>
      <c r="KY18">
        <f t="shared" si="121"/>
        <v>0</v>
      </c>
      <c r="KZ18" s="68">
        <f>IF(KY18=0,MAX(KZ$2:KZ17)+1,0)</f>
        <v>16</v>
      </c>
      <c r="LA18" s="5" t="str">
        <f t="shared" si="122"/>
        <v>Fast</v>
      </c>
      <c r="LB18" s="5" t="str">
        <f t="shared" si="123"/>
        <v>Fast</v>
      </c>
      <c r="LD18">
        <f t="shared" si="124"/>
        <v>16</v>
      </c>
      <c r="LE18" s="5" t="str">
        <f t="shared" si="125"/>
        <v>Fast</v>
      </c>
      <c r="LF18" s="68">
        <f>COUNTIF(Builder!$K$26:$N$26,LE18)</f>
        <v>0</v>
      </c>
      <c r="LG18" s="68" t="str">
        <f>IF(LF18=1,Stats!$N33,"")</f>
        <v/>
      </c>
      <c r="LH18" s="68" t="str">
        <f>IF(LF18=1,Stats!$O33,"")</f>
        <v/>
      </c>
      <c r="LI18" s="68" t="str">
        <f>IF(LF18=1,Stats!$P33,"")</f>
        <v/>
      </c>
      <c r="LJ18" s="68" t="str">
        <f>IF(LF18=1,Stats!$Q33,"")</f>
        <v/>
      </c>
      <c r="LK18" s="68" t="str">
        <f>IF(LF18=1,Stats!$R33,"")</f>
        <v/>
      </c>
      <c r="LL18" s="68" t="str">
        <f>IF(LF18=1,Stats!$S33,"")</f>
        <v/>
      </c>
      <c r="LM18" s="68">
        <f t="shared" si="126"/>
        <v>0</v>
      </c>
      <c r="LN18">
        <f t="shared" si="127"/>
        <v>0</v>
      </c>
      <c r="LO18" s="68">
        <f>IF(LN18=0,MAX(LO$2:LO17)+1,0)</f>
        <v>16</v>
      </c>
      <c r="LP18" s="5" t="str">
        <f t="shared" si="128"/>
        <v>Fast</v>
      </c>
      <c r="LQ18" s="5" t="str">
        <f t="shared" si="129"/>
        <v>Fast</v>
      </c>
      <c r="LS18">
        <f t="shared" si="130"/>
        <v>16</v>
      </c>
      <c r="LT18" s="5" t="str">
        <f t="shared" si="131"/>
        <v>Fast</v>
      </c>
      <c r="LU18" s="68">
        <f>COUNTIF(Builder!$K$27:$N$27,LT18)</f>
        <v>0</v>
      </c>
      <c r="LV18" s="68" t="str">
        <f>IF(LU18=1,Stats!$N33,"")</f>
        <v/>
      </c>
      <c r="LW18" s="68" t="str">
        <f>IF(LU18=1,Stats!$O33,"")</f>
        <v/>
      </c>
      <c r="LX18" s="68" t="str">
        <f>IF(LU18=1,Stats!$P33,"")</f>
        <v/>
      </c>
      <c r="LY18" s="68" t="str">
        <f>IF(LU18=1,Stats!$Q33,"")</f>
        <v/>
      </c>
      <c r="LZ18" s="68" t="str">
        <f>IF(LU18=1,Stats!$R33,"")</f>
        <v/>
      </c>
      <c r="MA18" s="68" t="str">
        <f>IF(LU18=1,Stats!$S33,"")</f>
        <v/>
      </c>
      <c r="MB18" s="68">
        <f t="shared" si="132"/>
        <v>0</v>
      </c>
      <c r="MC18">
        <f t="shared" si="133"/>
        <v>0</v>
      </c>
      <c r="MD18" s="68">
        <f>IF(MC18=0,MAX(MD$2:MD17)+1,0)</f>
        <v>16</v>
      </c>
      <c r="ME18" s="5" t="str">
        <f t="shared" si="134"/>
        <v>Fast</v>
      </c>
      <c r="MF18" s="5" t="str">
        <f t="shared" si="135"/>
        <v>Fast</v>
      </c>
      <c r="MH18">
        <f t="shared" si="136"/>
        <v>16</v>
      </c>
      <c r="MI18" s="5" t="str">
        <f t="shared" si="137"/>
        <v>Fast</v>
      </c>
      <c r="MJ18" s="68">
        <f>COUNTIF(Builder!$K$28:$N$28,MI18)</f>
        <v>0</v>
      </c>
      <c r="MK18" s="68" t="str">
        <f>IF(MJ18=1,Stats!$N33,"")</f>
        <v/>
      </c>
      <c r="ML18" s="68" t="str">
        <f>IF(MJ18=1,Stats!$O33,"")</f>
        <v/>
      </c>
      <c r="MM18" s="68" t="str">
        <f>IF(MJ18=1,Stats!$P33,"")</f>
        <v/>
      </c>
      <c r="MN18" s="68" t="str">
        <f>IF(MJ18=1,Stats!$Q33,"")</f>
        <v/>
      </c>
      <c r="MO18" s="68" t="str">
        <f>IF(MJ18=1,Stats!$R33,"")</f>
        <v/>
      </c>
      <c r="MP18" s="68" t="str">
        <f>IF(MJ18=1,Stats!$S33,"")</f>
        <v/>
      </c>
      <c r="MQ18" s="68">
        <f t="shared" si="138"/>
        <v>0</v>
      </c>
      <c r="MR18">
        <f t="shared" si="139"/>
        <v>0</v>
      </c>
      <c r="MS18" s="68">
        <f>IF(MR18=0,MAX(MS$2:MS17)+1,0)</f>
        <v>16</v>
      </c>
      <c r="MT18" s="5" t="str">
        <f t="shared" si="140"/>
        <v>Fast</v>
      </c>
      <c r="MU18" s="5" t="str">
        <f t="shared" si="141"/>
        <v>Fast</v>
      </c>
      <c r="MW18">
        <f t="shared" si="142"/>
        <v>16</v>
      </c>
      <c r="MX18" s="5" t="str">
        <f t="shared" si="143"/>
        <v>Fast</v>
      </c>
      <c r="MY18" s="68">
        <f>COUNTIF(Builder!$K$29:$N$29,MX18)</f>
        <v>0</v>
      </c>
      <c r="MZ18" s="68" t="str">
        <f>IF(MY18=1,Stats!$N33,"")</f>
        <v/>
      </c>
      <c r="NA18" s="68" t="str">
        <f>IF(MY18=1,Stats!$O33,"")</f>
        <v/>
      </c>
      <c r="NB18" s="68" t="str">
        <f>IF(MY18=1,Stats!$P33,"")</f>
        <v/>
      </c>
      <c r="NC18" s="68" t="str">
        <f>IF(MY18=1,Stats!$Q33,"")</f>
        <v/>
      </c>
      <c r="ND18" s="68" t="str">
        <f>IF(MY18=1,Stats!$R33,"")</f>
        <v/>
      </c>
      <c r="NE18" s="68" t="str">
        <f>IF(MY18=1,Stats!$S33,"")</f>
        <v/>
      </c>
      <c r="NF18" s="68">
        <f t="shared" si="144"/>
        <v>0</v>
      </c>
      <c r="NG18">
        <f t="shared" si="145"/>
        <v>0</v>
      </c>
      <c r="NH18" s="68">
        <f>IF(NG18=0,MAX(NH$2:NH17)+1,0)</f>
        <v>16</v>
      </c>
      <c r="NI18" s="5" t="str">
        <f t="shared" si="146"/>
        <v>Fast</v>
      </c>
      <c r="NJ18" s="5" t="str">
        <f t="shared" si="147"/>
        <v>Fast</v>
      </c>
    </row>
    <row r="19" spans="1:374" ht="15" x14ac:dyDescent="0.3">
      <c r="A19">
        <v>17</v>
      </c>
      <c r="B19" s="5" t="s">
        <v>29</v>
      </c>
      <c r="C19" s="68">
        <f>COUNTIF(Builder!$K$5:$N$5,B19)</f>
        <v>0</v>
      </c>
      <c r="D19" s="68" t="str">
        <f>IF(C19=1,Stats!$N34,"")</f>
        <v/>
      </c>
      <c r="E19" s="68" t="str">
        <f>IF(C19=1,Stats!$O34,"")</f>
        <v/>
      </c>
      <c r="F19" s="68" t="str">
        <f>IF(C19=1,Stats!$P34,"")</f>
        <v/>
      </c>
      <c r="G19" s="68" t="str">
        <f>IF(C19=1,Stats!$Q34,"")</f>
        <v/>
      </c>
      <c r="H19" s="68" t="str">
        <f>IF(C19=1,Stats!$R34,"")</f>
        <v/>
      </c>
      <c r="I19" s="68" t="str">
        <f>IF(C19=1,Stats!$S34,"")</f>
        <v/>
      </c>
      <c r="J19" s="68">
        <f t="shared" si="0"/>
        <v>0</v>
      </c>
      <c r="K19">
        <f t="shared" si="1"/>
        <v>0</v>
      </c>
      <c r="L19" s="68">
        <f>IF(K19=0,MAX($L$2:L18)+1,0)</f>
        <v>17</v>
      </c>
      <c r="M19" s="5" t="str">
        <f t="shared" si="2"/>
        <v>Feast</v>
      </c>
      <c r="N19" s="5" t="str">
        <f t="shared" si="3"/>
        <v>Feast</v>
      </c>
      <c r="O19" s="5"/>
      <c r="P19">
        <f t="shared" si="4"/>
        <v>17</v>
      </c>
      <c r="Q19" s="5" t="str">
        <f t="shared" si="5"/>
        <v>Feast</v>
      </c>
      <c r="R19" s="68">
        <f>COUNTIF(Builder!$K$6:$N$6,Q19)</f>
        <v>0</v>
      </c>
      <c r="S19" s="68" t="str">
        <f>IF(R19=1,Stats!$N34,"")</f>
        <v/>
      </c>
      <c r="T19" s="68" t="str">
        <f>IF(R19=1,Stats!$O34,"")</f>
        <v/>
      </c>
      <c r="U19" s="68" t="str">
        <f>IF(R19=1,Stats!$P34,"")</f>
        <v/>
      </c>
      <c r="V19" s="68" t="str">
        <f>IF(R19=1,Stats!$Q34,"")</f>
        <v/>
      </c>
      <c r="W19" s="68" t="str">
        <f>IF(R19=1,Stats!$R34,"")</f>
        <v/>
      </c>
      <c r="X19" s="68" t="str">
        <f>IF(R19=1,Stats!$S34,"")</f>
        <v/>
      </c>
      <c r="Y19" s="68">
        <f t="shared" si="6"/>
        <v>0</v>
      </c>
      <c r="Z19">
        <f t="shared" si="7"/>
        <v>0</v>
      </c>
      <c r="AA19" s="68">
        <f>IF(Z19=0,MAX($AA$2:AA18)+1,0)</f>
        <v>17</v>
      </c>
      <c r="AB19" s="5" t="str">
        <f t="shared" si="8"/>
        <v>Feast</v>
      </c>
      <c r="AC19" s="5" t="str">
        <f t="shared" si="9"/>
        <v>Feast</v>
      </c>
      <c r="AD19" s="5"/>
      <c r="AE19">
        <f t="shared" si="10"/>
        <v>17</v>
      </c>
      <c r="AF19" s="5" t="str">
        <f t="shared" si="11"/>
        <v>Feast</v>
      </c>
      <c r="AG19" s="68">
        <f>COUNTIF(Builder!$K$7:$N$7,AF19)</f>
        <v>0</v>
      </c>
      <c r="AH19" s="68" t="str">
        <f>IF(AG19=1,Stats!$N34,"")</f>
        <v/>
      </c>
      <c r="AI19" s="68" t="str">
        <f>IF(AG19=1,Stats!$O34,"")</f>
        <v/>
      </c>
      <c r="AJ19" s="68" t="str">
        <f>IF(AG19=1,Stats!$P34,"")</f>
        <v/>
      </c>
      <c r="AK19" s="68" t="str">
        <f>IF(AG19=1,Stats!$Q34,"")</f>
        <v/>
      </c>
      <c r="AL19" s="68" t="str">
        <f>IF(AG19=1,Stats!$R34,"")</f>
        <v/>
      </c>
      <c r="AM19" s="68" t="str">
        <f>IF(AG19=1,Stats!$S34,"")</f>
        <v/>
      </c>
      <c r="AN19" s="68">
        <f t="shared" si="12"/>
        <v>0</v>
      </c>
      <c r="AO19">
        <f t="shared" si="13"/>
        <v>0</v>
      </c>
      <c r="AP19" s="68">
        <f>IF(AO19=0,MAX($AP$2:AP18)+1,0)</f>
        <v>17</v>
      </c>
      <c r="AQ19" s="5" t="str">
        <f t="shared" si="14"/>
        <v>Feast</v>
      </c>
      <c r="AR19" s="5" t="str">
        <f t="shared" si="15"/>
        <v>Feast</v>
      </c>
      <c r="AS19" s="5"/>
      <c r="AT19">
        <f t="shared" si="16"/>
        <v>17</v>
      </c>
      <c r="AU19" s="5" t="str">
        <f t="shared" si="17"/>
        <v>Feast</v>
      </c>
      <c r="AV19" s="68">
        <f>COUNTIF(Builder!$K$8:$N$8,AU19)</f>
        <v>0</v>
      </c>
      <c r="AW19" s="68" t="str">
        <f>IF(AV19=1,Stats!$N34,"")</f>
        <v/>
      </c>
      <c r="AX19" s="68" t="str">
        <f>IF(AV19=1,Stats!$O34,"")</f>
        <v/>
      </c>
      <c r="AY19" s="68" t="str">
        <f>IF(AV19=1,Stats!$P34,"")</f>
        <v/>
      </c>
      <c r="AZ19" s="68" t="str">
        <f>IF(AV19=1,Stats!$Q34,"")</f>
        <v/>
      </c>
      <c r="BA19" s="68" t="str">
        <f>IF(AV19=1,Stats!$R34,"")</f>
        <v/>
      </c>
      <c r="BB19" s="68" t="str">
        <f>IF(AV19=1,Stats!$S34,"")</f>
        <v/>
      </c>
      <c r="BC19" s="68">
        <f t="shared" si="18"/>
        <v>0</v>
      </c>
      <c r="BD19">
        <f t="shared" si="19"/>
        <v>0</v>
      </c>
      <c r="BE19" s="68">
        <f>IF(BD19=0,MAX($BE$2:BE18)+1,0)</f>
        <v>17</v>
      </c>
      <c r="BF19" s="5" t="str">
        <f t="shared" si="20"/>
        <v>Feast</v>
      </c>
      <c r="BG19" s="5" t="str">
        <f t="shared" si="21"/>
        <v>Feast</v>
      </c>
      <c r="BH19" s="5"/>
      <c r="BI19">
        <f t="shared" si="148"/>
        <v>17</v>
      </c>
      <c r="BJ19" s="5" t="str">
        <f t="shared" si="149"/>
        <v>Feast</v>
      </c>
      <c r="BK19" s="68">
        <f>COUNTIF(Builder!$K$9:$N$9,BJ19)</f>
        <v>0</v>
      </c>
      <c r="BL19" s="68" t="str">
        <f>IF(BK19=1,Stats!$N34,"")</f>
        <v/>
      </c>
      <c r="BM19" s="68" t="str">
        <f>IF(BK19=1,Stats!$O34,"")</f>
        <v/>
      </c>
      <c r="BN19" s="68" t="str">
        <f>IF(BK19=1,Stats!$P34,"")</f>
        <v/>
      </c>
      <c r="BO19" s="68" t="str">
        <f>IF(BK19=1,Stats!$Q34,"")</f>
        <v/>
      </c>
      <c r="BP19" s="68" t="str">
        <f>IF(BK19=1,Stats!$R34,"")</f>
        <v/>
      </c>
      <c r="BQ19" s="68" t="str">
        <f>IF(BK19=1,Stats!$S34,"")</f>
        <v/>
      </c>
      <c r="BR19" s="68">
        <f t="shared" si="150"/>
        <v>0</v>
      </c>
      <c r="BS19">
        <f t="shared" si="151"/>
        <v>0</v>
      </c>
      <c r="BT19" s="68">
        <f>IF(BS19=0,MAX(BT$2:BT18)+1,0)</f>
        <v>17</v>
      </c>
      <c r="BU19" s="5" t="str">
        <f t="shared" si="152"/>
        <v>Feast</v>
      </c>
      <c r="BV19" s="5" t="str">
        <f t="shared" si="27"/>
        <v>Feast</v>
      </c>
      <c r="BX19">
        <f t="shared" si="153"/>
        <v>17</v>
      </c>
      <c r="BY19" s="5" t="str">
        <f t="shared" si="154"/>
        <v>Feast</v>
      </c>
      <c r="BZ19" s="68">
        <f>COUNTIF(Builder!$K$10:$N$10,BY19)</f>
        <v>0</v>
      </c>
      <c r="CA19" s="68" t="str">
        <f>IF(BZ19=1,Stats!$N34,"")</f>
        <v/>
      </c>
      <c r="CB19" s="68" t="str">
        <f>IF(BZ19=1,Stats!$O34,"")</f>
        <v/>
      </c>
      <c r="CC19" s="68" t="str">
        <f>IF(BZ19=1,Stats!$P34,"")</f>
        <v/>
      </c>
      <c r="CD19" s="68" t="str">
        <f>IF(BZ19=1,Stats!$Q34,"")</f>
        <v/>
      </c>
      <c r="CE19" s="68" t="str">
        <f>IF(BZ19=1,Stats!$R34,"")</f>
        <v/>
      </c>
      <c r="CF19" s="68" t="str">
        <f>IF(BZ19=1,Stats!$S34,"")</f>
        <v/>
      </c>
      <c r="CG19" s="68">
        <f t="shared" si="155"/>
        <v>0</v>
      </c>
      <c r="CH19">
        <f t="shared" si="156"/>
        <v>0</v>
      </c>
      <c r="CI19" s="68">
        <f>IF(CH19=0,MAX(CI$2:CI18)+1,0)</f>
        <v>17</v>
      </c>
      <c r="CJ19" s="5" t="str">
        <f t="shared" si="157"/>
        <v>Feast</v>
      </c>
      <c r="CK19" s="5" t="str">
        <f t="shared" si="33"/>
        <v>Feast</v>
      </c>
      <c r="CM19">
        <f t="shared" si="34"/>
        <v>17</v>
      </c>
      <c r="CN19" s="5" t="str">
        <f t="shared" si="35"/>
        <v>Feast</v>
      </c>
      <c r="CO19" s="68">
        <f>COUNTIF(Builder!$K$11:$N$11,CN19)</f>
        <v>0</v>
      </c>
      <c r="CP19" s="68" t="str">
        <f>IF(CO19=1,Stats!$N34,"")</f>
        <v/>
      </c>
      <c r="CQ19" s="68" t="str">
        <f>IF(CO19=1,Stats!$O34,"")</f>
        <v/>
      </c>
      <c r="CR19" s="68" t="str">
        <f>IF(CO19=1,Stats!$P34,"")</f>
        <v/>
      </c>
      <c r="CS19" s="68" t="str">
        <f>IF(CO19=1,Stats!$Q34,"")</f>
        <v/>
      </c>
      <c r="CT19" s="68" t="str">
        <f>IF(CO19=1,Stats!$R34,"")</f>
        <v/>
      </c>
      <c r="CU19" s="68" t="str">
        <f>IF(CO19=1,Stats!$S34,"")</f>
        <v/>
      </c>
      <c r="CV19" s="68">
        <f t="shared" si="36"/>
        <v>0</v>
      </c>
      <c r="CW19">
        <f t="shared" si="37"/>
        <v>0</v>
      </c>
      <c r="CX19" s="68">
        <f>IF(CW19=0,MAX(CX$2:CX18)+1,0)</f>
        <v>17</v>
      </c>
      <c r="CY19" s="5" t="str">
        <f t="shared" si="38"/>
        <v>Feast</v>
      </c>
      <c r="CZ19" s="5" t="str">
        <f t="shared" si="39"/>
        <v>Feast</v>
      </c>
      <c r="DB19">
        <f t="shared" si="158"/>
        <v>17</v>
      </c>
      <c r="DC19" s="5" t="str">
        <f t="shared" si="159"/>
        <v>Feast</v>
      </c>
      <c r="DD19" s="68">
        <f>COUNTIF(Builder!$K$12:$N$12,DC19)</f>
        <v>0</v>
      </c>
      <c r="DE19" s="68" t="str">
        <f>IF(DD19=1,Stats!$N34,"")</f>
        <v/>
      </c>
      <c r="DF19" s="68" t="str">
        <f>IF(DD19=1,Stats!$O34,"")</f>
        <v/>
      </c>
      <c r="DG19" s="68" t="str">
        <f>IF(DD19=1,Stats!$P34,"")</f>
        <v/>
      </c>
      <c r="DH19" s="68" t="str">
        <f>IF(DD19=1,Stats!$Q34,"")</f>
        <v/>
      </c>
      <c r="DI19" s="68" t="str">
        <f>IF(DD19=1,Stats!$R34,"")</f>
        <v/>
      </c>
      <c r="DJ19" s="68" t="str">
        <f>IF(DD19=1,Stats!$S34,"")</f>
        <v/>
      </c>
      <c r="DK19" s="68">
        <f t="shared" si="160"/>
        <v>0</v>
      </c>
      <c r="DL19">
        <f t="shared" si="161"/>
        <v>0</v>
      </c>
      <c r="DM19" s="68">
        <f>IF(DL19=0,MAX(DM$2:DM18)+1,0)</f>
        <v>17</v>
      </c>
      <c r="DN19" s="5" t="str">
        <f t="shared" si="162"/>
        <v>Feast</v>
      </c>
      <c r="DO19" s="5" t="str">
        <f t="shared" si="45"/>
        <v>Feast</v>
      </c>
      <c r="DQ19">
        <f t="shared" si="163"/>
        <v>17</v>
      </c>
      <c r="DR19" s="5" t="str">
        <f t="shared" si="164"/>
        <v>Feast</v>
      </c>
      <c r="DS19" s="68">
        <f>COUNTIF(Builder!$K$13:$N$13,DR19)</f>
        <v>0</v>
      </c>
      <c r="DT19" s="68" t="str">
        <f>IF(DS19=1,Stats!$N34,"")</f>
        <v/>
      </c>
      <c r="DU19" s="68" t="str">
        <f>IF(DS19=1,Stats!$O34,"")</f>
        <v/>
      </c>
      <c r="DV19" s="68" t="str">
        <f>IF(DS19=1,Stats!$P34,"")</f>
        <v/>
      </c>
      <c r="DW19" s="68" t="str">
        <f>IF(DS19=1,Stats!$Q34,"")</f>
        <v/>
      </c>
      <c r="DX19" s="68" t="str">
        <f>IF(DS19=1,Stats!$R34,"")</f>
        <v/>
      </c>
      <c r="DY19" s="68" t="str">
        <f>IF(DS19=1,Stats!$S34,"")</f>
        <v/>
      </c>
      <c r="DZ19" s="68">
        <f t="shared" si="165"/>
        <v>0</v>
      </c>
      <c r="EA19">
        <f t="shared" si="166"/>
        <v>0</v>
      </c>
      <c r="EB19" s="68">
        <f>IF(EA19=0,MAX(EB$2:EB18)+1,0)</f>
        <v>17</v>
      </c>
      <c r="EC19" s="5" t="str">
        <f t="shared" si="167"/>
        <v>Feast</v>
      </c>
      <c r="ED19" s="5" t="str">
        <f t="shared" si="51"/>
        <v>Feast</v>
      </c>
      <c r="EF19">
        <f t="shared" si="52"/>
        <v>17</v>
      </c>
      <c r="EG19" s="5" t="str">
        <f t="shared" si="53"/>
        <v>Feast</v>
      </c>
      <c r="EH19" s="68">
        <f>COUNTIF(Builder!$K$14:$N$14,EG19)</f>
        <v>0</v>
      </c>
      <c r="EI19" s="68" t="str">
        <f>IF(EH19=1,Stats!$N34,"")</f>
        <v/>
      </c>
      <c r="EJ19" s="68" t="str">
        <f>IF(EH19=1,Stats!$O34,"")</f>
        <v/>
      </c>
      <c r="EK19" s="68" t="str">
        <f>IF(EH19=1,Stats!$P34,"")</f>
        <v/>
      </c>
      <c r="EL19" s="68" t="str">
        <f>IF(EH19=1,Stats!$Q34,"")</f>
        <v/>
      </c>
      <c r="EM19" s="68" t="str">
        <f>IF(EH19=1,Stats!$R34,"")</f>
        <v/>
      </c>
      <c r="EN19" s="68" t="str">
        <f>IF(EH19=1,Stats!$S34,"")</f>
        <v/>
      </c>
      <c r="EO19" s="68">
        <f t="shared" si="54"/>
        <v>0</v>
      </c>
      <c r="EP19">
        <f t="shared" si="55"/>
        <v>0</v>
      </c>
      <c r="EQ19" s="68">
        <f>IF(EP19=0,MAX(EQ$2:EQ18)+1,0)</f>
        <v>17</v>
      </c>
      <c r="ER19" s="5" t="str">
        <f t="shared" si="56"/>
        <v>Feast</v>
      </c>
      <c r="ES19" s="5" t="str">
        <f t="shared" si="57"/>
        <v>Feast</v>
      </c>
      <c r="EU19">
        <f t="shared" si="58"/>
        <v>17</v>
      </c>
      <c r="EV19" s="5" t="str">
        <f t="shared" si="59"/>
        <v>Feast</v>
      </c>
      <c r="EW19" s="68">
        <f>COUNTIF(Builder!$K$15:$N$15,EV19)</f>
        <v>0</v>
      </c>
      <c r="EX19" s="68" t="str">
        <f>IF(EW19=1,Stats!$N34,"")</f>
        <v/>
      </c>
      <c r="EY19" s="68" t="str">
        <f>IF(EW19=1,Stats!$O34,"")</f>
        <v/>
      </c>
      <c r="EZ19" s="68" t="str">
        <f>IF(EW19=1,Stats!$P34,"")</f>
        <v/>
      </c>
      <c r="FA19" s="68" t="str">
        <f>IF(EW19=1,Stats!$Q34,"")</f>
        <v/>
      </c>
      <c r="FB19" s="68" t="str">
        <f>IF(EW19=1,Stats!$R34,"")</f>
        <v/>
      </c>
      <c r="FC19" s="68" t="str">
        <f>IF(EW19=1,Stats!$S34,"")</f>
        <v/>
      </c>
      <c r="FD19" s="68">
        <f t="shared" si="60"/>
        <v>0</v>
      </c>
      <c r="FE19">
        <f t="shared" si="61"/>
        <v>0</v>
      </c>
      <c r="FF19" s="68">
        <f>IF(FE19=0,MAX(FF$2:FF18)+1,0)</f>
        <v>17</v>
      </c>
      <c r="FG19" s="5" t="str">
        <f t="shared" si="62"/>
        <v>Feast</v>
      </c>
      <c r="FH19" s="5" t="str">
        <f t="shared" si="63"/>
        <v>Feast</v>
      </c>
      <c r="FJ19">
        <f t="shared" si="64"/>
        <v>17</v>
      </c>
      <c r="FK19" s="5" t="str">
        <f t="shared" si="65"/>
        <v>Feast</v>
      </c>
      <c r="FL19" s="68">
        <f>COUNTIF(Builder!$K$16:$N$16,FK19)</f>
        <v>0</v>
      </c>
      <c r="FM19" s="68" t="str">
        <f>IF(FL19=1,Stats!$N34,"")</f>
        <v/>
      </c>
      <c r="FN19" s="68" t="str">
        <f>IF(FL19=1,Stats!$O34,"")</f>
        <v/>
      </c>
      <c r="FO19" s="68" t="str">
        <f>IF(FL19=1,Stats!$P34,"")</f>
        <v/>
      </c>
      <c r="FP19" s="68" t="str">
        <f>IF(FL19=1,Stats!$Q34,"")</f>
        <v/>
      </c>
      <c r="FQ19" s="68" t="str">
        <f>IF(FL19=1,Stats!$R34,"")</f>
        <v/>
      </c>
      <c r="FR19" s="68" t="str">
        <f>IF(FL19=1,Stats!$S34,"")</f>
        <v/>
      </c>
      <c r="FS19" s="68">
        <f t="shared" si="66"/>
        <v>0</v>
      </c>
      <c r="FT19">
        <f t="shared" si="67"/>
        <v>0</v>
      </c>
      <c r="FU19" s="68">
        <f>IF(FT19=0,MAX(FU$2:FU18)+1,0)</f>
        <v>17</v>
      </c>
      <c r="FV19" s="5" t="str">
        <f t="shared" si="68"/>
        <v>Feast</v>
      </c>
      <c r="FW19" s="5" t="str">
        <f t="shared" si="69"/>
        <v>Feast</v>
      </c>
      <c r="FY19">
        <f t="shared" si="168"/>
        <v>17</v>
      </c>
      <c r="FZ19" s="5" t="str">
        <f t="shared" si="169"/>
        <v>Feast</v>
      </c>
      <c r="GA19" s="68">
        <f>COUNTIF(Builder!$K$17:$N$17,FZ19)</f>
        <v>0</v>
      </c>
      <c r="GB19" s="68" t="str">
        <f>IF(GA19=1,Stats!$N34,"")</f>
        <v/>
      </c>
      <c r="GC19" s="68" t="str">
        <f>IF(GA19=1,Stats!$O34,"")</f>
        <v/>
      </c>
      <c r="GD19" s="68" t="str">
        <f>IF(GA19=1,Stats!$P34,"")</f>
        <v/>
      </c>
      <c r="GE19" s="68" t="str">
        <f>IF(GA19=1,Stats!$Q34,"")</f>
        <v/>
      </c>
      <c r="GF19" s="68" t="str">
        <f>IF(GA19=1,Stats!$R34,"")</f>
        <v/>
      </c>
      <c r="GG19" s="68" t="str">
        <f>IF(GA19=1,Stats!$S34,"")</f>
        <v/>
      </c>
      <c r="GH19" s="68">
        <f t="shared" si="170"/>
        <v>0</v>
      </c>
      <c r="GI19">
        <f t="shared" si="171"/>
        <v>0</v>
      </c>
      <c r="GJ19" s="68">
        <f>IF(GI19=0,MAX(GJ$2:GJ18)+1,0)</f>
        <v>17</v>
      </c>
      <c r="GK19" s="5" t="str">
        <f t="shared" si="172"/>
        <v>Feast</v>
      </c>
      <c r="GL19" s="5" t="str">
        <f t="shared" si="75"/>
        <v>Feast</v>
      </c>
      <c r="GN19">
        <f t="shared" si="76"/>
        <v>17</v>
      </c>
      <c r="GO19" s="5" t="str">
        <f t="shared" si="77"/>
        <v>Feast</v>
      </c>
      <c r="GP19" s="68">
        <f>COUNTIF(Builder!$K$18:$N$18,GO19)</f>
        <v>0</v>
      </c>
      <c r="GQ19" s="68" t="str">
        <f>IF(GP19=1,Stats!$N34,"")</f>
        <v/>
      </c>
      <c r="GR19" s="68" t="str">
        <f>IF(GP19=1,Stats!$O34,"")</f>
        <v/>
      </c>
      <c r="GS19" s="68" t="str">
        <f>IF(GP19=1,Stats!$P34,"")</f>
        <v/>
      </c>
      <c r="GT19" s="68" t="str">
        <f>IF(GP19=1,Stats!$Q34,"")</f>
        <v/>
      </c>
      <c r="GU19" s="68" t="str">
        <f>IF(GP19=1,Stats!$R34,"")</f>
        <v/>
      </c>
      <c r="GV19" s="68" t="str">
        <f>IF(GP19=1,Stats!$S34,"")</f>
        <v/>
      </c>
      <c r="GW19" s="68">
        <f t="shared" si="78"/>
        <v>0</v>
      </c>
      <c r="GX19">
        <f t="shared" si="79"/>
        <v>0</v>
      </c>
      <c r="GY19" s="68">
        <f>IF(GX19=0,MAX(GY$2:GY18)+1,0)</f>
        <v>17</v>
      </c>
      <c r="GZ19" s="5" t="str">
        <f t="shared" si="80"/>
        <v>Feast</v>
      </c>
      <c r="HA19" s="5" t="str">
        <f t="shared" si="81"/>
        <v>Feast</v>
      </c>
      <c r="HC19">
        <f t="shared" si="82"/>
        <v>17</v>
      </c>
      <c r="HD19" s="5" t="str">
        <f t="shared" si="83"/>
        <v>Feast</v>
      </c>
      <c r="HE19" s="68">
        <f>COUNTIF(Builder!$K$19:$N$19,HD19)</f>
        <v>0</v>
      </c>
      <c r="HF19" s="68" t="str">
        <f>IF(HE19=1,Stats!$N34,"")</f>
        <v/>
      </c>
      <c r="HG19" s="68" t="str">
        <f>IF(HE19=1,Stats!$O34,"")</f>
        <v/>
      </c>
      <c r="HH19" s="68" t="str">
        <f>IF(HE19=1,Stats!$P34,"")</f>
        <v/>
      </c>
      <c r="HI19" s="68" t="str">
        <f>IF(HE19=1,Stats!$Q34,"")</f>
        <v/>
      </c>
      <c r="HJ19" s="68" t="str">
        <f>IF(HE19=1,Stats!$R34,"")</f>
        <v/>
      </c>
      <c r="HK19" s="68" t="str">
        <f>IF(HE19=1,Stats!$S34,"")</f>
        <v/>
      </c>
      <c r="HL19" s="68">
        <f t="shared" si="84"/>
        <v>0</v>
      </c>
      <c r="HM19">
        <f t="shared" si="85"/>
        <v>0</v>
      </c>
      <c r="HN19" s="68">
        <f>IF(HM19=0,MAX(HN$2:HN18)+1,0)</f>
        <v>17</v>
      </c>
      <c r="HO19" s="5" t="str">
        <f t="shared" si="86"/>
        <v>Feast</v>
      </c>
      <c r="HP19" s="5" t="str">
        <f t="shared" si="87"/>
        <v>Feast</v>
      </c>
      <c r="HR19">
        <f t="shared" si="88"/>
        <v>17</v>
      </c>
      <c r="HS19" s="5" t="str">
        <f t="shared" si="89"/>
        <v>Feast</v>
      </c>
      <c r="HT19" s="68">
        <f>COUNTIF(Builder!$K$20:$N$20,HS19)</f>
        <v>0</v>
      </c>
      <c r="HU19" s="68" t="str">
        <f>IF(HT19=1,Stats!$N34,"")</f>
        <v/>
      </c>
      <c r="HV19" s="68" t="str">
        <f>IF(HT19=1,Stats!$O34,"")</f>
        <v/>
      </c>
      <c r="HW19" s="68" t="str">
        <f>IF(HT19=1,Stats!$P34,"")</f>
        <v/>
      </c>
      <c r="HX19" s="68" t="str">
        <f>IF(HT19=1,Stats!$Q34,"")</f>
        <v/>
      </c>
      <c r="HY19" s="68" t="str">
        <f>IF(HT19=1,Stats!$R34,"")</f>
        <v/>
      </c>
      <c r="HZ19" s="68" t="str">
        <f>IF(HT19=1,Stats!$S34,"")</f>
        <v/>
      </c>
      <c r="IA19" s="68">
        <f t="shared" si="90"/>
        <v>0</v>
      </c>
      <c r="IB19">
        <f t="shared" si="91"/>
        <v>0</v>
      </c>
      <c r="IC19" s="68">
        <f>IF(IB19=0,MAX(IC$2:IC18)+1,0)</f>
        <v>17</v>
      </c>
      <c r="ID19" s="5" t="str">
        <f t="shared" si="92"/>
        <v>Feast</v>
      </c>
      <c r="IE19" s="5" t="str">
        <f t="shared" si="93"/>
        <v>Feast</v>
      </c>
      <c r="IG19">
        <f t="shared" si="94"/>
        <v>17</v>
      </c>
      <c r="IH19" s="5" t="str">
        <f t="shared" si="95"/>
        <v>Feast</v>
      </c>
      <c r="II19" s="68">
        <f>COUNTIF(Builder!$K$21:$N$21,IH19)</f>
        <v>0</v>
      </c>
      <c r="IJ19" s="68" t="str">
        <f>IF(II19=1,Stats!$N34,"")</f>
        <v/>
      </c>
      <c r="IK19" s="68" t="str">
        <f>IF(II19=1,Stats!$O34,"")</f>
        <v/>
      </c>
      <c r="IL19" s="68" t="str">
        <f>IF(II19=1,Stats!$P34,"")</f>
        <v/>
      </c>
      <c r="IM19" s="68" t="str">
        <f>IF(II19=1,Stats!$Q34,"")</f>
        <v/>
      </c>
      <c r="IN19" s="68" t="str">
        <f>IF(II19=1,Stats!$R34,"")</f>
        <v/>
      </c>
      <c r="IO19" s="68" t="str">
        <f>IF(II19=1,Stats!$S34,"")</f>
        <v/>
      </c>
      <c r="IP19" s="68">
        <f t="shared" si="96"/>
        <v>0</v>
      </c>
      <c r="IQ19">
        <f t="shared" si="97"/>
        <v>0</v>
      </c>
      <c r="IR19" s="68">
        <f>IF(IQ19=0,MAX(IR$2:IR18)+1,0)</f>
        <v>17</v>
      </c>
      <c r="IS19" s="5" t="str">
        <f t="shared" si="98"/>
        <v>Feast</v>
      </c>
      <c r="IT19" s="5" t="str">
        <f t="shared" si="99"/>
        <v>Feast</v>
      </c>
      <c r="IV19">
        <f t="shared" si="100"/>
        <v>17</v>
      </c>
      <c r="IW19" s="5" t="str">
        <f t="shared" si="101"/>
        <v>Feast</v>
      </c>
      <c r="IX19" s="68">
        <f>COUNTIF(Builder!$K$22:$N$22,IW19)</f>
        <v>0</v>
      </c>
      <c r="IY19" s="68" t="str">
        <f>IF(IX19=1,Stats!$N34,"")</f>
        <v/>
      </c>
      <c r="IZ19" s="68" t="str">
        <f>IF(IX19=1,Stats!$O34,"")</f>
        <v/>
      </c>
      <c r="JA19" s="68" t="str">
        <f>IF(IX19=1,Stats!$P34,"")</f>
        <v/>
      </c>
      <c r="JB19" s="68" t="str">
        <f>IF(IX19=1,Stats!$Q34,"")</f>
        <v/>
      </c>
      <c r="JC19" s="68" t="str">
        <f>IF(IX19=1,Stats!$R34,"")</f>
        <v/>
      </c>
      <c r="JD19" s="68" t="str">
        <f>IF(IX19=1,Stats!$S34,"")</f>
        <v/>
      </c>
      <c r="JE19" s="68">
        <f t="shared" si="102"/>
        <v>0</v>
      </c>
      <c r="JF19">
        <f t="shared" si="103"/>
        <v>0</v>
      </c>
      <c r="JG19" s="68">
        <f>IF(JF19=0,MAX(JG$2:JG18)+1,0)</f>
        <v>17</v>
      </c>
      <c r="JH19" s="5" t="str">
        <f t="shared" si="104"/>
        <v>Feast</v>
      </c>
      <c r="JI19" s="5" t="str">
        <f t="shared" si="105"/>
        <v>Feast</v>
      </c>
      <c r="JK19">
        <f t="shared" si="106"/>
        <v>17</v>
      </c>
      <c r="JL19" s="5" t="str">
        <f t="shared" si="107"/>
        <v>Feast</v>
      </c>
      <c r="JM19" s="68">
        <f>COUNTIF(Builder!$K$23:$N$23,JL19)</f>
        <v>0</v>
      </c>
      <c r="JN19" s="68" t="str">
        <f>IF(JM19=1,Stats!$N34,"")</f>
        <v/>
      </c>
      <c r="JO19" s="68" t="str">
        <f>IF(JM19=1,Stats!$O34,"")</f>
        <v/>
      </c>
      <c r="JP19" s="68" t="str">
        <f>IF(JM19=1,Stats!$P34,"")</f>
        <v/>
      </c>
      <c r="JQ19" s="68" t="str">
        <f>IF(JM19=1,Stats!$Q34,"")</f>
        <v/>
      </c>
      <c r="JR19" s="68" t="str">
        <f>IF(JM19=1,Stats!$R34,"")</f>
        <v/>
      </c>
      <c r="JS19" s="68" t="str">
        <f>IF(JM19=1,Stats!$S34,"")</f>
        <v/>
      </c>
      <c r="JT19" s="68">
        <f t="shared" si="108"/>
        <v>0</v>
      </c>
      <c r="JU19">
        <f t="shared" si="109"/>
        <v>0</v>
      </c>
      <c r="JV19" s="68">
        <f>IF(JU19=0,MAX(JV$2:JV18)+1,0)</f>
        <v>17</v>
      </c>
      <c r="JW19" s="5" t="str">
        <f t="shared" si="110"/>
        <v>Feast</v>
      </c>
      <c r="JX19" s="5" t="str">
        <f t="shared" si="111"/>
        <v>Feast</v>
      </c>
      <c r="JZ19">
        <f t="shared" si="112"/>
        <v>17</v>
      </c>
      <c r="KA19" s="5" t="str">
        <f t="shared" si="113"/>
        <v>Feast</v>
      </c>
      <c r="KB19" s="68">
        <f>COUNTIF(Builder!$K$24:$N$24,KA19)</f>
        <v>0</v>
      </c>
      <c r="KC19" s="68" t="str">
        <f>IF(KB19=1,Stats!$N34,"")</f>
        <v/>
      </c>
      <c r="KD19" s="68" t="str">
        <f>IF(KB19=1,Stats!$O34,"")</f>
        <v/>
      </c>
      <c r="KE19" s="68" t="str">
        <f>IF(KB19=1,Stats!$P34,"")</f>
        <v/>
      </c>
      <c r="KF19" s="68" t="str">
        <f>IF(KB19=1,Stats!$Q34,"")</f>
        <v/>
      </c>
      <c r="KG19" s="68" t="str">
        <f>IF(KB19=1,Stats!$R34,"")</f>
        <v/>
      </c>
      <c r="KH19" s="68" t="str">
        <f>IF(KB19=1,Stats!$S34,"")</f>
        <v/>
      </c>
      <c r="KI19" s="68">
        <f t="shared" si="114"/>
        <v>0</v>
      </c>
      <c r="KJ19">
        <f t="shared" si="115"/>
        <v>0</v>
      </c>
      <c r="KK19" s="68">
        <f>IF(KJ19=0,MAX(KK$2:KK18)+1,0)</f>
        <v>17</v>
      </c>
      <c r="KL19" s="5" t="str">
        <f t="shared" si="116"/>
        <v>Feast</v>
      </c>
      <c r="KM19" s="5" t="str">
        <f t="shared" si="117"/>
        <v>Feast</v>
      </c>
      <c r="KO19">
        <f t="shared" si="118"/>
        <v>17</v>
      </c>
      <c r="KP19" s="5" t="str">
        <f t="shared" si="119"/>
        <v>Feast</v>
      </c>
      <c r="KQ19" s="68">
        <f>COUNTIF(Builder!$K$25:$N$25,KP19)</f>
        <v>0</v>
      </c>
      <c r="KR19" s="68" t="str">
        <f>IF(KQ19=1,Stats!$N34,"")</f>
        <v/>
      </c>
      <c r="KS19" s="68" t="str">
        <f>IF(KQ19=1,Stats!$O34,"")</f>
        <v/>
      </c>
      <c r="KT19" s="68" t="str">
        <f>IF(KQ19=1,Stats!$P34,"")</f>
        <v/>
      </c>
      <c r="KU19" s="68" t="str">
        <f>IF(KQ19=1,Stats!$Q34,"")</f>
        <v/>
      </c>
      <c r="KV19" s="68" t="str">
        <f>IF(KQ19=1,Stats!$R34,"")</f>
        <v/>
      </c>
      <c r="KW19" s="68" t="str">
        <f>IF(KQ19=1,Stats!$S34,"")</f>
        <v/>
      </c>
      <c r="KX19" s="68">
        <f t="shared" si="120"/>
        <v>0</v>
      </c>
      <c r="KY19">
        <f t="shared" si="121"/>
        <v>0</v>
      </c>
      <c r="KZ19" s="68">
        <f>IF(KY19=0,MAX(KZ$2:KZ18)+1,0)</f>
        <v>17</v>
      </c>
      <c r="LA19" s="5" t="str">
        <f t="shared" si="122"/>
        <v>Feast</v>
      </c>
      <c r="LB19" s="5" t="str">
        <f t="shared" si="123"/>
        <v>Feast</v>
      </c>
      <c r="LD19">
        <f t="shared" si="124"/>
        <v>17</v>
      </c>
      <c r="LE19" s="5" t="str">
        <f t="shared" si="125"/>
        <v>Feast</v>
      </c>
      <c r="LF19" s="68">
        <f>COUNTIF(Builder!$K$26:$N$26,LE19)</f>
        <v>0</v>
      </c>
      <c r="LG19" s="68" t="str">
        <f>IF(LF19=1,Stats!$N34,"")</f>
        <v/>
      </c>
      <c r="LH19" s="68" t="str">
        <f>IF(LF19=1,Stats!$O34,"")</f>
        <v/>
      </c>
      <c r="LI19" s="68" t="str">
        <f>IF(LF19=1,Stats!$P34,"")</f>
        <v/>
      </c>
      <c r="LJ19" s="68" t="str">
        <f>IF(LF19=1,Stats!$Q34,"")</f>
        <v/>
      </c>
      <c r="LK19" s="68" t="str">
        <f>IF(LF19=1,Stats!$R34,"")</f>
        <v/>
      </c>
      <c r="LL19" s="68" t="str">
        <f>IF(LF19=1,Stats!$S34,"")</f>
        <v/>
      </c>
      <c r="LM19" s="68">
        <f t="shared" si="126"/>
        <v>0</v>
      </c>
      <c r="LN19">
        <f t="shared" si="127"/>
        <v>0</v>
      </c>
      <c r="LO19" s="68">
        <f>IF(LN19=0,MAX(LO$2:LO18)+1,0)</f>
        <v>17</v>
      </c>
      <c r="LP19" s="5" t="str">
        <f t="shared" si="128"/>
        <v>Feast</v>
      </c>
      <c r="LQ19" s="5" t="str">
        <f t="shared" si="129"/>
        <v>Feast</v>
      </c>
      <c r="LS19">
        <f t="shared" si="130"/>
        <v>17</v>
      </c>
      <c r="LT19" s="5" t="str">
        <f t="shared" si="131"/>
        <v>Feast</v>
      </c>
      <c r="LU19" s="68">
        <f>COUNTIF(Builder!$K$27:$N$27,LT19)</f>
        <v>0</v>
      </c>
      <c r="LV19" s="68" t="str">
        <f>IF(LU19=1,Stats!$N34,"")</f>
        <v/>
      </c>
      <c r="LW19" s="68" t="str">
        <f>IF(LU19=1,Stats!$O34,"")</f>
        <v/>
      </c>
      <c r="LX19" s="68" t="str">
        <f>IF(LU19=1,Stats!$P34,"")</f>
        <v/>
      </c>
      <c r="LY19" s="68" t="str">
        <f>IF(LU19=1,Stats!$Q34,"")</f>
        <v/>
      </c>
      <c r="LZ19" s="68" t="str">
        <f>IF(LU19=1,Stats!$R34,"")</f>
        <v/>
      </c>
      <c r="MA19" s="68" t="str">
        <f>IF(LU19=1,Stats!$S34,"")</f>
        <v/>
      </c>
      <c r="MB19" s="68">
        <f t="shared" si="132"/>
        <v>0</v>
      </c>
      <c r="MC19">
        <f t="shared" si="133"/>
        <v>0</v>
      </c>
      <c r="MD19" s="68">
        <f>IF(MC19=0,MAX(MD$2:MD18)+1,0)</f>
        <v>17</v>
      </c>
      <c r="ME19" s="5" t="str">
        <f t="shared" si="134"/>
        <v>Feast</v>
      </c>
      <c r="MF19" s="5" t="str">
        <f t="shared" si="135"/>
        <v>Feast</v>
      </c>
      <c r="MH19">
        <f t="shared" si="136"/>
        <v>17</v>
      </c>
      <c r="MI19" s="5" t="str">
        <f t="shared" si="137"/>
        <v>Feast</v>
      </c>
      <c r="MJ19" s="68">
        <f>COUNTIF(Builder!$K$28:$N$28,MI19)</f>
        <v>0</v>
      </c>
      <c r="MK19" s="68" t="str">
        <f>IF(MJ19=1,Stats!$N34,"")</f>
        <v/>
      </c>
      <c r="ML19" s="68" t="str">
        <f>IF(MJ19=1,Stats!$O34,"")</f>
        <v/>
      </c>
      <c r="MM19" s="68" t="str">
        <f>IF(MJ19=1,Stats!$P34,"")</f>
        <v/>
      </c>
      <c r="MN19" s="68" t="str">
        <f>IF(MJ19=1,Stats!$Q34,"")</f>
        <v/>
      </c>
      <c r="MO19" s="68" t="str">
        <f>IF(MJ19=1,Stats!$R34,"")</f>
        <v/>
      </c>
      <c r="MP19" s="68" t="str">
        <f>IF(MJ19=1,Stats!$S34,"")</f>
        <v/>
      </c>
      <c r="MQ19" s="68">
        <f t="shared" si="138"/>
        <v>0</v>
      </c>
      <c r="MR19">
        <f t="shared" si="139"/>
        <v>0</v>
      </c>
      <c r="MS19" s="68">
        <f>IF(MR19=0,MAX(MS$2:MS18)+1,0)</f>
        <v>17</v>
      </c>
      <c r="MT19" s="5" t="str">
        <f t="shared" si="140"/>
        <v>Feast</v>
      </c>
      <c r="MU19" s="5" t="str">
        <f t="shared" si="141"/>
        <v>Feast</v>
      </c>
      <c r="MW19">
        <f t="shared" si="142"/>
        <v>17</v>
      </c>
      <c r="MX19" s="5" t="str">
        <f t="shared" si="143"/>
        <v>Feast</v>
      </c>
      <c r="MY19" s="68">
        <f>COUNTIF(Builder!$K$29:$N$29,MX19)</f>
        <v>0</v>
      </c>
      <c r="MZ19" s="68" t="str">
        <f>IF(MY19=1,Stats!$N34,"")</f>
        <v/>
      </c>
      <c r="NA19" s="68" t="str">
        <f>IF(MY19=1,Stats!$O34,"")</f>
        <v/>
      </c>
      <c r="NB19" s="68" t="str">
        <f>IF(MY19=1,Stats!$P34,"")</f>
        <v/>
      </c>
      <c r="NC19" s="68" t="str">
        <f>IF(MY19=1,Stats!$Q34,"")</f>
        <v/>
      </c>
      <c r="ND19" s="68" t="str">
        <f>IF(MY19=1,Stats!$R34,"")</f>
        <v/>
      </c>
      <c r="NE19" s="68" t="str">
        <f>IF(MY19=1,Stats!$S34,"")</f>
        <v/>
      </c>
      <c r="NF19" s="68">
        <f t="shared" si="144"/>
        <v>0</v>
      </c>
      <c r="NG19">
        <f t="shared" si="145"/>
        <v>0</v>
      </c>
      <c r="NH19" s="68">
        <f>IF(NG19=0,MAX(NH$2:NH18)+1,0)</f>
        <v>17</v>
      </c>
      <c r="NI19" s="5" t="str">
        <f t="shared" si="146"/>
        <v>Feast</v>
      </c>
      <c r="NJ19" s="5" t="str">
        <f t="shared" si="147"/>
        <v>Feast</v>
      </c>
    </row>
    <row r="20" spans="1:374" ht="15" x14ac:dyDescent="0.3">
      <c r="A20">
        <v>18</v>
      </c>
      <c r="B20" s="5" t="s">
        <v>30</v>
      </c>
      <c r="C20" s="68">
        <f>COUNTIF(Builder!$K$5:$N$5,B20)</f>
        <v>0</v>
      </c>
      <c r="D20" s="68" t="str">
        <f>IF(C20=1,Stats!$N35,"")</f>
        <v/>
      </c>
      <c r="E20" s="68" t="str">
        <f>IF(C20=1,Stats!$O35,"")</f>
        <v/>
      </c>
      <c r="F20" s="68" t="str">
        <f>IF(C20=1,Stats!$P35,"")</f>
        <v/>
      </c>
      <c r="G20" s="68" t="str">
        <f>IF(C20=1,Stats!$Q35,"")</f>
        <v/>
      </c>
      <c r="H20" s="68" t="str">
        <f>IF(C20=1,Stats!$R35,"")</f>
        <v/>
      </c>
      <c r="I20" s="68" t="str">
        <f>IF(C20=1,Stats!$S35,"")</f>
        <v/>
      </c>
      <c r="J20" s="68">
        <f t="shared" si="0"/>
        <v>0</v>
      </c>
      <c r="K20">
        <f t="shared" si="1"/>
        <v>0</v>
      </c>
      <c r="L20" s="68">
        <f>IF(K20=0,MAX($L$2:L19)+1,0)</f>
        <v>18</v>
      </c>
      <c r="M20" s="5" t="str">
        <f t="shared" si="2"/>
        <v>Flying</v>
      </c>
      <c r="N20" s="5" t="str">
        <f t="shared" si="3"/>
        <v>Flying</v>
      </c>
      <c r="O20" s="5"/>
      <c r="P20">
        <f t="shared" si="4"/>
        <v>18</v>
      </c>
      <c r="Q20" s="5" t="str">
        <f t="shared" si="5"/>
        <v>Flying</v>
      </c>
      <c r="R20" s="68">
        <f>COUNTIF(Builder!$K$6:$N$6,Q20)</f>
        <v>0</v>
      </c>
      <c r="S20" s="68" t="str">
        <f>IF(R20=1,Stats!$N35,"")</f>
        <v/>
      </c>
      <c r="T20" s="68" t="str">
        <f>IF(R20=1,Stats!$O35,"")</f>
        <v/>
      </c>
      <c r="U20" s="68" t="str">
        <f>IF(R20=1,Stats!$P35,"")</f>
        <v/>
      </c>
      <c r="V20" s="68" t="str">
        <f>IF(R20=1,Stats!$Q35,"")</f>
        <v/>
      </c>
      <c r="W20" s="68" t="str">
        <f>IF(R20=1,Stats!$R35,"")</f>
        <v/>
      </c>
      <c r="X20" s="68" t="str">
        <f>IF(R20=1,Stats!$S35,"")</f>
        <v/>
      </c>
      <c r="Y20" s="68">
        <f t="shared" si="6"/>
        <v>0</v>
      </c>
      <c r="Z20">
        <f t="shared" si="7"/>
        <v>0</v>
      </c>
      <c r="AA20" s="68">
        <f>IF(Z20=0,MAX($AA$2:AA19)+1,0)</f>
        <v>18</v>
      </c>
      <c r="AB20" s="5" t="str">
        <f t="shared" si="8"/>
        <v>Flying</v>
      </c>
      <c r="AC20" s="5" t="str">
        <f t="shared" si="9"/>
        <v>Flying</v>
      </c>
      <c r="AD20" s="5"/>
      <c r="AE20">
        <f t="shared" si="10"/>
        <v>18</v>
      </c>
      <c r="AF20" s="5" t="str">
        <f t="shared" si="11"/>
        <v>Flying</v>
      </c>
      <c r="AG20" s="68">
        <f>COUNTIF(Builder!$K$7:$N$7,AF20)</f>
        <v>0</v>
      </c>
      <c r="AH20" s="68" t="str">
        <f>IF(AG20=1,Stats!$N35,"")</f>
        <v/>
      </c>
      <c r="AI20" s="68" t="str">
        <f>IF(AG20=1,Stats!$O35,"")</f>
        <v/>
      </c>
      <c r="AJ20" s="68" t="str">
        <f>IF(AG20=1,Stats!$P35,"")</f>
        <v/>
      </c>
      <c r="AK20" s="68" t="str">
        <f>IF(AG20=1,Stats!$Q35,"")</f>
        <v/>
      </c>
      <c r="AL20" s="68" t="str">
        <f>IF(AG20=1,Stats!$R35,"")</f>
        <v/>
      </c>
      <c r="AM20" s="68" t="str">
        <f>IF(AG20=1,Stats!$S35,"")</f>
        <v/>
      </c>
      <c r="AN20" s="68">
        <f t="shared" si="12"/>
        <v>0</v>
      </c>
      <c r="AO20">
        <f t="shared" si="13"/>
        <v>0</v>
      </c>
      <c r="AP20" s="68">
        <f>IF(AO20=0,MAX($AP$2:AP19)+1,0)</f>
        <v>18</v>
      </c>
      <c r="AQ20" s="5" t="str">
        <f t="shared" si="14"/>
        <v>Flying</v>
      </c>
      <c r="AR20" s="5" t="str">
        <f t="shared" si="15"/>
        <v>Flying</v>
      </c>
      <c r="AS20" s="5"/>
      <c r="AT20">
        <f t="shared" si="16"/>
        <v>18</v>
      </c>
      <c r="AU20" s="5" t="str">
        <f t="shared" si="17"/>
        <v>Flying</v>
      </c>
      <c r="AV20" s="68">
        <f>COUNTIF(Builder!$K$8:$N$8,AU20)</f>
        <v>0</v>
      </c>
      <c r="AW20" s="68" t="str">
        <f>IF(AV20=1,Stats!$N35,"")</f>
        <v/>
      </c>
      <c r="AX20" s="68" t="str">
        <f>IF(AV20=1,Stats!$O35,"")</f>
        <v/>
      </c>
      <c r="AY20" s="68" t="str">
        <f>IF(AV20=1,Stats!$P35,"")</f>
        <v/>
      </c>
      <c r="AZ20" s="68" t="str">
        <f>IF(AV20=1,Stats!$Q35,"")</f>
        <v/>
      </c>
      <c r="BA20" s="68" t="str">
        <f>IF(AV20=1,Stats!$R35,"")</f>
        <v/>
      </c>
      <c r="BB20" s="68" t="str">
        <f>IF(AV20=1,Stats!$S35,"")</f>
        <v/>
      </c>
      <c r="BC20" s="68">
        <f t="shared" si="18"/>
        <v>0</v>
      </c>
      <c r="BD20">
        <f t="shared" si="19"/>
        <v>0</v>
      </c>
      <c r="BE20" s="68">
        <f>IF(BD20=0,MAX($BE$2:BE19)+1,0)</f>
        <v>18</v>
      </c>
      <c r="BF20" s="5" t="str">
        <f t="shared" si="20"/>
        <v>Flying</v>
      </c>
      <c r="BG20" s="5" t="str">
        <f t="shared" si="21"/>
        <v>Flying</v>
      </c>
      <c r="BH20" s="5"/>
      <c r="BI20">
        <f t="shared" si="148"/>
        <v>18</v>
      </c>
      <c r="BJ20" s="5" t="str">
        <f t="shared" si="149"/>
        <v>Flying</v>
      </c>
      <c r="BK20" s="68">
        <f>COUNTIF(Builder!$K$9:$N$9,BJ20)</f>
        <v>0</v>
      </c>
      <c r="BL20" s="68" t="str">
        <f>IF(BK20=1,Stats!$N35,"")</f>
        <v/>
      </c>
      <c r="BM20" s="68" t="str">
        <f>IF(BK20=1,Stats!$O35,"")</f>
        <v/>
      </c>
      <c r="BN20" s="68" t="str">
        <f>IF(BK20=1,Stats!$P35,"")</f>
        <v/>
      </c>
      <c r="BO20" s="68" t="str">
        <f>IF(BK20=1,Stats!$Q35,"")</f>
        <v/>
      </c>
      <c r="BP20" s="68" t="str">
        <f>IF(BK20=1,Stats!$R35,"")</f>
        <v/>
      </c>
      <c r="BQ20" s="68" t="str">
        <f>IF(BK20=1,Stats!$S35,"")</f>
        <v/>
      </c>
      <c r="BR20" s="68">
        <f t="shared" si="150"/>
        <v>0</v>
      </c>
      <c r="BS20">
        <f t="shared" si="151"/>
        <v>0</v>
      </c>
      <c r="BT20" s="68">
        <f>IF(BS20=0,MAX(BT$2:BT19)+1,0)</f>
        <v>18</v>
      </c>
      <c r="BU20" s="5" t="str">
        <f t="shared" si="152"/>
        <v>Flying</v>
      </c>
      <c r="BV20" s="5" t="str">
        <f t="shared" si="27"/>
        <v>Flying</v>
      </c>
      <c r="BX20">
        <f t="shared" si="153"/>
        <v>18</v>
      </c>
      <c r="BY20" s="5" t="str">
        <f t="shared" si="154"/>
        <v>Flying</v>
      </c>
      <c r="BZ20" s="68">
        <f>COUNTIF(Builder!$K$10:$N$10,BY20)</f>
        <v>0</v>
      </c>
      <c r="CA20" s="68" t="str">
        <f>IF(BZ20=1,Stats!$N35,"")</f>
        <v/>
      </c>
      <c r="CB20" s="68" t="str">
        <f>IF(BZ20=1,Stats!$O35,"")</f>
        <v/>
      </c>
      <c r="CC20" s="68" t="str">
        <f>IF(BZ20=1,Stats!$P35,"")</f>
        <v/>
      </c>
      <c r="CD20" s="68" t="str">
        <f>IF(BZ20=1,Stats!$Q35,"")</f>
        <v/>
      </c>
      <c r="CE20" s="68" t="str">
        <f>IF(BZ20=1,Stats!$R35,"")</f>
        <v/>
      </c>
      <c r="CF20" s="68" t="str">
        <f>IF(BZ20=1,Stats!$S35,"")</f>
        <v/>
      </c>
      <c r="CG20" s="68">
        <f t="shared" si="155"/>
        <v>0</v>
      </c>
      <c r="CH20">
        <f t="shared" si="156"/>
        <v>0</v>
      </c>
      <c r="CI20" s="68">
        <f>IF(CH20=0,MAX(CI$2:CI19)+1,0)</f>
        <v>18</v>
      </c>
      <c r="CJ20" s="5" t="str">
        <f t="shared" si="157"/>
        <v>Flying</v>
      </c>
      <c r="CK20" s="5" t="str">
        <f t="shared" si="33"/>
        <v>Flying</v>
      </c>
      <c r="CM20">
        <f t="shared" si="34"/>
        <v>18</v>
      </c>
      <c r="CN20" s="5" t="str">
        <f t="shared" si="35"/>
        <v>Flying</v>
      </c>
      <c r="CO20" s="68">
        <f>COUNTIF(Builder!$K$11:$N$11,CN20)</f>
        <v>0</v>
      </c>
      <c r="CP20" s="68" t="str">
        <f>IF(CO20=1,Stats!$N35,"")</f>
        <v/>
      </c>
      <c r="CQ20" s="68" t="str">
        <f>IF(CO20=1,Stats!$O35,"")</f>
        <v/>
      </c>
      <c r="CR20" s="68" t="str">
        <f>IF(CO20=1,Stats!$P35,"")</f>
        <v/>
      </c>
      <c r="CS20" s="68" t="str">
        <f>IF(CO20=1,Stats!$Q35,"")</f>
        <v/>
      </c>
      <c r="CT20" s="68" t="str">
        <f>IF(CO20=1,Stats!$R35,"")</f>
        <v/>
      </c>
      <c r="CU20" s="68" t="str">
        <f>IF(CO20=1,Stats!$S35,"")</f>
        <v/>
      </c>
      <c r="CV20" s="68">
        <f t="shared" si="36"/>
        <v>0</v>
      </c>
      <c r="CW20">
        <f t="shared" si="37"/>
        <v>0</v>
      </c>
      <c r="CX20" s="68">
        <f>IF(CW20=0,MAX(CX$2:CX19)+1,0)</f>
        <v>18</v>
      </c>
      <c r="CY20" s="5" t="str">
        <f t="shared" si="38"/>
        <v>Flying</v>
      </c>
      <c r="CZ20" s="5" t="str">
        <f t="shared" si="39"/>
        <v>Flying</v>
      </c>
      <c r="DB20">
        <f t="shared" si="158"/>
        <v>18</v>
      </c>
      <c r="DC20" s="5" t="str">
        <f t="shared" si="159"/>
        <v>Flying</v>
      </c>
      <c r="DD20" s="68">
        <f>COUNTIF(Builder!$K$12:$N$12,DC20)</f>
        <v>0</v>
      </c>
      <c r="DE20" s="68" t="str">
        <f>IF(DD20=1,Stats!$N35,"")</f>
        <v/>
      </c>
      <c r="DF20" s="68" t="str">
        <f>IF(DD20=1,Stats!$O35,"")</f>
        <v/>
      </c>
      <c r="DG20" s="68" t="str">
        <f>IF(DD20=1,Stats!$P35,"")</f>
        <v/>
      </c>
      <c r="DH20" s="68" t="str">
        <f>IF(DD20=1,Stats!$Q35,"")</f>
        <v/>
      </c>
      <c r="DI20" s="68" t="str">
        <f>IF(DD20=1,Stats!$R35,"")</f>
        <v/>
      </c>
      <c r="DJ20" s="68" t="str">
        <f>IF(DD20=1,Stats!$S35,"")</f>
        <v/>
      </c>
      <c r="DK20" s="68">
        <f t="shared" si="160"/>
        <v>0</v>
      </c>
      <c r="DL20">
        <f t="shared" si="161"/>
        <v>0</v>
      </c>
      <c r="DM20" s="68">
        <f>IF(DL20=0,MAX(DM$2:DM19)+1,0)</f>
        <v>18</v>
      </c>
      <c r="DN20" s="5" t="str">
        <f t="shared" si="162"/>
        <v>Flying</v>
      </c>
      <c r="DO20" s="5" t="str">
        <f t="shared" si="45"/>
        <v>Flying</v>
      </c>
      <c r="DQ20">
        <f t="shared" si="163"/>
        <v>18</v>
      </c>
      <c r="DR20" s="5" t="str">
        <f t="shared" si="164"/>
        <v>Flying</v>
      </c>
      <c r="DS20" s="68">
        <f>COUNTIF(Builder!$K$13:$N$13,DR20)</f>
        <v>0</v>
      </c>
      <c r="DT20" s="68" t="str">
        <f>IF(DS20=1,Stats!$N35,"")</f>
        <v/>
      </c>
      <c r="DU20" s="68" t="str">
        <f>IF(DS20=1,Stats!$O35,"")</f>
        <v/>
      </c>
      <c r="DV20" s="68" t="str">
        <f>IF(DS20=1,Stats!$P35,"")</f>
        <v/>
      </c>
      <c r="DW20" s="68" t="str">
        <f>IF(DS20=1,Stats!$Q35,"")</f>
        <v/>
      </c>
      <c r="DX20" s="68" t="str">
        <f>IF(DS20=1,Stats!$R35,"")</f>
        <v/>
      </c>
      <c r="DY20" s="68" t="str">
        <f>IF(DS20=1,Stats!$S35,"")</f>
        <v/>
      </c>
      <c r="DZ20" s="68">
        <f t="shared" si="165"/>
        <v>0</v>
      </c>
      <c r="EA20">
        <f t="shared" si="166"/>
        <v>0</v>
      </c>
      <c r="EB20" s="68">
        <f>IF(EA20=0,MAX(EB$2:EB19)+1,0)</f>
        <v>18</v>
      </c>
      <c r="EC20" s="5" t="str">
        <f t="shared" si="167"/>
        <v>Flying</v>
      </c>
      <c r="ED20" s="5" t="str">
        <f t="shared" si="51"/>
        <v>Flying</v>
      </c>
      <c r="EF20">
        <f t="shared" si="52"/>
        <v>18</v>
      </c>
      <c r="EG20" s="5" t="str">
        <f t="shared" si="53"/>
        <v>Flying</v>
      </c>
      <c r="EH20" s="68">
        <f>COUNTIF(Builder!$K$14:$N$14,EG20)</f>
        <v>0</v>
      </c>
      <c r="EI20" s="68" t="str">
        <f>IF(EH20=1,Stats!$N35,"")</f>
        <v/>
      </c>
      <c r="EJ20" s="68" t="str">
        <f>IF(EH20=1,Stats!$O35,"")</f>
        <v/>
      </c>
      <c r="EK20" s="68" t="str">
        <f>IF(EH20=1,Stats!$P35,"")</f>
        <v/>
      </c>
      <c r="EL20" s="68" t="str">
        <f>IF(EH20=1,Stats!$Q35,"")</f>
        <v/>
      </c>
      <c r="EM20" s="68" t="str">
        <f>IF(EH20=1,Stats!$R35,"")</f>
        <v/>
      </c>
      <c r="EN20" s="68" t="str">
        <f>IF(EH20=1,Stats!$S35,"")</f>
        <v/>
      </c>
      <c r="EO20" s="68">
        <f t="shared" si="54"/>
        <v>0</v>
      </c>
      <c r="EP20">
        <f t="shared" si="55"/>
        <v>0</v>
      </c>
      <c r="EQ20" s="68">
        <f>IF(EP20=0,MAX(EQ$2:EQ19)+1,0)</f>
        <v>18</v>
      </c>
      <c r="ER20" s="5" t="str">
        <f t="shared" si="56"/>
        <v>Flying</v>
      </c>
      <c r="ES20" s="5" t="str">
        <f t="shared" si="57"/>
        <v>Flying</v>
      </c>
      <c r="EU20">
        <f t="shared" si="58"/>
        <v>18</v>
      </c>
      <c r="EV20" s="5" t="str">
        <f t="shared" si="59"/>
        <v>Flying</v>
      </c>
      <c r="EW20" s="68">
        <f>COUNTIF(Builder!$K$15:$N$15,EV20)</f>
        <v>0</v>
      </c>
      <c r="EX20" s="68" t="str">
        <f>IF(EW20=1,Stats!$N35,"")</f>
        <v/>
      </c>
      <c r="EY20" s="68" t="str">
        <f>IF(EW20=1,Stats!$O35,"")</f>
        <v/>
      </c>
      <c r="EZ20" s="68" t="str">
        <f>IF(EW20=1,Stats!$P35,"")</f>
        <v/>
      </c>
      <c r="FA20" s="68" t="str">
        <f>IF(EW20=1,Stats!$Q35,"")</f>
        <v/>
      </c>
      <c r="FB20" s="68" t="str">
        <f>IF(EW20=1,Stats!$R35,"")</f>
        <v/>
      </c>
      <c r="FC20" s="68" t="str">
        <f>IF(EW20=1,Stats!$S35,"")</f>
        <v/>
      </c>
      <c r="FD20" s="68">
        <f t="shared" si="60"/>
        <v>0</v>
      </c>
      <c r="FE20">
        <f t="shared" si="61"/>
        <v>0</v>
      </c>
      <c r="FF20" s="68">
        <f>IF(FE20=0,MAX(FF$2:FF19)+1,0)</f>
        <v>18</v>
      </c>
      <c r="FG20" s="5" t="str">
        <f t="shared" si="62"/>
        <v>Flying</v>
      </c>
      <c r="FH20" s="5" t="str">
        <f t="shared" si="63"/>
        <v>Flying</v>
      </c>
      <c r="FJ20">
        <f t="shared" si="64"/>
        <v>18</v>
      </c>
      <c r="FK20" s="5" t="str">
        <f t="shared" si="65"/>
        <v>Flying</v>
      </c>
      <c r="FL20" s="68">
        <f>COUNTIF(Builder!$K$16:$N$16,FK20)</f>
        <v>0</v>
      </c>
      <c r="FM20" s="68" t="str">
        <f>IF(FL20=1,Stats!$N35,"")</f>
        <v/>
      </c>
      <c r="FN20" s="68" t="str">
        <f>IF(FL20=1,Stats!$O35,"")</f>
        <v/>
      </c>
      <c r="FO20" s="68" t="str">
        <f>IF(FL20=1,Stats!$P35,"")</f>
        <v/>
      </c>
      <c r="FP20" s="68" t="str">
        <f>IF(FL20=1,Stats!$Q35,"")</f>
        <v/>
      </c>
      <c r="FQ20" s="68" t="str">
        <f>IF(FL20=1,Stats!$R35,"")</f>
        <v/>
      </c>
      <c r="FR20" s="68" t="str">
        <f>IF(FL20=1,Stats!$S35,"")</f>
        <v/>
      </c>
      <c r="FS20" s="68">
        <f t="shared" si="66"/>
        <v>0</v>
      </c>
      <c r="FT20">
        <f t="shared" si="67"/>
        <v>0</v>
      </c>
      <c r="FU20" s="68">
        <f>IF(FT20=0,MAX(FU$2:FU19)+1,0)</f>
        <v>18</v>
      </c>
      <c r="FV20" s="5" t="str">
        <f t="shared" si="68"/>
        <v>Flying</v>
      </c>
      <c r="FW20" s="5" t="str">
        <f t="shared" si="69"/>
        <v>Flying</v>
      </c>
      <c r="FY20">
        <f t="shared" si="168"/>
        <v>18</v>
      </c>
      <c r="FZ20" s="5" t="str">
        <f t="shared" si="169"/>
        <v>Flying</v>
      </c>
      <c r="GA20" s="68">
        <f>COUNTIF(Builder!$K$17:$N$17,FZ20)</f>
        <v>0</v>
      </c>
      <c r="GB20" s="68" t="str">
        <f>IF(GA20=1,Stats!$N35,"")</f>
        <v/>
      </c>
      <c r="GC20" s="68" t="str">
        <f>IF(GA20=1,Stats!$O35,"")</f>
        <v/>
      </c>
      <c r="GD20" s="68" t="str">
        <f>IF(GA20=1,Stats!$P35,"")</f>
        <v/>
      </c>
      <c r="GE20" s="68" t="str">
        <f>IF(GA20=1,Stats!$Q35,"")</f>
        <v/>
      </c>
      <c r="GF20" s="68" t="str">
        <f>IF(GA20=1,Stats!$R35,"")</f>
        <v/>
      </c>
      <c r="GG20" s="68" t="str">
        <f>IF(GA20=1,Stats!$S35,"")</f>
        <v/>
      </c>
      <c r="GH20" s="68">
        <f t="shared" si="170"/>
        <v>0</v>
      </c>
      <c r="GI20">
        <f t="shared" si="171"/>
        <v>0</v>
      </c>
      <c r="GJ20" s="68">
        <f>IF(GI20=0,MAX(GJ$2:GJ19)+1,0)</f>
        <v>18</v>
      </c>
      <c r="GK20" s="5" t="str">
        <f t="shared" si="172"/>
        <v>Flying</v>
      </c>
      <c r="GL20" s="5" t="str">
        <f t="shared" si="75"/>
        <v>Flying</v>
      </c>
      <c r="GN20">
        <f t="shared" si="76"/>
        <v>18</v>
      </c>
      <c r="GO20" s="5" t="str">
        <f t="shared" si="77"/>
        <v>Flying</v>
      </c>
      <c r="GP20" s="68">
        <f>COUNTIF(Builder!$K$18:$N$18,GO20)</f>
        <v>0</v>
      </c>
      <c r="GQ20" s="68" t="str">
        <f>IF(GP20=1,Stats!$N35,"")</f>
        <v/>
      </c>
      <c r="GR20" s="68" t="str">
        <f>IF(GP20=1,Stats!$O35,"")</f>
        <v/>
      </c>
      <c r="GS20" s="68" t="str">
        <f>IF(GP20=1,Stats!$P35,"")</f>
        <v/>
      </c>
      <c r="GT20" s="68" t="str">
        <f>IF(GP20=1,Stats!$Q35,"")</f>
        <v/>
      </c>
      <c r="GU20" s="68" t="str">
        <f>IF(GP20=1,Stats!$R35,"")</f>
        <v/>
      </c>
      <c r="GV20" s="68" t="str">
        <f>IF(GP20=1,Stats!$S35,"")</f>
        <v/>
      </c>
      <c r="GW20" s="68">
        <f t="shared" si="78"/>
        <v>0</v>
      </c>
      <c r="GX20">
        <f t="shared" si="79"/>
        <v>0</v>
      </c>
      <c r="GY20" s="68">
        <f>IF(GX20=0,MAX(GY$2:GY19)+1,0)</f>
        <v>18</v>
      </c>
      <c r="GZ20" s="5" t="str">
        <f t="shared" si="80"/>
        <v>Flying</v>
      </c>
      <c r="HA20" s="5" t="str">
        <f t="shared" si="81"/>
        <v>Flying</v>
      </c>
      <c r="HC20">
        <f t="shared" si="82"/>
        <v>18</v>
      </c>
      <c r="HD20" s="5" t="str">
        <f t="shared" si="83"/>
        <v>Flying</v>
      </c>
      <c r="HE20" s="68">
        <f>COUNTIF(Builder!$K$19:$N$19,HD20)</f>
        <v>0</v>
      </c>
      <c r="HF20" s="68" t="str">
        <f>IF(HE20=1,Stats!$N35,"")</f>
        <v/>
      </c>
      <c r="HG20" s="68" t="str">
        <f>IF(HE20=1,Stats!$O35,"")</f>
        <v/>
      </c>
      <c r="HH20" s="68" t="str">
        <f>IF(HE20=1,Stats!$P35,"")</f>
        <v/>
      </c>
      <c r="HI20" s="68" t="str">
        <f>IF(HE20=1,Stats!$Q35,"")</f>
        <v/>
      </c>
      <c r="HJ20" s="68" t="str">
        <f>IF(HE20=1,Stats!$R35,"")</f>
        <v/>
      </c>
      <c r="HK20" s="68" t="str">
        <f>IF(HE20=1,Stats!$S35,"")</f>
        <v/>
      </c>
      <c r="HL20" s="68">
        <f t="shared" si="84"/>
        <v>0</v>
      </c>
      <c r="HM20">
        <f t="shared" si="85"/>
        <v>0</v>
      </c>
      <c r="HN20" s="68">
        <f>IF(HM20=0,MAX(HN$2:HN19)+1,0)</f>
        <v>18</v>
      </c>
      <c r="HO20" s="5" t="str">
        <f t="shared" si="86"/>
        <v>Flying</v>
      </c>
      <c r="HP20" s="5" t="str">
        <f t="shared" si="87"/>
        <v>Flying</v>
      </c>
      <c r="HR20">
        <f t="shared" si="88"/>
        <v>18</v>
      </c>
      <c r="HS20" s="5" t="str">
        <f t="shared" si="89"/>
        <v>Flying</v>
      </c>
      <c r="HT20" s="68">
        <f>COUNTIF(Builder!$K$20:$N$20,HS20)</f>
        <v>0</v>
      </c>
      <c r="HU20" s="68" t="str">
        <f>IF(HT20=1,Stats!$N35,"")</f>
        <v/>
      </c>
      <c r="HV20" s="68" t="str">
        <f>IF(HT20=1,Stats!$O35,"")</f>
        <v/>
      </c>
      <c r="HW20" s="68" t="str">
        <f>IF(HT20=1,Stats!$P35,"")</f>
        <v/>
      </c>
      <c r="HX20" s="68" t="str">
        <f>IF(HT20=1,Stats!$Q35,"")</f>
        <v/>
      </c>
      <c r="HY20" s="68" t="str">
        <f>IF(HT20=1,Stats!$R35,"")</f>
        <v/>
      </c>
      <c r="HZ20" s="68" t="str">
        <f>IF(HT20=1,Stats!$S35,"")</f>
        <v/>
      </c>
      <c r="IA20" s="68">
        <f t="shared" si="90"/>
        <v>0</v>
      </c>
      <c r="IB20">
        <f t="shared" si="91"/>
        <v>0</v>
      </c>
      <c r="IC20" s="68">
        <f>IF(IB20=0,MAX(IC$2:IC19)+1,0)</f>
        <v>18</v>
      </c>
      <c r="ID20" s="5" t="str">
        <f t="shared" si="92"/>
        <v>Flying</v>
      </c>
      <c r="IE20" s="5" t="str">
        <f t="shared" si="93"/>
        <v>Flying</v>
      </c>
      <c r="IG20">
        <f t="shared" si="94"/>
        <v>18</v>
      </c>
      <c r="IH20" s="5" t="str">
        <f t="shared" si="95"/>
        <v>Flying</v>
      </c>
      <c r="II20" s="68">
        <f>COUNTIF(Builder!$K$21:$N$21,IH20)</f>
        <v>0</v>
      </c>
      <c r="IJ20" s="68" t="str">
        <f>IF(II20=1,Stats!$N35,"")</f>
        <v/>
      </c>
      <c r="IK20" s="68" t="str">
        <f>IF(II20=1,Stats!$O35,"")</f>
        <v/>
      </c>
      <c r="IL20" s="68" t="str">
        <f>IF(II20=1,Stats!$P35,"")</f>
        <v/>
      </c>
      <c r="IM20" s="68" t="str">
        <f>IF(II20=1,Stats!$Q35,"")</f>
        <v/>
      </c>
      <c r="IN20" s="68" t="str">
        <f>IF(II20=1,Stats!$R35,"")</f>
        <v/>
      </c>
      <c r="IO20" s="68" t="str">
        <f>IF(II20=1,Stats!$S35,"")</f>
        <v/>
      </c>
      <c r="IP20" s="68">
        <f t="shared" si="96"/>
        <v>0</v>
      </c>
      <c r="IQ20">
        <f t="shared" si="97"/>
        <v>0</v>
      </c>
      <c r="IR20" s="68">
        <f>IF(IQ20=0,MAX(IR$2:IR19)+1,0)</f>
        <v>18</v>
      </c>
      <c r="IS20" s="5" t="str">
        <f t="shared" si="98"/>
        <v>Flying</v>
      </c>
      <c r="IT20" s="5" t="str">
        <f t="shared" si="99"/>
        <v>Flying</v>
      </c>
      <c r="IV20">
        <f t="shared" si="100"/>
        <v>18</v>
      </c>
      <c r="IW20" s="5" t="str">
        <f t="shared" si="101"/>
        <v>Flying</v>
      </c>
      <c r="IX20" s="68">
        <f>COUNTIF(Builder!$K$22:$N$22,IW20)</f>
        <v>0</v>
      </c>
      <c r="IY20" s="68" t="str">
        <f>IF(IX20=1,Stats!$N35,"")</f>
        <v/>
      </c>
      <c r="IZ20" s="68" t="str">
        <f>IF(IX20=1,Stats!$O35,"")</f>
        <v/>
      </c>
      <c r="JA20" s="68" t="str">
        <f>IF(IX20=1,Stats!$P35,"")</f>
        <v/>
      </c>
      <c r="JB20" s="68" t="str">
        <f>IF(IX20=1,Stats!$Q35,"")</f>
        <v/>
      </c>
      <c r="JC20" s="68" t="str">
        <f>IF(IX20=1,Stats!$R35,"")</f>
        <v/>
      </c>
      <c r="JD20" s="68" t="str">
        <f>IF(IX20=1,Stats!$S35,"")</f>
        <v/>
      </c>
      <c r="JE20" s="68">
        <f t="shared" si="102"/>
        <v>0</v>
      </c>
      <c r="JF20">
        <f t="shared" si="103"/>
        <v>0</v>
      </c>
      <c r="JG20" s="68">
        <f>IF(JF20=0,MAX(JG$2:JG19)+1,0)</f>
        <v>18</v>
      </c>
      <c r="JH20" s="5" t="str">
        <f t="shared" si="104"/>
        <v>Flying</v>
      </c>
      <c r="JI20" s="5" t="str">
        <f t="shared" si="105"/>
        <v>Flying</v>
      </c>
      <c r="JK20">
        <f t="shared" si="106"/>
        <v>18</v>
      </c>
      <c r="JL20" s="5" t="str">
        <f t="shared" si="107"/>
        <v>Flying</v>
      </c>
      <c r="JM20" s="68">
        <f>COUNTIF(Builder!$K$23:$N$23,JL20)</f>
        <v>0</v>
      </c>
      <c r="JN20" s="68" t="str">
        <f>IF(JM20=1,Stats!$N35,"")</f>
        <v/>
      </c>
      <c r="JO20" s="68" t="str">
        <f>IF(JM20=1,Stats!$O35,"")</f>
        <v/>
      </c>
      <c r="JP20" s="68" t="str">
        <f>IF(JM20=1,Stats!$P35,"")</f>
        <v/>
      </c>
      <c r="JQ20" s="68" t="str">
        <f>IF(JM20=1,Stats!$Q35,"")</f>
        <v/>
      </c>
      <c r="JR20" s="68" t="str">
        <f>IF(JM20=1,Stats!$R35,"")</f>
        <v/>
      </c>
      <c r="JS20" s="68" t="str">
        <f>IF(JM20=1,Stats!$S35,"")</f>
        <v/>
      </c>
      <c r="JT20" s="68">
        <f t="shared" si="108"/>
        <v>0</v>
      </c>
      <c r="JU20">
        <f t="shared" si="109"/>
        <v>0</v>
      </c>
      <c r="JV20" s="68">
        <f>IF(JU20=0,MAX(JV$2:JV19)+1,0)</f>
        <v>18</v>
      </c>
      <c r="JW20" s="5" t="str">
        <f t="shared" si="110"/>
        <v>Flying</v>
      </c>
      <c r="JX20" s="5" t="str">
        <f t="shared" si="111"/>
        <v>Flying</v>
      </c>
      <c r="JZ20">
        <f t="shared" si="112"/>
        <v>18</v>
      </c>
      <c r="KA20" s="5" t="str">
        <f t="shared" si="113"/>
        <v>Flying</v>
      </c>
      <c r="KB20" s="68">
        <f>COUNTIF(Builder!$K$24:$N$24,KA20)</f>
        <v>0</v>
      </c>
      <c r="KC20" s="68" t="str">
        <f>IF(KB20=1,Stats!$N35,"")</f>
        <v/>
      </c>
      <c r="KD20" s="68" t="str">
        <f>IF(KB20=1,Stats!$O35,"")</f>
        <v/>
      </c>
      <c r="KE20" s="68" t="str">
        <f>IF(KB20=1,Stats!$P35,"")</f>
        <v/>
      </c>
      <c r="KF20" s="68" t="str">
        <f>IF(KB20=1,Stats!$Q35,"")</f>
        <v/>
      </c>
      <c r="KG20" s="68" t="str">
        <f>IF(KB20=1,Stats!$R35,"")</f>
        <v/>
      </c>
      <c r="KH20" s="68" t="str">
        <f>IF(KB20=1,Stats!$S35,"")</f>
        <v/>
      </c>
      <c r="KI20" s="68">
        <f t="shared" si="114"/>
        <v>0</v>
      </c>
      <c r="KJ20">
        <f t="shared" si="115"/>
        <v>0</v>
      </c>
      <c r="KK20" s="68">
        <f>IF(KJ20=0,MAX(KK$2:KK19)+1,0)</f>
        <v>18</v>
      </c>
      <c r="KL20" s="5" t="str">
        <f t="shared" si="116"/>
        <v>Flying</v>
      </c>
      <c r="KM20" s="5" t="str">
        <f t="shared" si="117"/>
        <v>Flying</v>
      </c>
      <c r="KO20">
        <f t="shared" si="118"/>
        <v>18</v>
      </c>
      <c r="KP20" s="5" t="str">
        <f t="shared" si="119"/>
        <v>Flying</v>
      </c>
      <c r="KQ20" s="68">
        <f>COUNTIF(Builder!$K$25:$N$25,KP20)</f>
        <v>0</v>
      </c>
      <c r="KR20" s="68" t="str">
        <f>IF(KQ20=1,Stats!$N35,"")</f>
        <v/>
      </c>
      <c r="KS20" s="68" t="str">
        <f>IF(KQ20=1,Stats!$O35,"")</f>
        <v/>
      </c>
      <c r="KT20" s="68" t="str">
        <f>IF(KQ20=1,Stats!$P35,"")</f>
        <v/>
      </c>
      <c r="KU20" s="68" t="str">
        <f>IF(KQ20=1,Stats!$Q35,"")</f>
        <v/>
      </c>
      <c r="KV20" s="68" t="str">
        <f>IF(KQ20=1,Stats!$R35,"")</f>
        <v/>
      </c>
      <c r="KW20" s="68" t="str">
        <f>IF(KQ20=1,Stats!$S35,"")</f>
        <v/>
      </c>
      <c r="KX20" s="68">
        <f t="shared" si="120"/>
        <v>0</v>
      </c>
      <c r="KY20">
        <f t="shared" si="121"/>
        <v>0</v>
      </c>
      <c r="KZ20" s="68">
        <f>IF(KY20=0,MAX(KZ$2:KZ19)+1,0)</f>
        <v>18</v>
      </c>
      <c r="LA20" s="5" t="str">
        <f t="shared" si="122"/>
        <v>Flying</v>
      </c>
      <c r="LB20" s="5" t="str">
        <f t="shared" si="123"/>
        <v>Flying</v>
      </c>
      <c r="LD20">
        <f t="shared" si="124"/>
        <v>18</v>
      </c>
      <c r="LE20" s="5" t="str">
        <f t="shared" si="125"/>
        <v>Flying</v>
      </c>
      <c r="LF20" s="68">
        <f>COUNTIF(Builder!$K$26:$N$26,LE20)</f>
        <v>0</v>
      </c>
      <c r="LG20" s="68" t="str">
        <f>IF(LF20=1,Stats!$N35,"")</f>
        <v/>
      </c>
      <c r="LH20" s="68" t="str">
        <f>IF(LF20=1,Stats!$O35,"")</f>
        <v/>
      </c>
      <c r="LI20" s="68" t="str">
        <f>IF(LF20=1,Stats!$P35,"")</f>
        <v/>
      </c>
      <c r="LJ20" s="68" t="str">
        <f>IF(LF20=1,Stats!$Q35,"")</f>
        <v/>
      </c>
      <c r="LK20" s="68" t="str">
        <f>IF(LF20=1,Stats!$R35,"")</f>
        <v/>
      </c>
      <c r="LL20" s="68" t="str">
        <f>IF(LF20=1,Stats!$S35,"")</f>
        <v/>
      </c>
      <c r="LM20" s="68">
        <f t="shared" si="126"/>
        <v>0</v>
      </c>
      <c r="LN20">
        <f t="shared" si="127"/>
        <v>0</v>
      </c>
      <c r="LO20" s="68">
        <f>IF(LN20=0,MAX(LO$2:LO19)+1,0)</f>
        <v>18</v>
      </c>
      <c r="LP20" s="5" t="str">
        <f t="shared" si="128"/>
        <v>Flying</v>
      </c>
      <c r="LQ20" s="5" t="str">
        <f t="shared" si="129"/>
        <v>Flying</v>
      </c>
      <c r="LS20">
        <f t="shared" si="130"/>
        <v>18</v>
      </c>
      <c r="LT20" s="5" t="str">
        <f t="shared" si="131"/>
        <v>Flying</v>
      </c>
      <c r="LU20" s="68">
        <f>COUNTIF(Builder!$K$27:$N$27,LT20)</f>
        <v>0</v>
      </c>
      <c r="LV20" s="68" t="str">
        <f>IF(LU20=1,Stats!$N35,"")</f>
        <v/>
      </c>
      <c r="LW20" s="68" t="str">
        <f>IF(LU20=1,Stats!$O35,"")</f>
        <v/>
      </c>
      <c r="LX20" s="68" t="str">
        <f>IF(LU20=1,Stats!$P35,"")</f>
        <v/>
      </c>
      <c r="LY20" s="68" t="str">
        <f>IF(LU20=1,Stats!$Q35,"")</f>
        <v/>
      </c>
      <c r="LZ20" s="68" t="str">
        <f>IF(LU20=1,Stats!$R35,"")</f>
        <v/>
      </c>
      <c r="MA20" s="68" t="str">
        <f>IF(LU20=1,Stats!$S35,"")</f>
        <v/>
      </c>
      <c r="MB20" s="68">
        <f t="shared" si="132"/>
        <v>0</v>
      </c>
      <c r="MC20">
        <f t="shared" si="133"/>
        <v>0</v>
      </c>
      <c r="MD20" s="68">
        <f>IF(MC20=0,MAX(MD$2:MD19)+1,0)</f>
        <v>18</v>
      </c>
      <c r="ME20" s="5" t="str">
        <f t="shared" si="134"/>
        <v>Flying</v>
      </c>
      <c r="MF20" s="5" t="str">
        <f t="shared" si="135"/>
        <v>Flying</v>
      </c>
      <c r="MH20">
        <f t="shared" si="136"/>
        <v>18</v>
      </c>
      <c r="MI20" s="5" t="str">
        <f t="shared" si="137"/>
        <v>Flying</v>
      </c>
      <c r="MJ20" s="68">
        <f>COUNTIF(Builder!$K$28:$N$28,MI20)</f>
        <v>0</v>
      </c>
      <c r="MK20" s="68" t="str">
        <f>IF(MJ20=1,Stats!$N35,"")</f>
        <v/>
      </c>
      <c r="ML20" s="68" t="str">
        <f>IF(MJ20=1,Stats!$O35,"")</f>
        <v/>
      </c>
      <c r="MM20" s="68" t="str">
        <f>IF(MJ20=1,Stats!$P35,"")</f>
        <v/>
      </c>
      <c r="MN20" s="68" t="str">
        <f>IF(MJ20=1,Stats!$Q35,"")</f>
        <v/>
      </c>
      <c r="MO20" s="68" t="str">
        <f>IF(MJ20=1,Stats!$R35,"")</f>
        <v/>
      </c>
      <c r="MP20" s="68" t="str">
        <f>IF(MJ20=1,Stats!$S35,"")</f>
        <v/>
      </c>
      <c r="MQ20" s="68">
        <f t="shared" si="138"/>
        <v>0</v>
      </c>
      <c r="MR20">
        <f t="shared" si="139"/>
        <v>0</v>
      </c>
      <c r="MS20" s="68">
        <f>IF(MR20=0,MAX(MS$2:MS19)+1,0)</f>
        <v>18</v>
      </c>
      <c r="MT20" s="5" t="str">
        <f t="shared" si="140"/>
        <v>Flying</v>
      </c>
      <c r="MU20" s="5" t="str">
        <f t="shared" si="141"/>
        <v>Flying</v>
      </c>
      <c r="MW20">
        <f t="shared" si="142"/>
        <v>18</v>
      </c>
      <c r="MX20" s="5" t="str">
        <f t="shared" si="143"/>
        <v>Flying</v>
      </c>
      <c r="MY20" s="68">
        <f>COUNTIF(Builder!$K$29:$N$29,MX20)</f>
        <v>0</v>
      </c>
      <c r="MZ20" s="68" t="str">
        <f>IF(MY20=1,Stats!$N35,"")</f>
        <v/>
      </c>
      <c r="NA20" s="68" t="str">
        <f>IF(MY20=1,Stats!$O35,"")</f>
        <v/>
      </c>
      <c r="NB20" s="68" t="str">
        <f>IF(MY20=1,Stats!$P35,"")</f>
        <v/>
      </c>
      <c r="NC20" s="68" t="str">
        <f>IF(MY20=1,Stats!$Q35,"")</f>
        <v/>
      </c>
      <c r="ND20" s="68" t="str">
        <f>IF(MY20=1,Stats!$R35,"")</f>
        <v/>
      </c>
      <c r="NE20" s="68" t="str">
        <f>IF(MY20=1,Stats!$S35,"")</f>
        <v/>
      </c>
      <c r="NF20" s="68">
        <f t="shared" si="144"/>
        <v>0</v>
      </c>
      <c r="NG20">
        <f t="shared" si="145"/>
        <v>0</v>
      </c>
      <c r="NH20" s="68">
        <f>IF(NG20=0,MAX(NH$2:NH19)+1,0)</f>
        <v>18</v>
      </c>
      <c r="NI20" s="5" t="str">
        <f t="shared" si="146"/>
        <v>Flying</v>
      </c>
      <c r="NJ20" s="5" t="str">
        <f t="shared" si="147"/>
        <v>Flying</v>
      </c>
    </row>
    <row r="21" spans="1:374" ht="15" x14ac:dyDescent="0.3">
      <c r="A21">
        <v>19</v>
      </c>
      <c r="B21" s="5" t="s">
        <v>31</v>
      </c>
      <c r="C21" s="68">
        <f>COUNTIF(Builder!$K$5:$N$5,B21)</f>
        <v>0</v>
      </c>
      <c r="D21" s="68" t="str">
        <f>IF(C21=1,Stats!$N36,"")</f>
        <v/>
      </c>
      <c r="E21" s="68" t="str">
        <f>IF(C21=1,Stats!$O36,"")</f>
        <v/>
      </c>
      <c r="F21" s="68" t="str">
        <f>IF(C21=1,Stats!$P36,"")</f>
        <v/>
      </c>
      <c r="G21" s="68" t="str">
        <f>IF(C21=1,Stats!$Q36,"")</f>
        <v/>
      </c>
      <c r="H21" s="68" t="str">
        <f>IF(C21=1,Stats!$R36,"")</f>
        <v/>
      </c>
      <c r="I21" s="68" t="str">
        <f>IF(C21=1,Stats!$S36,"")</f>
        <v/>
      </c>
      <c r="J21" s="68">
        <f t="shared" si="0"/>
        <v>0</v>
      </c>
      <c r="K21">
        <f t="shared" si="1"/>
        <v>0</v>
      </c>
      <c r="L21" s="68">
        <f>IF(K21=0,MAX($L$2:L20)+1,0)</f>
        <v>19</v>
      </c>
      <c r="M21" s="5" t="str">
        <f t="shared" si="2"/>
        <v>Foresters</v>
      </c>
      <c r="N21" s="5" t="str">
        <f t="shared" si="3"/>
        <v>Foresters</v>
      </c>
      <c r="O21" s="5"/>
      <c r="P21">
        <f t="shared" si="4"/>
        <v>19</v>
      </c>
      <c r="Q21" s="5" t="str">
        <f t="shared" si="5"/>
        <v>Foresters</v>
      </c>
      <c r="R21" s="68">
        <f>COUNTIF(Builder!$K$6:$N$6,Q21)</f>
        <v>0</v>
      </c>
      <c r="S21" s="68" t="str">
        <f>IF(R21=1,Stats!$N36,"")</f>
        <v/>
      </c>
      <c r="T21" s="68" t="str">
        <f>IF(R21=1,Stats!$O36,"")</f>
        <v/>
      </c>
      <c r="U21" s="68" t="str">
        <f>IF(R21=1,Stats!$P36,"")</f>
        <v/>
      </c>
      <c r="V21" s="68" t="str">
        <f>IF(R21=1,Stats!$Q36,"")</f>
        <v/>
      </c>
      <c r="W21" s="68" t="str">
        <f>IF(R21=1,Stats!$R36,"")</f>
        <v/>
      </c>
      <c r="X21" s="68" t="str">
        <f>IF(R21=1,Stats!$S36,"")</f>
        <v/>
      </c>
      <c r="Y21" s="68">
        <f t="shared" si="6"/>
        <v>0</v>
      </c>
      <c r="Z21">
        <f t="shared" si="7"/>
        <v>0</v>
      </c>
      <c r="AA21" s="68">
        <f>IF(Z21=0,MAX($AA$2:AA20)+1,0)</f>
        <v>19</v>
      </c>
      <c r="AB21" s="5" t="str">
        <f t="shared" si="8"/>
        <v>Foresters</v>
      </c>
      <c r="AC21" s="5" t="str">
        <f t="shared" si="9"/>
        <v>Foresters</v>
      </c>
      <c r="AD21" s="5"/>
      <c r="AE21">
        <f t="shared" si="10"/>
        <v>19</v>
      </c>
      <c r="AF21" s="5" t="str">
        <f t="shared" si="11"/>
        <v>Foresters</v>
      </c>
      <c r="AG21" s="68">
        <f>COUNTIF(Builder!$K$7:$N$7,AF21)</f>
        <v>0</v>
      </c>
      <c r="AH21" s="68" t="str">
        <f>IF(AG21=1,Stats!$N36,"")</f>
        <v/>
      </c>
      <c r="AI21" s="68" t="str">
        <f>IF(AG21=1,Stats!$O36,"")</f>
        <v/>
      </c>
      <c r="AJ21" s="68" t="str">
        <f>IF(AG21=1,Stats!$P36,"")</f>
        <v/>
      </c>
      <c r="AK21" s="68" t="str">
        <f>IF(AG21=1,Stats!$Q36,"")</f>
        <v/>
      </c>
      <c r="AL21" s="68" t="str">
        <f>IF(AG21=1,Stats!$R36,"")</f>
        <v/>
      </c>
      <c r="AM21" s="68" t="str">
        <f>IF(AG21=1,Stats!$S36,"")</f>
        <v/>
      </c>
      <c r="AN21" s="68">
        <f t="shared" si="12"/>
        <v>0</v>
      </c>
      <c r="AO21">
        <f t="shared" si="13"/>
        <v>0</v>
      </c>
      <c r="AP21" s="68">
        <f>IF(AO21=0,MAX($AP$2:AP20)+1,0)</f>
        <v>19</v>
      </c>
      <c r="AQ21" s="5" t="str">
        <f t="shared" si="14"/>
        <v>Foresters</v>
      </c>
      <c r="AR21" s="5" t="str">
        <f t="shared" si="15"/>
        <v>Foresters</v>
      </c>
      <c r="AS21" s="5"/>
      <c r="AT21">
        <f t="shared" si="16"/>
        <v>19</v>
      </c>
      <c r="AU21" s="5" t="str">
        <f t="shared" si="17"/>
        <v>Foresters</v>
      </c>
      <c r="AV21" s="68">
        <f>COUNTIF(Builder!$K$8:$N$8,AU21)</f>
        <v>0</v>
      </c>
      <c r="AW21" s="68" t="str">
        <f>IF(AV21=1,Stats!$N36,"")</f>
        <v/>
      </c>
      <c r="AX21" s="68" t="str">
        <f>IF(AV21=1,Stats!$O36,"")</f>
        <v/>
      </c>
      <c r="AY21" s="68" t="str">
        <f>IF(AV21=1,Stats!$P36,"")</f>
        <v/>
      </c>
      <c r="AZ21" s="68" t="str">
        <f>IF(AV21=1,Stats!$Q36,"")</f>
        <v/>
      </c>
      <c r="BA21" s="68" t="str">
        <f>IF(AV21=1,Stats!$R36,"")</f>
        <v/>
      </c>
      <c r="BB21" s="68" t="str">
        <f>IF(AV21=1,Stats!$S36,"")</f>
        <v/>
      </c>
      <c r="BC21" s="68">
        <f t="shared" si="18"/>
        <v>0</v>
      </c>
      <c r="BD21">
        <f t="shared" si="19"/>
        <v>0</v>
      </c>
      <c r="BE21" s="68">
        <f>IF(BD21=0,MAX($BE$2:BE20)+1,0)</f>
        <v>19</v>
      </c>
      <c r="BF21" s="5" t="str">
        <f t="shared" si="20"/>
        <v>Foresters</v>
      </c>
      <c r="BG21" s="5" t="str">
        <f t="shared" si="21"/>
        <v>Foresters</v>
      </c>
      <c r="BH21" s="5"/>
      <c r="BI21">
        <f t="shared" si="148"/>
        <v>19</v>
      </c>
      <c r="BJ21" s="5" t="str">
        <f t="shared" si="149"/>
        <v>Foresters</v>
      </c>
      <c r="BK21" s="68">
        <f>COUNTIF(Builder!$K$9:$N$9,BJ21)</f>
        <v>0</v>
      </c>
      <c r="BL21" s="68" t="str">
        <f>IF(BK21=1,Stats!$N36,"")</f>
        <v/>
      </c>
      <c r="BM21" s="68" t="str">
        <f>IF(BK21=1,Stats!$O36,"")</f>
        <v/>
      </c>
      <c r="BN21" s="68" t="str">
        <f>IF(BK21=1,Stats!$P36,"")</f>
        <v/>
      </c>
      <c r="BO21" s="68" t="str">
        <f>IF(BK21=1,Stats!$Q36,"")</f>
        <v/>
      </c>
      <c r="BP21" s="68" t="str">
        <f>IF(BK21=1,Stats!$R36,"")</f>
        <v/>
      </c>
      <c r="BQ21" s="68" t="str">
        <f>IF(BK21=1,Stats!$S36,"")</f>
        <v/>
      </c>
      <c r="BR21" s="68">
        <f t="shared" si="150"/>
        <v>0</v>
      </c>
      <c r="BS21">
        <f t="shared" si="151"/>
        <v>0</v>
      </c>
      <c r="BT21" s="68">
        <f>IF(BS21=0,MAX(BT$2:BT20)+1,0)</f>
        <v>19</v>
      </c>
      <c r="BU21" s="5" t="str">
        <f t="shared" si="152"/>
        <v>Foresters</v>
      </c>
      <c r="BV21" s="5" t="str">
        <f t="shared" si="27"/>
        <v>Foresters</v>
      </c>
      <c r="BX21">
        <f t="shared" si="153"/>
        <v>19</v>
      </c>
      <c r="BY21" s="5" t="str">
        <f t="shared" si="154"/>
        <v>Foresters</v>
      </c>
      <c r="BZ21" s="68">
        <f>COUNTIF(Builder!$K$10:$N$10,BY21)</f>
        <v>0</v>
      </c>
      <c r="CA21" s="68" t="str">
        <f>IF(BZ21=1,Stats!$N36,"")</f>
        <v/>
      </c>
      <c r="CB21" s="68" t="str">
        <f>IF(BZ21=1,Stats!$O36,"")</f>
        <v/>
      </c>
      <c r="CC21" s="68" t="str">
        <f>IF(BZ21=1,Stats!$P36,"")</f>
        <v/>
      </c>
      <c r="CD21" s="68" t="str">
        <f>IF(BZ21=1,Stats!$Q36,"")</f>
        <v/>
      </c>
      <c r="CE21" s="68" t="str">
        <f>IF(BZ21=1,Stats!$R36,"")</f>
        <v/>
      </c>
      <c r="CF21" s="68" t="str">
        <f>IF(BZ21=1,Stats!$S36,"")</f>
        <v/>
      </c>
      <c r="CG21" s="68">
        <f t="shared" si="155"/>
        <v>0</v>
      </c>
      <c r="CH21">
        <f t="shared" si="156"/>
        <v>0</v>
      </c>
      <c r="CI21" s="68">
        <f>IF(CH21=0,MAX(CI$2:CI20)+1,0)</f>
        <v>19</v>
      </c>
      <c r="CJ21" s="5" t="str">
        <f t="shared" si="157"/>
        <v>Foresters</v>
      </c>
      <c r="CK21" s="5" t="str">
        <f t="shared" si="33"/>
        <v>Foresters</v>
      </c>
      <c r="CM21">
        <f t="shared" si="34"/>
        <v>19</v>
      </c>
      <c r="CN21" s="5" t="str">
        <f t="shared" si="35"/>
        <v>Foresters</v>
      </c>
      <c r="CO21" s="68">
        <f>COUNTIF(Builder!$K$11:$N$11,CN21)</f>
        <v>0</v>
      </c>
      <c r="CP21" s="68" t="str">
        <f>IF(CO21=1,Stats!$N36,"")</f>
        <v/>
      </c>
      <c r="CQ21" s="68" t="str">
        <f>IF(CO21=1,Stats!$O36,"")</f>
        <v/>
      </c>
      <c r="CR21" s="68" t="str">
        <f>IF(CO21=1,Stats!$P36,"")</f>
        <v/>
      </c>
      <c r="CS21" s="68" t="str">
        <f>IF(CO21=1,Stats!$Q36,"")</f>
        <v/>
      </c>
      <c r="CT21" s="68" t="str">
        <f>IF(CO21=1,Stats!$R36,"")</f>
        <v/>
      </c>
      <c r="CU21" s="68" t="str">
        <f>IF(CO21=1,Stats!$S36,"")</f>
        <v/>
      </c>
      <c r="CV21" s="68">
        <f t="shared" si="36"/>
        <v>0</v>
      </c>
      <c r="CW21">
        <f t="shared" si="37"/>
        <v>0</v>
      </c>
      <c r="CX21" s="68">
        <f>IF(CW21=0,MAX(CX$2:CX20)+1,0)</f>
        <v>19</v>
      </c>
      <c r="CY21" s="5" t="str">
        <f t="shared" si="38"/>
        <v>Foresters</v>
      </c>
      <c r="CZ21" s="5" t="str">
        <f t="shared" si="39"/>
        <v>Foresters</v>
      </c>
      <c r="DB21">
        <f t="shared" si="158"/>
        <v>19</v>
      </c>
      <c r="DC21" s="5" t="str">
        <f t="shared" si="159"/>
        <v>Foresters</v>
      </c>
      <c r="DD21" s="68">
        <f>COUNTIF(Builder!$K$12:$N$12,DC21)</f>
        <v>0</v>
      </c>
      <c r="DE21" s="68" t="str">
        <f>IF(DD21=1,Stats!$N36,"")</f>
        <v/>
      </c>
      <c r="DF21" s="68" t="str">
        <f>IF(DD21=1,Stats!$O36,"")</f>
        <v/>
      </c>
      <c r="DG21" s="68" t="str">
        <f>IF(DD21=1,Stats!$P36,"")</f>
        <v/>
      </c>
      <c r="DH21" s="68" t="str">
        <f>IF(DD21=1,Stats!$Q36,"")</f>
        <v/>
      </c>
      <c r="DI21" s="68" t="str">
        <f>IF(DD21=1,Stats!$R36,"")</f>
        <v/>
      </c>
      <c r="DJ21" s="68" t="str">
        <f>IF(DD21=1,Stats!$S36,"")</f>
        <v/>
      </c>
      <c r="DK21" s="68">
        <f t="shared" si="160"/>
        <v>0</v>
      </c>
      <c r="DL21">
        <f t="shared" si="161"/>
        <v>0</v>
      </c>
      <c r="DM21" s="68">
        <f>IF(DL21=0,MAX(DM$2:DM20)+1,0)</f>
        <v>19</v>
      </c>
      <c r="DN21" s="5" t="str">
        <f t="shared" si="162"/>
        <v>Foresters</v>
      </c>
      <c r="DO21" s="5" t="str">
        <f t="shared" si="45"/>
        <v>Foresters</v>
      </c>
      <c r="DQ21">
        <f t="shared" si="163"/>
        <v>19</v>
      </c>
      <c r="DR21" s="5" t="str">
        <f t="shared" si="164"/>
        <v>Foresters</v>
      </c>
      <c r="DS21" s="68">
        <f>COUNTIF(Builder!$K$13:$N$13,DR21)</f>
        <v>0</v>
      </c>
      <c r="DT21" s="68" t="str">
        <f>IF(DS21=1,Stats!$N36,"")</f>
        <v/>
      </c>
      <c r="DU21" s="68" t="str">
        <f>IF(DS21=1,Stats!$O36,"")</f>
        <v/>
      </c>
      <c r="DV21" s="68" t="str">
        <f>IF(DS21=1,Stats!$P36,"")</f>
        <v/>
      </c>
      <c r="DW21" s="68" t="str">
        <f>IF(DS21=1,Stats!$Q36,"")</f>
        <v/>
      </c>
      <c r="DX21" s="68" t="str">
        <f>IF(DS21=1,Stats!$R36,"")</f>
        <v/>
      </c>
      <c r="DY21" s="68" t="str">
        <f>IF(DS21=1,Stats!$S36,"")</f>
        <v/>
      </c>
      <c r="DZ21" s="68">
        <f t="shared" si="165"/>
        <v>0</v>
      </c>
      <c r="EA21">
        <f t="shared" si="166"/>
        <v>0</v>
      </c>
      <c r="EB21" s="68">
        <f>IF(EA21=0,MAX(EB$2:EB20)+1,0)</f>
        <v>19</v>
      </c>
      <c r="EC21" s="5" t="str">
        <f t="shared" si="167"/>
        <v>Foresters</v>
      </c>
      <c r="ED21" s="5" t="str">
        <f t="shared" si="51"/>
        <v>Foresters</v>
      </c>
      <c r="EF21">
        <f t="shared" si="52"/>
        <v>19</v>
      </c>
      <c r="EG21" s="5" t="str">
        <f t="shared" si="53"/>
        <v>Foresters</v>
      </c>
      <c r="EH21" s="68">
        <f>COUNTIF(Builder!$K$14:$N$14,EG21)</f>
        <v>0</v>
      </c>
      <c r="EI21" s="68" t="str">
        <f>IF(EH21=1,Stats!$N36,"")</f>
        <v/>
      </c>
      <c r="EJ21" s="68" t="str">
        <f>IF(EH21=1,Stats!$O36,"")</f>
        <v/>
      </c>
      <c r="EK21" s="68" t="str">
        <f>IF(EH21=1,Stats!$P36,"")</f>
        <v/>
      </c>
      <c r="EL21" s="68" t="str">
        <f>IF(EH21=1,Stats!$Q36,"")</f>
        <v/>
      </c>
      <c r="EM21" s="68" t="str">
        <f>IF(EH21=1,Stats!$R36,"")</f>
        <v/>
      </c>
      <c r="EN21" s="68" t="str">
        <f>IF(EH21=1,Stats!$S36,"")</f>
        <v/>
      </c>
      <c r="EO21" s="68">
        <f t="shared" si="54"/>
        <v>0</v>
      </c>
      <c r="EP21">
        <f t="shared" si="55"/>
        <v>0</v>
      </c>
      <c r="EQ21" s="68">
        <f>IF(EP21=0,MAX(EQ$2:EQ20)+1,0)</f>
        <v>19</v>
      </c>
      <c r="ER21" s="5" t="str">
        <f t="shared" si="56"/>
        <v>Foresters</v>
      </c>
      <c r="ES21" s="5" t="str">
        <f t="shared" si="57"/>
        <v>Foresters</v>
      </c>
      <c r="EU21">
        <f t="shared" si="58"/>
        <v>19</v>
      </c>
      <c r="EV21" s="5" t="str">
        <f t="shared" si="59"/>
        <v>Foresters</v>
      </c>
      <c r="EW21" s="68">
        <f>COUNTIF(Builder!$K$15:$N$15,EV21)</f>
        <v>0</v>
      </c>
      <c r="EX21" s="68" t="str">
        <f>IF(EW21=1,Stats!$N36,"")</f>
        <v/>
      </c>
      <c r="EY21" s="68" t="str">
        <f>IF(EW21=1,Stats!$O36,"")</f>
        <v/>
      </c>
      <c r="EZ21" s="68" t="str">
        <f>IF(EW21=1,Stats!$P36,"")</f>
        <v/>
      </c>
      <c r="FA21" s="68" t="str">
        <f>IF(EW21=1,Stats!$Q36,"")</f>
        <v/>
      </c>
      <c r="FB21" s="68" t="str">
        <f>IF(EW21=1,Stats!$R36,"")</f>
        <v/>
      </c>
      <c r="FC21" s="68" t="str">
        <f>IF(EW21=1,Stats!$S36,"")</f>
        <v/>
      </c>
      <c r="FD21" s="68">
        <f t="shared" si="60"/>
        <v>0</v>
      </c>
      <c r="FE21">
        <f t="shared" si="61"/>
        <v>0</v>
      </c>
      <c r="FF21" s="68">
        <f>IF(FE21=0,MAX(FF$2:FF20)+1,0)</f>
        <v>19</v>
      </c>
      <c r="FG21" s="5" t="str">
        <f t="shared" si="62"/>
        <v>Foresters</v>
      </c>
      <c r="FH21" s="5" t="str">
        <f t="shared" si="63"/>
        <v>Foresters</v>
      </c>
      <c r="FJ21">
        <f t="shared" si="64"/>
        <v>19</v>
      </c>
      <c r="FK21" s="5" t="str">
        <f t="shared" si="65"/>
        <v>Foresters</v>
      </c>
      <c r="FL21" s="68">
        <f>COUNTIF(Builder!$K$16:$N$16,FK21)</f>
        <v>0</v>
      </c>
      <c r="FM21" s="68" t="str">
        <f>IF(FL21=1,Stats!$N36,"")</f>
        <v/>
      </c>
      <c r="FN21" s="68" t="str">
        <f>IF(FL21=1,Stats!$O36,"")</f>
        <v/>
      </c>
      <c r="FO21" s="68" t="str">
        <f>IF(FL21=1,Stats!$P36,"")</f>
        <v/>
      </c>
      <c r="FP21" s="68" t="str">
        <f>IF(FL21=1,Stats!$Q36,"")</f>
        <v/>
      </c>
      <c r="FQ21" s="68" t="str">
        <f>IF(FL21=1,Stats!$R36,"")</f>
        <v/>
      </c>
      <c r="FR21" s="68" t="str">
        <f>IF(FL21=1,Stats!$S36,"")</f>
        <v/>
      </c>
      <c r="FS21" s="68">
        <f t="shared" si="66"/>
        <v>0</v>
      </c>
      <c r="FT21">
        <f t="shared" si="67"/>
        <v>0</v>
      </c>
      <c r="FU21" s="68">
        <f>IF(FT21=0,MAX(FU$2:FU20)+1,0)</f>
        <v>19</v>
      </c>
      <c r="FV21" s="5" t="str">
        <f t="shared" si="68"/>
        <v>Foresters</v>
      </c>
      <c r="FW21" s="5" t="str">
        <f t="shared" si="69"/>
        <v>Foresters</v>
      </c>
      <c r="FY21">
        <f t="shared" si="168"/>
        <v>19</v>
      </c>
      <c r="FZ21" s="5" t="str">
        <f t="shared" si="169"/>
        <v>Foresters</v>
      </c>
      <c r="GA21" s="68">
        <f>COUNTIF(Builder!$K$17:$N$17,FZ21)</f>
        <v>0</v>
      </c>
      <c r="GB21" s="68" t="str">
        <f>IF(GA21=1,Stats!$N36,"")</f>
        <v/>
      </c>
      <c r="GC21" s="68" t="str">
        <f>IF(GA21=1,Stats!$O36,"")</f>
        <v/>
      </c>
      <c r="GD21" s="68" t="str">
        <f>IF(GA21=1,Stats!$P36,"")</f>
        <v/>
      </c>
      <c r="GE21" s="68" t="str">
        <f>IF(GA21=1,Stats!$Q36,"")</f>
        <v/>
      </c>
      <c r="GF21" s="68" t="str">
        <f>IF(GA21=1,Stats!$R36,"")</f>
        <v/>
      </c>
      <c r="GG21" s="68" t="str">
        <f>IF(GA21=1,Stats!$S36,"")</f>
        <v/>
      </c>
      <c r="GH21" s="68">
        <f t="shared" si="170"/>
        <v>0</v>
      </c>
      <c r="GI21">
        <f t="shared" si="171"/>
        <v>0</v>
      </c>
      <c r="GJ21" s="68">
        <f>IF(GI21=0,MAX(GJ$2:GJ20)+1,0)</f>
        <v>19</v>
      </c>
      <c r="GK21" s="5" t="str">
        <f t="shared" si="172"/>
        <v>Foresters</v>
      </c>
      <c r="GL21" s="5" t="str">
        <f t="shared" si="75"/>
        <v>Foresters</v>
      </c>
      <c r="GN21">
        <f t="shared" si="76"/>
        <v>19</v>
      </c>
      <c r="GO21" s="5" t="str">
        <f t="shared" si="77"/>
        <v>Foresters</v>
      </c>
      <c r="GP21" s="68">
        <f>COUNTIF(Builder!$K$18:$N$18,GO21)</f>
        <v>0</v>
      </c>
      <c r="GQ21" s="68" t="str">
        <f>IF(GP21=1,Stats!$N36,"")</f>
        <v/>
      </c>
      <c r="GR21" s="68" t="str">
        <f>IF(GP21=1,Stats!$O36,"")</f>
        <v/>
      </c>
      <c r="GS21" s="68" t="str">
        <f>IF(GP21=1,Stats!$P36,"")</f>
        <v/>
      </c>
      <c r="GT21" s="68" t="str">
        <f>IF(GP21=1,Stats!$Q36,"")</f>
        <v/>
      </c>
      <c r="GU21" s="68" t="str">
        <f>IF(GP21=1,Stats!$R36,"")</f>
        <v/>
      </c>
      <c r="GV21" s="68" t="str">
        <f>IF(GP21=1,Stats!$S36,"")</f>
        <v/>
      </c>
      <c r="GW21" s="68">
        <f t="shared" si="78"/>
        <v>0</v>
      </c>
      <c r="GX21">
        <f t="shared" si="79"/>
        <v>0</v>
      </c>
      <c r="GY21" s="68">
        <f>IF(GX21=0,MAX(GY$2:GY20)+1,0)</f>
        <v>19</v>
      </c>
      <c r="GZ21" s="5" t="str">
        <f t="shared" si="80"/>
        <v>Foresters</v>
      </c>
      <c r="HA21" s="5" t="str">
        <f t="shared" si="81"/>
        <v>Foresters</v>
      </c>
      <c r="HC21">
        <f t="shared" si="82"/>
        <v>19</v>
      </c>
      <c r="HD21" s="5" t="str">
        <f t="shared" si="83"/>
        <v>Foresters</v>
      </c>
      <c r="HE21" s="68">
        <f>COUNTIF(Builder!$K$19:$N$19,HD21)</f>
        <v>0</v>
      </c>
      <c r="HF21" s="68" t="str">
        <f>IF(HE21=1,Stats!$N36,"")</f>
        <v/>
      </c>
      <c r="HG21" s="68" t="str">
        <f>IF(HE21=1,Stats!$O36,"")</f>
        <v/>
      </c>
      <c r="HH21" s="68" t="str">
        <f>IF(HE21=1,Stats!$P36,"")</f>
        <v/>
      </c>
      <c r="HI21" s="68" t="str">
        <f>IF(HE21=1,Stats!$Q36,"")</f>
        <v/>
      </c>
      <c r="HJ21" s="68" t="str">
        <f>IF(HE21=1,Stats!$R36,"")</f>
        <v/>
      </c>
      <c r="HK21" s="68" t="str">
        <f>IF(HE21=1,Stats!$S36,"")</f>
        <v/>
      </c>
      <c r="HL21" s="68">
        <f t="shared" si="84"/>
        <v>0</v>
      </c>
      <c r="HM21">
        <f t="shared" si="85"/>
        <v>0</v>
      </c>
      <c r="HN21" s="68">
        <f>IF(HM21=0,MAX(HN$2:HN20)+1,0)</f>
        <v>19</v>
      </c>
      <c r="HO21" s="5" t="str">
        <f t="shared" si="86"/>
        <v>Foresters</v>
      </c>
      <c r="HP21" s="5" t="str">
        <f t="shared" si="87"/>
        <v>Foresters</v>
      </c>
      <c r="HR21">
        <f t="shared" si="88"/>
        <v>19</v>
      </c>
      <c r="HS21" s="5" t="str">
        <f t="shared" si="89"/>
        <v>Foresters</v>
      </c>
      <c r="HT21" s="68">
        <f>COUNTIF(Builder!$K$20:$N$20,HS21)</f>
        <v>0</v>
      </c>
      <c r="HU21" s="68" t="str">
        <f>IF(HT21=1,Stats!$N36,"")</f>
        <v/>
      </c>
      <c r="HV21" s="68" t="str">
        <f>IF(HT21=1,Stats!$O36,"")</f>
        <v/>
      </c>
      <c r="HW21" s="68" t="str">
        <f>IF(HT21=1,Stats!$P36,"")</f>
        <v/>
      </c>
      <c r="HX21" s="68" t="str">
        <f>IF(HT21=1,Stats!$Q36,"")</f>
        <v/>
      </c>
      <c r="HY21" s="68" t="str">
        <f>IF(HT21=1,Stats!$R36,"")</f>
        <v/>
      </c>
      <c r="HZ21" s="68" t="str">
        <f>IF(HT21=1,Stats!$S36,"")</f>
        <v/>
      </c>
      <c r="IA21" s="68">
        <f t="shared" si="90"/>
        <v>0</v>
      </c>
      <c r="IB21">
        <f t="shared" si="91"/>
        <v>0</v>
      </c>
      <c r="IC21" s="68">
        <f>IF(IB21=0,MAX(IC$2:IC20)+1,0)</f>
        <v>19</v>
      </c>
      <c r="ID21" s="5" t="str">
        <f t="shared" si="92"/>
        <v>Foresters</v>
      </c>
      <c r="IE21" s="5" t="str">
        <f t="shared" si="93"/>
        <v>Foresters</v>
      </c>
      <c r="IG21">
        <f t="shared" si="94"/>
        <v>19</v>
      </c>
      <c r="IH21" s="5" t="str">
        <f t="shared" si="95"/>
        <v>Foresters</v>
      </c>
      <c r="II21" s="68">
        <f>COUNTIF(Builder!$K$21:$N$21,IH21)</f>
        <v>0</v>
      </c>
      <c r="IJ21" s="68" t="str">
        <f>IF(II21=1,Stats!$N36,"")</f>
        <v/>
      </c>
      <c r="IK21" s="68" t="str">
        <f>IF(II21=1,Stats!$O36,"")</f>
        <v/>
      </c>
      <c r="IL21" s="68" t="str">
        <f>IF(II21=1,Stats!$P36,"")</f>
        <v/>
      </c>
      <c r="IM21" s="68" t="str">
        <f>IF(II21=1,Stats!$Q36,"")</f>
        <v/>
      </c>
      <c r="IN21" s="68" t="str">
        <f>IF(II21=1,Stats!$R36,"")</f>
        <v/>
      </c>
      <c r="IO21" s="68" t="str">
        <f>IF(II21=1,Stats!$S36,"")</f>
        <v/>
      </c>
      <c r="IP21" s="68">
        <f t="shared" si="96"/>
        <v>0</v>
      </c>
      <c r="IQ21">
        <f t="shared" si="97"/>
        <v>0</v>
      </c>
      <c r="IR21" s="68">
        <f>IF(IQ21=0,MAX(IR$2:IR20)+1,0)</f>
        <v>19</v>
      </c>
      <c r="IS21" s="5" t="str">
        <f t="shared" si="98"/>
        <v>Foresters</v>
      </c>
      <c r="IT21" s="5" t="str">
        <f t="shared" si="99"/>
        <v>Foresters</v>
      </c>
      <c r="IV21">
        <f t="shared" si="100"/>
        <v>19</v>
      </c>
      <c r="IW21" s="5" t="str">
        <f t="shared" si="101"/>
        <v>Foresters</v>
      </c>
      <c r="IX21" s="68">
        <f>COUNTIF(Builder!$K$22:$N$22,IW21)</f>
        <v>0</v>
      </c>
      <c r="IY21" s="68" t="str">
        <f>IF(IX21=1,Stats!$N36,"")</f>
        <v/>
      </c>
      <c r="IZ21" s="68" t="str">
        <f>IF(IX21=1,Stats!$O36,"")</f>
        <v/>
      </c>
      <c r="JA21" s="68" t="str">
        <f>IF(IX21=1,Stats!$P36,"")</f>
        <v/>
      </c>
      <c r="JB21" s="68" t="str">
        <f>IF(IX21=1,Stats!$Q36,"")</f>
        <v/>
      </c>
      <c r="JC21" s="68" t="str">
        <f>IF(IX21=1,Stats!$R36,"")</f>
        <v/>
      </c>
      <c r="JD21" s="68" t="str">
        <f>IF(IX21=1,Stats!$S36,"")</f>
        <v/>
      </c>
      <c r="JE21" s="68">
        <f t="shared" si="102"/>
        <v>0</v>
      </c>
      <c r="JF21">
        <f t="shared" si="103"/>
        <v>0</v>
      </c>
      <c r="JG21" s="68">
        <f>IF(JF21=0,MAX(JG$2:JG20)+1,0)</f>
        <v>19</v>
      </c>
      <c r="JH21" s="5" t="str">
        <f t="shared" si="104"/>
        <v>Foresters</v>
      </c>
      <c r="JI21" s="5" t="str">
        <f t="shared" si="105"/>
        <v>Foresters</v>
      </c>
      <c r="JK21">
        <f t="shared" si="106"/>
        <v>19</v>
      </c>
      <c r="JL21" s="5" t="str">
        <f t="shared" si="107"/>
        <v>Foresters</v>
      </c>
      <c r="JM21" s="68">
        <f>COUNTIF(Builder!$K$23:$N$23,JL21)</f>
        <v>0</v>
      </c>
      <c r="JN21" s="68" t="str">
        <f>IF(JM21=1,Stats!$N36,"")</f>
        <v/>
      </c>
      <c r="JO21" s="68" t="str">
        <f>IF(JM21=1,Stats!$O36,"")</f>
        <v/>
      </c>
      <c r="JP21" s="68" t="str">
        <f>IF(JM21=1,Stats!$P36,"")</f>
        <v/>
      </c>
      <c r="JQ21" s="68" t="str">
        <f>IF(JM21=1,Stats!$Q36,"")</f>
        <v/>
      </c>
      <c r="JR21" s="68" t="str">
        <f>IF(JM21=1,Stats!$R36,"")</f>
        <v/>
      </c>
      <c r="JS21" s="68" t="str">
        <f>IF(JM21=1,Stats!$S36,"")</f>
        <v/>
      </c>
      <c r="JT21" s="68">
        <f t="shared" si="108"/>
        <v>0</v>
      </c>
      <c r="JU21">
        <f t="shared" si="109"/>
        <v>0</v>
      </c>
      <c r="JV21" s="68">
        <f>IF(JU21=0,MAX(JV$2:JV20)+1,0)</f>
        <v>19</v>
      </c>
      <c r="JW21" s="5" t="str">
        <f t="shared" si="110"/>
        <v>Foresters</v>
      </c>
      <c r="JX21" s="5" t="str">
        <f t="shared" si="111"/>
        <v>Foresters</v>
      </c>
      <c r="JZ21">
        <f t="shared" si="112"/>
        <v>19</v>
      </c>
      <c r="KA21" s="5" t="str">
        <f t="shared" si="113"/>
        <v>Foresters</v>
      </c>
      <c r="KB21" s="68">
        <f>COUNTIF(Builder!$K$24:$N$24,KA21)</f>
        <v>0</v>
      </c>
      <c r="KC21" s="68" t="str">
        <f>IF(KB21=1,Stats!$N36,"")</f>
        <v/>
      </c>
      <c r="KD21" s="68" t="str">
        <f>IF(KB21=1,Stats!$O36,"")</f>
        <v/>
      </c>
      <c r="KE21" s="68" t="str">
        <f>IF(KB21=1,Stats!$P36,"")</f>
        <v/>
      </c>
      <c r="KF21" s="68" t="str">
        <f>IF(KB21=1,Stats!$Q36,"")</f>
        <v/>
      </c>
      <c r="KG21" s="68" t="str">
        <f>IF(KB21=1,Stats!$R36,"")</f>
        <v/>
      </c>
      <c r="KH21" s="68" t="str">
        <f>IF(KB21=1,Stats!$S36,"")</f>
        <v/>
      </c>
      <c r="KI21" s="68">
        <f t="shared" si="114"/>
        <v>0</v>
      </c>
      <c r="KJ21">
        <f t="shared" si="115"/>
        <v>0</v>
      </c>
      <c r="KK21" s="68">
        <f>IF(KJ21=0,MAX(KK$2:KK20)+1,0)</f>
        <v>19</v>
      </c>
      <c r="KL21" s="5" t="str">
        <f t="shared" si="116"/>
        <v>Foresters</v>
      </c>
      <c r="KM21" s="5" t="str">
        <f t="shared" si="117"/>
        <v>Foresters</v>
      </c>
      <c r="KO21">
        <f t="shared" si="118"/>
        <v>19</v>
      </c>
      <c r="KP21" s="5" t="str">
        <f t="shared" si="119"/>
        <v>Foresters</v>
      </c>
      <c r="KQ21" s="68">
        <f>COUNTIF(Builder!$K$25:$N$25,KP21)</f>
        <v>0</v>
      </c>
      <c r="KR21" s="68" t="str">
        <f>IF(KQ21=1,Stats!$N36,"")</f>
        <v/>
      </c>
      <c r="KS21" s="68" t="str">
        <f>IF(KQ21=1,Stats!$O36,"")</f>
        <v/>
      </c>
      <c r="KT21" s="68" t="str">
        <f>IF(KQ21=1,Stats!$P36,"")</f>
        <v/>
      </c>
      <c r="KU21" s="68" t="str">
        <f>IF(KQ21=1,Stats!$Q36,"")</f>
        <v/>
      </c>
      <c r="KV21" s="68" t="str">
        <f>IF(KQ21=1,Stats!$R36,"")</f>
        <v/>
      </c>
      <c r="KW21" s="68" t="str">
        <f>IF(KQ21=1,Stats!$S36,"")</f>
        <v/>
      </c>
      <c r="KX21" s="68">
        <f t="shared" si="120"/>
        <v>0</v>
      </c>
      <c r="KY21">
        <f t="shared" si="121"/>
        <v>0</v>
      </c>
      <c r="KZ21" s="68">
        <f>IF(KY21=0,MAX(KZ$2:KZ20)+1,0)</f>
        <v>19</v>
      </c>
      <c r="LA21" s="5" t="str">
        <f t="shared" si="122"/>
        <v>Foresters</v>
      </c>
      <c r="LB21" s="5" t="str">
        <f t="shared" si="123"/>
        <v>Foresters</v>
      </c>
      <c r="LD21">
        <f t="shared" si="124"/>
        <v>19</v>
      </c>
      <c r="LE21" s="5" t="str">
        <f t="shared" si="125"/>
        <v>Foresters</v>
      </c>
      <c r="LF21" s="68">
        <f>COUNTIF(Builder!$K$26:$N$26,LE21)</f>
        <v>0</v>
      </c>
      <c r="LG21" s="68" t="str">
        <f>IF(LF21=1,Stats!$N36,"")</f>
        <v/>
      </c>
      <c r="LH21" s="68" t="str">
        <f>IF(LF21=1,Stats!$O36,"")</f>
        <v/>
      </c>
      <c r="LI21" s="68" t="str">
        <f>IF(LF21=1,Stats!$P36,"")</f>
        <v/>
      </c>
      <c r="LJ21" s="68" t="str">
        <f>IF(LF21=1,Stats!$Q36,"")</f>
        <v/>
      </c>
      <c r="LK21" s="68" t="str">
        <f>IF(LF21=1,Stats!$R36,"")</f>
        <v/>
      </c>
      <c r="LL21" s="68" t="str">
        <f>IF(LF21=1,Stats!$S36,"")</f>
        <v/>
      </c>
      <c r="LM21" s="68">
        <f t="shared" si="126"/>
        <v>0</v>
      </c>
      <c r="LN21">
        <f t="shared" si="127"/>
        <v>0</v>
      </c>
      <c r="LO21" s="68">
        <f>IF(LN21=0,MAX(LO$2:LO20)+1,0)</f>
        <v>19</v>
      </c>
      <c r="LP21" s="5" t="str">
        <f t="shared" si="128"/>
        <v>Foresters</v>
      </c>
      <c r="LQ21" s="5" t="str">
        <f t="shared" si="129"/>
        <v>Foresters</v>
      </c>
      <c r="LS21">
        <f t="shared" si="130"/>
        <v>19</v>
      </c>
      <c r="LT21" s="5" t="str">
        <f t="shared" si="131"/>
        <v>Foresters</v>
      </c>
      <c r="LU21" s="68">
        <f>COUNTIF(Builder!$K$27:$N$27,LT21)</f>
        <v>0</v>
      </c>
      <c r="LV21" s="68" t="str">
        <f>IF(LU21=1,Stats!$N36,"")</f>
        <v/>
      </c>
      <c r="LW21" s="68" t="str">
        <f>IF(LU21=1,Stats!$O36,"")</f>
        <v/>
      </c>
      <c r="LX21" s="68" t="str">
        <f>IF(LU21=1,Stats!$P36,"")</f>
        <v/>
      </c>
      <c r="LY21" s="68" t="str">
        <f>IF(LU21=1,Stats!$Q36,"")</f>
        <v/>
      </c>
      <c r="LZ21" s="68" t="str">
        <f>IF(LU21=1,Stats!$R36,"")</f>
        <v/>
      </c>
      <c r="MA21" s="68" t="str">
        <f>IF(LU21=1,Stats!$S36,"")</f>
        <v/>
      </c>
      <c r="MB21" s="68">
        <f t="shared" si="132"/>
        <v>0</v>
      </c>
      <c r="MC21">
        <f t="shared" si="133"/>
        <v>0</v>
      </c>
      <c r="MD21" s="68">
        <f>IF(MC21=0,MAX(MD$2:MD20)+1,0)</f>
        <v>19</v>
      </c>
      <c r="ME21" s="5" t="str">
        <f t="shared" si="134"/>
        <v>Foresters</v>
      </c>
      <c r="MF21" s="5" t="str">
        <f t="shared" si="135"/>
        <v>Foresters</v>
      </c>
      <c r="MH21">
        <f t="shared" si="136"/>
        <v>19</v>
      </c>
      <c r="MI21" s="5" t="str">
        <f t="shared" si="137"/>
        <v>Foresters</v>
      </c>
      <c r="MJ21" s="68">
        <f>COUNTIF(Builder!$K$28:$N$28,MI21)</f>
        <v>0</v>
      </c>
      <c r="MK21" s="68" t="str">
        <f>IF(MJ21=1,Stats!$N36,"")</f>
        <v/>
      </c>
      <c r="ML21" s="68" t="str">
        <f>IF(MJ21=1,Stats!$O36,"")</f>
        <v/>
      </c>
      <c r="MM21" s="68" t="str">
        <f>IF(MJ21=1,Stats!$P36,"")</f>
        <v/>
      </c>
      <c r="MN21" s="68" t="str">
        <f>IF(MJ21=1,Stats!$Q36,"")</f>
        <v/>
      </c>
      <c r="MO21" s="68" t="str">
        <f>IF(MJ21=1,Stats!$R36,"")</f>
        <v/>
      </c>
      <c r="MP21" s="68" t="str">
        <f>IF(MJ21=1,Stats!$S36,"")</f>
        <v/>
      </c>
      <c r="MQ21" s="68">
        <f t="shared" si="138"/>
        <v>0</v>
      </c>
      <c r="MR21">
        <f t="shared" si="139"/>
        <v>0</v>
      </c>
      <c r="MS21" s="68">
        <f>IF(MR21=0,MAX(MS$2:MS20)+1,0)</f>
        <v>19</v>
      </c>
      <c r="MT21" s="5" t="str">
        <f t="shared" si="140"/>
        <v>Foresters</v>
      </c>
      <c r="MU21" s="5" t="str">
        <f t="shared" si="141"/>
        <v>Foresters</v>
      </c>
      <c r="MW21">
        <f t="shared" si="142"/>
        <v>19</v>
      </c>
      <c r="MX21" s="5" t="str">
        <f t="shared" si="143"/>
        <v>Foresters</v>
      </c>
      <c r="MY21" s="68">
        <f>COUNTIF(Builder!$K$29:$N$29,MX21)</f>
        <v>0</v>
      </c>
      <c r="MZ21" s="68" t="str">
        <f>IF(MY21=1,Stats!$N36,"")</f>
        <v/>
      </c>
      <c r="NA21" s="68" t="str">
        <f>IF(MY21=1,Stats!$O36,"")</f>
        <v/>
      </c>
      <c r="NB21" s="68" t="str">
        <f>IF(MY21=1,Stats!$P36,"")</f>
        <v/>
      </c>
      <c r="NC21" s="68" t="str">
        <f>IF(MY21=1,Stats!$Q36,"")</f>
        <v/>
      </c>
      <c r="ND21" s="68" t="str">
        <f>IF(MY21=1,Stats!$R36,"")</f>
        <v/>
      </c>
      <c r="NE21" s="68" t="str">
        <f>IF(MY21=1,Stats!$S36,"")</f>
        <v/>
      </c>
      <c r="NF21" s="68">
        <f t="shared" si="144"/>
        <v>0</v>
      </c>
      <c r="NG21">
        <f t="shared" si="145"/>
        <v>0</v>
      </c>
      <c r="NH21" s="68">
        <f>IF(NG21=0,MAX(NH$2:NH20)+1,0)</f>
        <v>19</v>
      </c>
      <c r="NI21" s="5" t="str">
        <f t="shared" si="146"/>
        <v>Foresters</v>
      </c>
      <c r="NJ21" s="5" t="str">
        <f t="shared" si="147"/>
        <v>Foresters</v>
      </c>
    </row>
    <row r="22" spans="1:374" ht="15" x14ac:dyDescent="0.3">
      <c r="A22">
        <v>20</v>
      </c>
      <c r="B22" s="5" t="s">
        <v>89</v>
      </c>
      <c r="C22" s="68">
        <f>COUNTIF(Builder!$K$5:$N$5,B22)</f>
        <v>0</v>
      </c>
      <c r="D22" s="68" t="str">
        <f>IF(C22=1,Stats!$N37,"")</f>
        <v/>
      </c>
      <c r="E22" s="68" t="str">
        <f>IF(C22=1,Stats!$O37,"")</f>
        <v/>
      </c>
      <c r="F22" s="68" t="str">
        <f>IF(C22=1,Stats!$P37,"")</f>
        <v/>
      </c>
      <c r="G22" s="68" t="str">
        <f>IF(C22=1,Stats!$Q37,"")</f>
        <v/>
      </c>
      <c r="H22" s="68" t="str">
        <f>IF(C22=1,Stats!$R37,"")</f>
        <v/>
      </c>
      <c r="I22" s="68" t="str">
        <f>IF(C22=1,Stats!$S37,"")</f>
        <v/>
      </c>
      <c r="J22" s="68">
        <f t="shared" si="0"/>
        <v>0</v>
      </c>
      <c r="K22">
        <f t="shared" si="1"/>
        <v>0</v>
      </c>
      <c r="L22" s="68">
        <f>IF(K22=0,MAX($L$2:L21)+1,0)</f>
        <v>20</v>
      </c>
      <c r="M22" s="5" t="str">
        <f t="shared" si="2"/>
        <v>Furious charge</v>
      </c>
      <c r="N22" s="5" t="str">
        <f t="shared" si="3"/>
        <v>Furious charge</v>
      </c>
      <c r="O22" s="5"/>
      <c r="P22">
        <f t="shared" si="4"/>
        <v>20</v>
      </c>
      <c r="Q22" s="5" t="str">
        <f t="shared" si="5"/>
        <v>Furious charge</v>
      </c>
      <c r="R22" s="68">
        <f>COUNTIF(Builder!$K$6:$N$6,Q22)</f>
        <v>0</v>
      </c>
      <c r="S22" s="68" t="str">
        <f>IF(R22=1,Stats!$N37,"")</f>
        <v/>
      </c>
      <c r="T22" s="68" t="str">
        <f>IF(R22=1,Stats!$O37,"")</f>
        <v/>
      </c>
      <c r="U22" s="68" t="str">
        <f>IF(R22=1,Stats!$P37,"")</f>
        <v/>
      </c>
      <c r="V22" s="68" t="str">
        <f>IF(R22=1,Stats!$Q37,"")</f>
        <v/>
      </c>
      <c r="W22" s="68" t="str">
        <f>IF(R22=1,Stats!$R37,"")</f>
        <v/>
      </c>
      <c r="X22" s="68" t="str">
        <f>IF(R22=1,Stats!$S37,"")</f>
        <v/>
      </c>
      <c r="Y22" s="68">
        <f t="shared" si="6"/>
        <v>0</v>
      </c>
      <c r="Z22">
        <f t="shared" si="7"/>
        <v>0</v>
      </c>
      <c r="AA22" s="68">
        <f>IF(Z22=0,MAX($AA$2:AA21)+1,0)</f>
        <v>20</v>
      </c>
      <c r="AB22" s="5" t="str">
        <f t="shared" si="8"/>
        <v>Furious charge</v>
      </c>
      <c r="AC22" s="5" t="str">
        <f t="shared" si="9"/>
        <v>Furious charge</v>
      </c>
      <c r="AD22" s="5"/>
      <c r="AE22">
        <f t="shared" si="10"/>
        <v>20</v>
      </c>
      <c r="AF22" s="5" t="str">
        <f t="shared" si="11"/>
        <v>Furious charge</v>
      </c>
      <c r="AG22" s="68">
        <f>COUNTIF(Builder!$K$7:$N$7,AF22)</f>
        <v>0</v>
      </c>
      <c r="AH22" s="68" t="str">
        <f>IF(AG22=1,Stats!$N37,"")</f>
        <v/>
      </c>
      <c r="AI22" s="68" t="str">
        <f>IF(AG22=1,Stats!$O37,"")</f>
        <v/>
      </c>
      <c r="AJ22" s="68" t="str">
        <f>IF(AG22=1,Stats!$P37,"")</f>
        <v/>
      </c>
      <c r="AK22" s="68" t="str">
        <f>IF(AG22=1,Stats!$Q37,"")</f>
        <v/>
      </c>
      <c r="AL22" s="68" t="str">
        <f>IF(AG22=1,Stats!$R37,"")</f>
        <v/>
      </c>
      <c r="AM22" s="68" t="str">
        <f>IF(AG22=1,Stats!$S37,"")</f>
        <v/>
      </c>
      <c r="AN22" s="68">
        <f t="shared" si="12"/>
        <v>0</v>
      </c>
      <c r="AO22">
        <f t="shared" si="13"/>
        <v>0</v>
      </c>
      <c r="AP22" s="68">
        <f>IF(AO22=0,MAX($AP$2:AP21)+1,0)</f>
        <v>20</v>
      </c>
      <c r="AQ22" s="5" t="str">
        <f t="shared" si="14"/>
        <v>Furious charge</v>
      </c>
      <c r="AR22" s="5" t="str">
        <f t="shared" si="15"/>
        <v>Furious charge</v>
      </c>
      <c r="AS22" s="5"/>
      <c r="AT22">
        <f t="shared" si="16"/>
        <v>20</v>
      </c>
      <c r="AU22" s="5" t="str">
        <f t="shared" si="17"/>
        <v>Furious charge</v>
      </c>
      <c r="AV22" s="68">
        <f>COUNTIF(Builder!$K$8:$N$8,AU22)</f>
        <v>0</v>
      </c>
      <c r="AW22" s="68" t="str">
        <f>IF(AV22=1,Stats!$N37,"")</f>
        <v/>
      </c>
      <c r="AX22" s="68" t="str">
        <f>IF(AV22=1,Stats!$O37,"")</f>
        <v/>
      </c>
      <c r="AY22" s="68" t="str">
        <f>IF(AV22=1,Stats!$P37,"")</f>
        <v/>
      </c>
      <c r="AZ22" s="68" t="str">
        <f>IF(AV22=1,Stats!$Q37,"")</f>
        <v/>
      </c>
      <c r="BA22" s="68" t="str">
        <f>IF(AV22=1,Stats!$R37,"")</f>
        <v/>
      </c>
      <c r="BB22" s="68" t="str">
        <f>IF(AV22=1,Stats!$S37,"")</f>
        <v/>
      </c>
      <c r="BC22" s="68">
        <f t="shared" si="18"/>
        <v>0</v>
      </c>
      <c r="BD22">
        <f t="shared" si="19"/>
        <v>0</v>
      </c>
      <c r="BE22" s="68">
        <f>IF(BD22=0,MAX($BE$2:BE21)+1,0)</f>
        <v>20</v>
      </c>
      <c r="BF22" s="5" t="str">
        <f t="shared" si="20"/>
        <v>Furious charge</v>
      </c>
      <c r="BG22" s="5" t="str">
        <f t="shared" si="21"/>
        <v>Furious charge</v>
      </c>
      <c r="BH22" s="5"/>
      <c r="BI22">
        <f t="shared" si="148"/>
        <v>20</v>
      </c>
      <c r="BJ22" s="5" t="str">
        <f t="shared" si="149"/>
        <v>Furious charge</v>
      </c>
      <c r="BK22" s="68">
        <f>COUNTIF(Builder!$K$9:$N$9,BJ22)</f>
        <v>0</v>
      </c>
      <c r="BL22" s="68" t="str">
        <f>IF(BK22=1,Stats!$N37,"")</f>
        <v/>
      </c>
      <c r="BM22" s="68" t="str">
        <f>IF(BK22=1,Stats!$O37,"")</f>
        <v/>
      </c>
      <c r="BN22" s="68" t="str">
        <f>IF(BK22=1,Stats!$P37,"")</f>
        <v/>
      </c>
      <c r="BO22" s="68" t="str">
        <f>IF(BK22=1,Stats!$Q37,"")</f>
        <v/>
      </c>
      <c r="BP22" s="68" t="str">
        <f>IF(BK22=1,Stats!$R37,"")</f>
        <v/>
      </c>
      <c r="BQ22" s="68" t="str">
        <f>IF(BK22=1,Stats!$S37,"")</f>
        <v/>
      </c>
      <c r="BR22" s="68">
        <f t="shared" si="150"/>
        <v>0</v>
      </c>
      <c r="BS22">
        <f t="shared" si="151"/>
        <v>0</v>
      </c>
      <c r="BT22" s="68">
        <f>IF(BS22=0,MAX(BT$2:BT21)+1,0)</f>
        <v>20</v>
      </c>
      <c r="BU22" s="5" t="str">
        <f t="shared" si="152"/>
        <v>Furious charge</v>
      </c>
      <c r="BV22" s="5" t="str">
        <f t="shared" si="27"/>
        <v>Furious charge</v>
      </c>
      <c r="BX22">
        <f t="shared" si="153"/>
        <v>20</v>
      </c>
      <c r="BY22" s="5" t="str">
        <f t="shared" si="154"/>
        <v>Furious charge</v>
      </c>
      <c r="BZ22" s="68">
        <f>COUNTIF(Builder!$K$10:$N$10,BY22)</f>
        <v>0</v>
      </c>
      <c r="CA22" s="68" t="str">
        <f>IF(BZ22=1,Stats!$N37,"")</f>
        <v/>
      </c>
      <c r="CB22" s="68" t="str">
        <f>IF(BZ22=1,Stats!$O37,"")</f>
        <v/>
      </c>
      <c r="CC22" s="68" t="str">
        <f>IF(BZ22=1,Stats!$P37,"")</f>
        <v/>
      </c>
      <c r="CD22" s="68" t="str">
        <f>IF(BZ22=1,Stats!$Q37,"")</f>
        <v/>
      </c>
      <c r="CE22" s="68" t="str">
        <f>IF(BZ22=1,Stats!$R37,"")</f>
        <v/>
      </c>
      <c r="CF22" s="68" t="str">
        <f>IF(BZ22=1,Stats!$S37,"")</f>
        <v/>
      </c>
      <c r="CG22" s="68">
        <f t="shared" si="155"/>
        <v>0</v>
      </c>
      <c r="CH22">
        <f t="shared" si="156"/>
        <v>0</v>
      </c>
      <c r="CI22" s="68">
        <f>IF(CH22=0,MAX(CI$2:CI21)+1,0)</f>
        <v>20</v>
      </c>
      <c r="CJ22" s="5" t="str">
        <f t="shared" si="157"/>
        <v>Furious charge</v>
      </c>
      <c r="CK22" s="5" t="str">
        <f t="shared" si="33"/>
        <v>Furious charge</v>
      </c>
      <c r="CM22">
        <f t="shared" si="34"/>
        <v>20</v>
      </c>
      <c r="CN22" s="5" t="str">
        <f t="shared" si="35"/>
        <v>Furious charge</v>
      </c>
      <c r="CO22" s="68">
        <f>COUNTIF(Builder!$K$11:$N$11,CN22)</f>
        <v>0</v>
      </c>
      <c r="CP22" s="68" t="str">
        <f>IF(CO22=1,Stats!$N37,"")</f>
        <v/>
      </c>
      <c r="CQ22" s="68" t="str">
        <f>IF(CO22=1,Stats!$O37,"")</f>
        <v/>
      </c>
      <c r="CR22" s="68" t="str">
        <f>IF(CO22=1,Stats!$P37,"")</f>
        <v/>
      </c>
      <c r="CS22" s="68" t="str">
        <f>IF(CO22=1,Stats!$Q37,"")</f>
        <v/>
      </c>
      <c r="CT22" s="68" t="str">
        <f>IF(CO22=1,Stats!$R37,"")</f>
        <v/>
      </c>
      <c r="CU22" s="68" t="str">
        <f>IF(CO22=1,Stats!$S37,"")</f>
        <v/>
      </c>
      <c r="CV22" s="68">
        <f t="shared" si="36"/>
        <v>0</v>
      </c>
      <c r="CW22">
        <f t="shared" si="37"/>
        <v>0</v>
      </c>
      <c r="CX22" s="68">
        <f>IF(CW22=0,MAX(CX$2:CX21)+1,0)</f>
        <v>20</v>
      </c>
      <c r="CY22" s="5" t="str">
        <f t="shared" si="38"/>
        <v>Furious charge</v>
      </c>
      <c r="CZ22" s="5" t="str">
        <f t="shared" si="39"/>
        <v>Furious charge</v>
      </c>
      <c r="DB22">
        <f t="shared" si="158"/>
        <v>20</v>
      </c>
      <c r="DC22" s="5" t="str">
        <f t="shared" si="159"/>
        <v>Furious charge</v>
      </c>
      <c r="DD22" s="68">
        <f>COUNTIF(Builder!$K$12:$N$12,DC22)</f>
        <v>0</v>
      </c>
      <c r="DE22" s="68" t="str">
        <f>IF(DD22=1,Stats!$N37,"")</f>
        <v/>
      </c>
      <c r="DF22" s="68" t="str">
        <f>IF(DD22=1,Stats!$O37,"")</f>
        <v/>
      </c>
      <c r="DG22" s="68" t="str">
        <f>IF(DD22=1,Stats!$P37,"")</f>
        <v/>
      </c>
      <c r="DH22" s="68" t="str">
        <f>IF(DD22=1,Stats!$Q37,"")</f>
        <v/>
      </c>
      <c r="DI22" s="68" t="str">
        <f>IF(DD22=1,Stats!$R37,"")</f>
        <v/>
      </c>
      <c r="DJ22" s="68" t="str">
        <f>IF(DD22=1,Stats!$S37,"")</f>
        <v/>
      </c>
      <c r="DK22" s="68">
        <f t="shared" si="160"/>
        <v>0</v>
      </c>
      <c r="DL22">
        <f t="shared" si="161"/>
        <v>0</v>
      </c>
      <c r="DM22" s="68">
        <f>IF(DL22=0,MAX(DM$2:DM21)+1,0)</f>
        <v>20</v>
      </c>
      <c r="DN22" s="5" t="str">
        <f t="shared" si="162"/>
        <v>Furious charge</v>
      </c>
      <c r="DO22" s="5" t="str">
        <f t="shared" si="45"/>
        <v>Furious charge</v>
      </c>
      <c r="DQ22">
        <f t="shared" si="163"/>
        <v>20</v>
      </c>
      <c r="DR22" s="5" t="str">
        <f t="shared" si="164"/>
        <v>Furious charge</v>
      </c>
      <c r="DS22" s="68">
        <f>COUNTIF(Builder!$K$13:$N$13,DR22)</f>
        <v>0</v>
      </c>
      <c r="DT22" s="68" t="str">
        <f>IF(DS22=1,Stats!$N37,"")</f>
        <v/>
      </c>
      <c r="DU22" s="68" t="str">
        <f>IF(DS22=1,Stats!$O37,"")</f>
        <v/>
      </c>
      <c r="DV22" s="68" t="str">
        <f>IF(DS22=1,Stats!$P37,"")</f>
        <v/>
      </c>
      <c r="DW22" s="68" t="str">
        <f>IF(DS22=1,Stats!$Q37,"")</f>
        <v/>
      </c>
      <c r="DX22" s="68" t="str">
        <f>IF(DS22=1,Stats!$R37,"")</f>
        <v/>
      </c>
      <c r="DY22" s="68" t="str">
        <f>IF(DS22=1,Stats!$S37,"")</f>
        <v/>
      </c>
      <c r="DZ22" s="68">
        <f t="shared" si="165"/>
        <v>0</v>
      </c>
      <c r="EA22">
        <f t="shared" si="166"/>
        <v>0</v>
      </c>
      <c r="EB22" s="68">
        <f>IF(EA22=0,MAX(EB$2:EB21)+1,0)</f>
        <v>20</v>
      </c>
      <c r="EC22" s="5" t="str">
        <f t="shared" si="167"/>
        <v>Furious charge</v>
      </c>
      <c r="ED22" s="5" t="str">
        <f t="shared" si="51"/>
        <v>Furious charge</v>
      </c>
      <c r="EF22">
        <f t="shared" si="52"/>
        <v>20</v>
      </c>
      <c r="EG22" s="5" t="str">
        <f t="shared" si="53"/>
        <v>Furious charge</v>
      </c>
      <c r="EH22" s="68">
        <f>COUNTIF(Builder!$K$14:$N$14,EG22)</f>
        <v>0</v>
      </c>
      <c r="EI22" s="68" t="str">
        <f>IF(EH22=1,Stats!$N37,"")</f>
        <v/>
      </c>
      <c r="EJ22" s="68" t="str">
        <f>IF(EH22=1,Stats!$O37,"")</f>
        <v/>
      </c>
      <c r="EK22" s="68" t="str">
        <f>IF(EH22=1,Stats!$P37,"")</f>
        <v/>
      </c>
      <c r="EL22" s="68" t="str">
        <f>IF(EH22=1,Stats!$Q37,"")</f>
        <v/>
      </c>
      <c r="EM22" s="68" t="str">
        <f>IF(EH22=1,Stats!$R37,"")</f>
        <v/>
      </c>
      <c r="EN22" s="68" t="str">
        <f>IF(EH22=1,Stats!$S37,"")</f>
        <v/>
      </c>
      <c r="EO22" s="68">
        <f t="shared" si="54"/>
        <v>0</v>
      </c>
      <c r="EP22">
        <f t="shared" si="55"/>
        <v>0</v>
      </c>
      <c r="EQ22" s="68">
        <f>IF(EP22=0,MAX(EQ$2:EQ21)+1,0)</f>
        <v>20</v>
      </c>
      <c r="ER22" s="5" t="str">
        <f t="shared" si="56"/>
        <v>Furious charge</v>
      </c>
      <c r="ES22" s="5" t="str">
        <f t="shared" si="57"/>
        <v>Furious charge</v>
      </c>
      <c r="EU22">
        <f t="shared" si="58"/>
        <v>20</v>
      </c>
      <c r="EV22" s="5" t="str">
        <f t="shared" si="59"/>
        <v>Furious charge</v>
      </c>
      <c r="EW22" s="68">
        <f>COUNTIF(Builder!$K$15:$N$15,EV22)</f>
        <v>0</v>
      </c>
      <c r="EX22" s="68" t="str">
        <f>IF(EW22=1,Stats!$N37,"")</f>
        <v/>
      </c>
      <c r="EY22" s="68" t="str">
        <f>IF(EW22=1,Stats!$O37,"")</f>
        <v/>
      </c>
      <c r="EZ22" s="68" t="str">
        <f>IF(EW22=1,Stats!$P37,"")</f>
        <v/>
      </c>
      <c r="FA22" s="68" t="str">
        <f>IF(EW22=1,Stats!$Q37,"")</f>
        <v/>
      </c>
      <c r="FB22" s="68" t="str">
        <f>IF(EW22=1,Stats!$R37,"")</f>
        <v/>
      </c>
      <c r="FC22" s="68" t="str">
        <f>IF(EW22=1,Stats!$S37,"")</f>
        <v/>
      </c>
      <c r="FD22" s="68">
        <f t="shared" si="60"/>
        <v>0</v>
      </c>
      <c r="FE22">
        <f t="shared" si="61"/>
        <v>0</v>
      </c>
      <c r="FF22" s="68">
        <f>IF(FE22=0,MAX(FF$2:FF21)+1,0)</f>
        <v>20</v>
      </c>
      <c r="FG22" s="5" t="str">
        <f t="shared" si="62"/>
        <v>Furious charge</v>
      </c>
      <c r="FH22" s="5" t="str">
        <f t="shared" si="63"/>
        <v>Furious charge</v>
      </c>
      <c r="FJ22">
        <f t="shared" si="64"/>
        <v>20</v>
      </c>
      <c r="FK22" s="5" t="str">
        <f t="shared" si="65"/>
        <v>Furious charge</v>
      </c>
      <c r="FL22" s="68">
        <f>COUNTIF(Builder!$K$16:$N$16,FK22)</f>
        <v>0</v>
      </c>
      <c r="FM22" s="68" t="str">
        <f>IF(FL22=1,Stats!$N37,"")</f>
        <v/>
      </c>
      <c r="FN22" s="68" t="str">
        <f>IF(FL22=1,Stats!$O37,"")</f>
        <v/>
      </c>
      <c r="FO22" s="68" t="str">
        <f>IF(FL22=1,Stats!$P37,"")</f>
        <v/>
      </c>
      <c r="FP22" s="68" t="str">
        <f>IF(FL22=1,Stats!$Q37,"")</f>
        <v/>
      </c>
      <c r="FQ22" s="68" t="str">
        <f>IF(FL22=1,Stats!$R37,"")</f>
        <v/>
      </c>
      <c r="FR22" s="68" t="str">
        <f>IF(FL22=1,Stats!$S37,"")</f>
        <v/>
      </c>
      <c r="FS22" s="68">
        <f t="shared" si="66"/>
        <v>0</v>
      </c>
      <c r="FT22">
        <f t="shared" si="67"/>
        <v>0</v>
      </c>
      <c r="FU22" s="68">
        <f>IF(FT22=0,MAX(FU$2:FU21)+1,0)</f>
        <v>20</v>
      </c>
      <c r="FV22" s="5" t="str">
        <f t="shared" si="68"/>
        <v>Furious charge</v>
      </c>
      <c r="FW22" s="5" t="str">
        <f t="shared" si="69"/>
        <v>Furious charge</v>
      </c>
      <c r="FY22">
        <f t="shared" si="168"/>
        <v>20</v>
      </c>
      <c r="FZ22" s="5" t="str">
        <f t="shared" si="169"/>
        <v>Furious charge</v>
      </c>
      <c r="GA22" s="68">
        <f>COUNTIF(Builder!$K$17:$N$17,FZ22)</f>
        <v>0</v>
      </c>
      <c r="GB22" s="68" t="str">
        <f>IF(GA22=1,Stats!$N37,"")</f>
        <v/>
      </c>
      <c r="GC22" s="68" t="str">
        <f>IF(GA22=1,Stats!$O37,"")</f>
        <v/>
      </c>
      <c r="GD22" s="68" t="str">
        <f>IF(GA22=1,Stats!$P37,"")</f>
        <v/>
      </c>
      <c r="GE22" s="68" t="str">
        <f>IF(GA22=1,Stats!$Q37,"")</f>
        <v/>
      </c>
      <c r="GF22" s="68" t="str">
        <f>IF(GA22=1,Stats!$R37,"")</f>
        <v/>
      </c>
      <c r="GG22" s="68" t="str">
        <f>IF(GA22=1,Stats!$S37,"")</f>
        <v/>
      </c>
      <c r="GH22" s="68">
        <f t="shared" si="170"/>
        <v>0</v>
      </c>
      <c r="GI22">
        <f t="shared" si="171"/>
        <v>0</v>
      </c>
      <c r="GJ22" s="68">
        <f>IF(GI22=0,MAX(GJ$2:GJ21)+1,0)</f>
        <v>20</v>
      </c>
      <c r="GK22" s="5" t="str">
        <f t="shared" si="172"/>
        <v>Furious charge</v>
      </c>
      <c r="GL22" s="5" t="str">
        <f t="shared" si="75"/>
        <v>Furious charge</v>
      </c>
      <c r="GN22">
        <f t="shared" si="76"/>
        <v>20</v>
      </c>
      <c r="GO22" s="5" t="str">
        <f t="shared" si="77"/>
        <v>Furious charge</v>
      </c>
      <c r="GP22" s="68">
        <f>COUNTIF(Builder!$K$18:$N$18,GO22)</f>
        <v>0</v>
      </c>
      <c r="GQ22" s="68" t="str">
        <f>IF(GP22=1,Stats!$N37,"")</f>
        <v/>
      </c>
      <c r="GR22" s="68" t="str">
        <f>IF(GP22=1,Stats!$O37,"")</f>
        <v/>
      </c>
      <c r="GS22" s="68" t="str">
        <f>IF(GP22=1,Stats!$P37,"")</f>
        <v/>
      </c>
      <c r="GT22" s="68" t="str">
        <f>IF(GP22=1,Stats!$Q37,"")</f>
        <v/>
      </c>
      <c r="GU22" s="68" t="str">
        <f>IF(GP22=1,Stats!$R37,"")</f>
        <v/>
      </c>
      <c r="GV22" s="68" t="str">
        <f>IF(GP22=1,Stats!$S37,"")</f>
        <v/>
      </c>
      <c r="GW22" s="68">
        <f t="shared" si="78"/>
        <v>0</v>
      </c>
      <c r="GX22">
        <f t="shared" si="79"/>
        <v>0</v>
      </c>
      <c r="GY22" s="68">
        <f>IF(GX22=0,MAX(GY$2:GY21)+1,0)</f>
        <v>20</v>
      </c>
      <c r="GZ22" s="5" t="str">
        <f t="shared" si="80"/>
        <v>Furious charge</v>
      </c>
      <c r="HA22" s="5" t="str">
        <f t="shared" si="81"/>
        <v>Furious charge</v>
      </c>
      <c r="HC22">
        <f t="shared" si="82"/>
        <v>20</v>
      </c>
      <c r="HD22" s="5" t="str">
        <f t="shared" si="83"/>
        <v>Furious charge</v>
      </c>
      <c r="HE22" s="68">
        <f>COUNTIF(Builder!$K$19:$N$19,HD22)</f>
        <v>0</v>
      </c>
      <c r="HF22" s="68" t="str">
        <f>IF(HE22=1,Stats!$N37,"")</f>
        <v/>
      </c>
      <c r="HG22" s="68" t="str">
        <f>IF(HE22=1,Stats!$O37,"")</f>
        <v/>
      </c>
      <c r="HH22" s="68" t="str">
        <f>IF(HE22=1,Stats!$P37,"")</f>
        <v/>
      </c>
      <c r="HI22" s="68" t="str">
        <f>IF(HE22=1,Stats!$Q37,"")</f>
        <v/>
      </c>
      <c r="HJ22" s="68" t="str">
        <f>IF(HE22=1,Stats!$R37,"")</f>
        <v/>
      </c>
      <c r="HK22" s="68" t="str">
        <f>IF(HE22=1,Stats!$S37,"")</f>
        <v/>
      </c>
      <c r="HL22" s="68">
        <f t="shared" si="84"/>
        <v>0</v>
      </c>
      <c r="HM22">
        <f t="shared" si="85"/>
        <v>0</v>
      </c>
      <c r="HN22" s="68">
        <f>IF(HM22=0,MAX(HN$2:HN21)+1,0)</f>
        <v>20</v>
      </c>
      <c r="HO22" s="5" t="str">
        <f t="shared" si="86"/>
        <v>Furious charge</v>
      </c>
      <c r="HP22" s="5" t="str">
        <f t="shared" si="87"/>
        <v>Furious charge</v>
      </c>
      <c r="HR22">
        <f t="shared" si="88"/>
        <v>20</v>
      </c>
      <c r="HS22" s="5" t="str">
        <f t="shared" si="89"/>
        <v>Furious charge</v>
      </c>
      <c r="HT22" s="68">
        <f>COUNTIF(Builder!$K$20:$N$20,HS22)</f>
        <v>0</v>
      </c>
      <c r="HU22" s="68" t="str">
        <f>IF(HT22=1,Stats!$N37,"")</f>
        <v/>
      </c>
      <c r="HV22" s="68" t="str">
        <f>IF(HT22=1,Stats!$O37,"")</f>
        <v/>
      </c>
      <c r="HW22" s="68" t="str">
        <f>IF(HT22=1,Stats!$P37,"")</f>
        <v/>
      </c>
      <c r="HX22" s="68" t="str">
        <f>IF(HT22=1,Stats!$Q37,"")</f>
        <v/>
      </c>
      <c r="HY22" s="68" t="str">
        <f>IF(HT22=1,Stats!$R37,"")</f>
        <v/>
      </c>
      <c r="HZ22" s="68" t="str">
        <f>IF(HT22=1,Stats!$S37,"")</f>
        <v/>
      </c>
      <c r="IA22" s="68">
        <f t="shared" si="90"/>
        <v>0</v>
      </c>
      <c r="IB22">
        <f t="shared" si="91"/>
        <v>0</v>
      </c>
      <c r="IC22" s="68">
        <f>IF(IB22=0,MAX(IC$2:IC21)+1,0)</f>
        <v>20</v>
      </c>
      <c r="ID22" s="5" t="str">
        <f t="shared" si="92"/>
        <v>Furious charge</v>
      </c>
      <c r="IE22" s="5" t="str">
        <f t="shared" si="93"/>
        <v>Furious charge</v>
      </c>
      <c r="IG22">
        <f t="shared" si="94"/>
        <v>20</v>
      </c>
      <c r="IH22" s="5" t="str">
        <f t="shared" si="95"/>
        <v>Furious charge</v>
      </c>
      <c r="II22" s="68">
        <f>COUNTIF(Builder!$K$21:$N$21,IH22)</f>
        <v>0</v>
      </c>
      <c r="IJ22" s="68" t="str">
        <f>IF(II22=1,Stats!$N37,"")</f>
        <v/>
      </c>
      <c r="IK22" s="68" t="str">
        <f>IF(II22=1,Stats!$O37,"")</f>
        <v/>
      </c>
      <c r="IL22" s="68" t="str">
        <f>IF(II22=1,Stats!$P37,"")</f>
        <v/>
      </c>
      <c r="IM22" s="68" t="str">
        <f>IF(II22=1,Stats!$Q37,"")</f>
        <v/>
      </c>
      <c r="IN22" s="68" t="str">
        <f>IF(II22=1,Stats!$R37,"")</f>
        <v/>
      </c>
      <c r="IO22" s="68" t="str">
        <f>IF(II22=1,Stats!$S37,"")</f>
        <v/>
      </c>
      <c r="IP22" s="68">
        <f t="shared" si="96"/>
        <v>0</v>
      </c>
      <c r="IQ22">
        <f t="shared" si="97"/>
        <v>0</v>
      </c>
      <c r="IR22" s="68">
        <f>IF(IQ22=0,MAX(IR$2:IR21)+1,0)</f>
        <v>20</v>
      </c>
      <c r="IS22" s="5" t="str">
        <f t="shared" si="98"/>
        <v>Furious charge</v>
      </c>
      <c r="IT22" s="5" t="str">
        <f t="shared" si="99"/>
        <v>Furious charge</v>
      </c>
      <c r="IV22">
        <f t="shared" si="100"/>
        <v>20</v>
      </c>
      <c r="IW22" s="5" t="str">
        <f t="shared" si="101"/>
        <v>Furious charge</v>
      </c>
      <c r="IX22" s="68">
        <f>COUNTIF(Builder!$K$22:$N$22,IW22)</f>
        <v>0</v>
      </c>
      <c r="IY22" s="68" t="str">
        <f>IF(IX22=1,Stats!$N37,"")</f>
        <v/>
      </c>
      <c r="IZ22" s="68" t="str">
        <f>IF(IX22=1,Stats!$O37,"")</f>
        <v/>
      </c>
      <c r="JA22" s="68" t="str">
        <f>IF(IX22=1,Stats!$P37,"")</f>
        <v/>
      </c>
      <c r="JB22" s="68" t="str">
        <f>IF(IX22=1,Stats!$Q37,"")</f>
        <v/>
      </c>
      <c r="JC22" s="68" t="str">
        <f>IF(IX22=1,Stats!$R37,"")</f>
        <v/>
      </c>
      <c r="JD22" s="68" t="str">
        <f>IF(IX22=1,Stats!$S37,"")</f>
        <v/>
      </c>
      <c r="JE22" s="68">
        <f t="shared" si="102"/>
        <v>0</v>
      </c>
      <c r="JF22">
        <f t="shared" si="103"/>
        <v>0</v>
      </c>
      <c r="JG22" s="68">
        <f>IF(JF22=0,MAX(JG$2:JG21)+1,0)</f>
        <v>20</v>
      </c>
      <c r="JH22" s="5" t="str">
        <f t="shared" si="104"/>
        <v>Furious charge</v>
      </c>
      <c r="JI22" s="5" t="str">
        <f t="shared" si="105"/>
        <v>Furious charge</v>
      </c>
      <c r="JK22">
        <f t="shared" si="106"/>
        <v>20</v>
      </c>
      <c r="JL22" s="5" t="str">
        <f t="shared" si="107"/>
        <v>Furious charge</v>
      </c>
      <c r="JM22" s="68">
        <f>COUNTIF(Builder!$K$23:$N$23,JL22)</f>
        <v>0</v>
      </c>
      <c r="JN22" s="68" t="str">
        <f>IF(JM22=1,Stats!$N37,"")</f>
        <v/>
      </c>
      <c r="JO22" s="68" t="str">
        <f>IF(JM22=1,Stats!$O37,"")</f>
        <v/>
      </c>
      <c r="JP22" s="68" t="str">
        <f>IF(JM22=1,Stats!$P37,"")</f>
        <v/>
      </c>
      <c r="JQ22" s="68" t="str">
        <f>IF(JM22=1,Stats!$Q37,"")</f>
        <v/>
      </c>
      <c r="JR22" s="68" t="str">
        <f>IF(JM22=1,Stats!$R37,"")</f>
        <v/>
      </c>
      <c r="JS22" s="68" t="str">
        <f>IF(JM22=1,Stats!$S37,"")</f>
        <v/>
      </c>
      <c r="JT22" s="68">
        <f t="shared" si="108"/>
        <v>0</v>
      </c>
      <c r="JU22">
        <f t="shared" si="109"/>
        <v>0</v>
      </c>
      <c r="JV22" s="68">
        <f>IF(JU22=0,MAX(JV$2:JV21)+1,0)</f>
        <v>20</v>
      </c>
      <c r="JW22" s="5" t="str">
        <f t="shared" si="110"/>
        <v>Furious charge</v>
      </c>
      <c r="JX22" s="5" t="str">
        <f t="shared" si="111"/>
        <v>Furious charge</v>
      </c>
      <c r="JZ22">
        <f t="shared" si="112"/>
        <v>20</v>
      </c>
      <c r="KA22" s="5" t="str">
        <f t="shared" si="113"/>
        <v>Furious charge</v>
      </c>
      <c r="KB22" s="68">
        <f>COUNTIF(Builder!$K$24:$N$24,KA22)</f>
        <v>0</v>
      </c>
      <c r="KC22" s="68" t="str">
        <f>IF(KB22=1,Stats!$N37,"")</f>
        <v/>
      </c>
      <c r="KD22" s="68" t="str">
        <f>IF(KB22=1,Stats!$O37,"")</f>
        <v/>
      </c>
      <c r="KE22" s="68" t="str">
        <f>IF(KB22=1,Stats!$P37,"")</f>
        <v/>
      </c>
      <c r="KF22" s="68" t="str">
        <f>IF(KB22=1,Stats!$Q37,"")</f>
        <v/>
      </c>
      <c r="KG22" s="68" t="str">
        <f>IF(KB22=1,Stats!$R37,"")</f>
        <v/>
      </c>
      <c r="KH22" s="68" t="str">
        <f>IF(KB22=1,Stats!$S37,"")</f>
        <v/>
      </c>
      <c r="KI22" s="68">
        <f t="shared" si="114"/>
        <v>0</v>
      </c>
      <c r="KJ22">
        <f t="shared" si="115"/>
        <v>0</v>
      </c>
      <c r="KK22" s="68">
        <f>IF(KJ22=0,MAX(KK$2:KK21)+1,0)</f>
        <v>20</v>
      </c>
      <c r="KL22" s="5" t="str">
        <f t="shared" si="116"/>
        <v>Furious charge</v>
      </c>
      <c r="KM22" s="5" t="str">
        <f t="shared" si="117"/>
        <v>Furious charge</v>
      </c>
      <c r="KO22">
        <f t="shared" si="118"/>
        <v>20</v>
      </c>
      <c r="KP22" s="5" t="str">
        <f t="shared" si="119"/>
        <v>Furious charge</v>
      </c>
      <c r="KQ22" s="68">
        <f>COUNTIF(Builder!$K$25:$N$25,KP22)</f>
        <v>0</v>
      </c>
      <c r="KR22" s="68" t="str">
        <f>IF(KQ22=1,Stats!$N37,"")</f>
        <v/>
      </c>
      <c r="KS22" s="68" t="str">
        <f>IF(KQ22=1,Stats!$O37,"")</f>
        <v/>
      </c>
      <c r="KT22" s="68" t="str">
        <f>IF(KQ22=1,Stats!$P37,"")</f>
        <v/>
      </c>
      <c r="KU22" s="68" t="str">
        <f>IF(KQ22=1,Stats!$Q37,"")</f>
        <v/>
      </c>
      <c r="KV22" s="68" t="str">
        <f>IF(KQ22=1,Stats!$R37,"")</f>
        <v/>
      </c>
      <c r="KW22" s="68" t="str">
        <f>IF(KQ22=1,Stats!$S37,"")</f>
        <v/>
      </c>
      <c r="KX22" s="68">
        <f t="shared" si="120"/>
        <v>0</v>
      </c>
      <c r="KY22">
        <f t="shared" si="121"/>
        <v>0</v>
      </c>
      <c r="KZ22" s="68">
        <f>IF(KY22=0,MAX(KZ$2:KZ21)+1,0)</f>
        <v>20</v>
      </c>
      <c r="LA22" s="5" t="str">
        <f t="shared" si="122"/>
        <v>Furious charge</v>
      </c>
      <c r="LB22" s="5" t="str">
        <f t="shared" si="123"/>
        <v>Furious charge</v>
      </c>
      <c r="LD22">
        <f t="shared" si="124"/>
        <v>20</v>
      </c>
      <c r="LE22" s="5" t="str">
        <f t="shared" si="125"/>
        <v>Furious charge</v>
      </c>
      <c r="LF22" s="68">
        <f>COUNTIF(Builder!$K$26:$N$26,LE22)</f>
        <v>0</v>
      </c>
      <c r="LG22" s="68" t="str">
        <f>IF(LF22=1,Stats!$N37,"")</f>
        <v/>
      </c>
      <c r="LH22" s="68" t="str">
        <f>IF(LF22=1,Stats!$O37,"")</f>
        <v/>
      </c>
      <c r="LI22" s="68" t="str">
        <f>IF(LF22=1,Stats!$P37,"")</f>
        <v/>
      </c>
      <c r="LJ22" s="68" t="str">
        <f>IF(LF22=1,Stats!$Q37,"")</f>
        <v/>
      </c>
      <c r="LK22" s="68" t="str">
        <f>IF(LF22=1,Stats!$R37,"")</f>
        <v/>
      </c>
      <c r="LL22" s="68" t="str">
        <f>IF(LF22=1,Stats!$S37,"")</f>
        <v/>
      </c>
      <c r="LM22" s="68">
        <f t="shared" si="126"/>
        <v>0</v>
      </c>
      <c r="LN22">
        <f t="shared" si="127"/>
        <v>0</v>
      </c>
      <c r="LO22" s="68">
        <f>IF(LN22=0,MAX(LO$2:LO21)+1,0)</f>
        <v>20</v>
      </c>
      <c r="LP22" s="5" t="str">
        <f t="shared" si="128"/>
        <v>Furious charge</v>
      </c>
      <c r="LQ22" s="5" t="str">
        <f t="shared" si="129"/>
        <v>Furious charge</v>
      </c>
      <c r="LS22">
        <f t="shared" si="130"/>
        <v>20</v>
      </c>
      <c r="LT22" s="5" t="str">
        <f t="shared" si="131"/>
        <v>Furious charge</v>
      </c>
      <c r="LU22" s="68">
        <f>COUNTIF(Builder!$K$27:$N$27,LT22)</f>
        <v>0</v>
      </c>
      <c r="LV22" s="68" t="str">
        <f>IF(LU22=1,Stats!$N37,"")</f>
        <v/>
      </c>
      <c r="LW22" s="68" t="str">
        <f>IF(LU22=1,Stats!$O37,"")</f>
        <v/>
      </c>
      <c r="LX22" s="68" t="str">
        <f>IF(LU22=1,Stats!$P37,"")</f>
        <v/>
      </c>
      <c r="LY22" s="68" t="str">
        <f>IF(LU22=1,Stats!$Q37,"")</f>
        <v/>
      </c>
      <c r="LZ22" s="68" t="str">
        <f>IF(LU22=1,Stats!$R37,"")</f>
        <v/>
      </c>
      <c r="MA22" s="68" t="str">
        <f>IF(LU22=1,Stats!$S37,"")</f>
        <v/>
      </c>
      <c r="MB22" s="68">
        <f t="shared" si="132"/>
        <v>0</v>
      </c>
      <c r="MC22">
        <f t="shared" si="133"/>
        <v>0</v>
      </c>
      <c r="MD22" s="68">
        <f>IF(MC22=0,MAX(MD$2:MD21)+1,0)</f>
        <v>20</v>
      </c>
      <c r="ME22" s="5" t="str">
        <f t="shared" si="134"/>
        <v>Furious charge</v>
      </c>
      <c r="MF22" s="5" t="str">
        <f t="shared" si="135"/>
        <v>Furious charge</v>
      </c>
      <c r="MH22">
        <f t="shared" si="136"/>
        <v>20</v>
      </c>
      <c r="MI22" s="5" t="str">
        <f t="shared" si="137"/>
        <v>Furious charge</v>
      </c>
      <c r="MJ22" s="68">
        <f>COUNTIF(Builder!$K$28:$N$28,MI22)</f>
        <v>0</v>
      </c>
      <c r="MK22" s="68" t="str">
        <f>IF(MJ22=1,Stats!$N37,"")</f>
        <v/>
      </c>
      <c r="ML22" s="68" t="str">
        <f>IF(MJ22=1,Stats!$O37,"")</f>
        <v/>
      </c>
      <c r="MM22" s="68" t="str">
        <f>IF(MJ22=1,Stats!$P37,"")</f>
        <v/>
      </c>
      <c r="MN22" s="68" t="str">
        <f>IF(MJ22=1,Stats!$Q37,"")</f>
        <v/>
      </c>
      <c r="MO22" s="68" t="str">
        <f>IF(MJ22=1,Stats!$R37,"")</f>
        <v/>
      </c>
      <c r="MP22" s="68" t="str">
        <f>IF(MJ22=1,Stats!$S37,"")</f>
        <v/>
      </c>
      <c r="MQ22" s="68">
        <f t="shared" si="138"/>
        <v>0</v>
      </c>
      <c r="MR22">
        <f t="shared" si="139"/>
        <v>0</v>
      </c>
      <c r="MS22" s="68">
        <f>IF(MR22=0,MAX(MS$2:MS21)+1,0)</f>
        <v>20</v>
      </c>
      <c r="MT22" s="5" t="str">
        <f t="shared" si="140"/>
        <v>Furious charge</v>
      </c>
      <c r="MU22" s="5" t="str">
        <f t="shared" si="141"/>
        <v>Furious charge</v>
      </c>
      <c r="MW22">
        <f t="shared" si="142"/>
        <v>20</v>
      </c>
      <c r="MX22" s="5" t="str">
        <f t="shared" si="143"/>
        <v>Furious charge</v>
      </c>
      <c r="MY22" s="68">
        <f>COUNTIF(Builder!$K$29:$N$29,MX22)</f>
        <v>0</v>
      </c>
      <c r="MZ22" s="68" t="str">
        <f>IF(MY22=1,Stats!$N37,"")</f>
        <v/>
      </c>
      <c r="NA22" s="68" t="str">
        <f>IF(MY22=1,Stats!$O37,"")</f>
        <v/>
      </c>
      <c r="NB22" s="68" t="str">
        <f>IF(MY22=1,Stats!$P37,"")</f>
        <v/>
      </c>
      <c r="NC22" s="68" t="str">
        <f>IF(MY22=1,Stats!$Q37,"")</f>
        <v/>
      </c>
      <c r="ND22" s="68" t="str">
        <f>IF(MY22=1,Stats!$R37,"")</f>
        <v/>
      </c>
      <c r="NE22" s="68" t="str">
        <f>IF(MY22=1,Stats!$S37,"")</f>
        <v/>
      </c>
      <c r="NF22" s="68">
        <f t="shared" si="144"/>
        <v>0</v>
      </c>
      <c r="NG22">
        <f t="shared" si="145"/>
        <v>0</v>
      </c>
      <c r="NH22" s="68">
        <f>IF(NG22=0,MAX(NH$2:NH21)+1,0)</f>
        <v>20</v>
      </c>
      <c r="NI22" s="5" t="str">
        <f t="shared" si="146"/>
        <v>Furious charge</v>
      </c>
      <c r="NJ22" s="5" t="str">
        <f t="shared" si="147"/>
        <v>Furious charge</v>
      </c>
    </row>
    <row r="23" spans="1:374" ht="15" x14ac:dyDescent="0.3">
      <c r="A23">
        <v>21</v>
      </c>
      <c r="B23" s="5" t="s">
        <v>32</v>
      </c>
      <c r="C23" s="68">
        <f>COUNTIF(Builder!$K$5:$N$5,B23)</f>
        <v>0</v>
      </c>
      <c r="D23" s="68" t="str">
        <f>IF(C23=1,Stats!$N38,"")</f>
        <v/>
      </c>
      <c r="E23" s="68" t="str">
        <f>IF(C23=1,Stats!$O38,"")</f>
        <v/>
      </c>
      <c r="F23" s="68" t="str">
        <f>IF(C23=1,Stats!$P38,"")</f>
        <v/>
      </c>
      <c r="G23" s="68" t="str">
        <f>IF(C23=1,Stats!$Q38,"")</f>
        <v/>
      </c>
      <c r="H23" s="68" t="str">
        <f>IF(C23=1,Stats!$R38,"")</f>
        <v/>
      </c>
      <c r="I23" s="68" t="str">
        <f>IF(C23=1,Stats!$S38,"")</f>
        <v/>
      </c>
      <c r="J23" s="68">
        <f t="shared" si="0"/>
        <v>0</v>
      </c>
      <c r="K23">
        <f t="shared" si="1"/>
        <v>0</v>
      </c>
      <c r="L23" s="68">
        <f>IF(K23=0,MAX($L$2:L22)+1,0)</f>
        <v>21</v>
      </c>
      <c r="M23" s="5" t="str">
        <f t="shared" si="2"/>
        <v>Giant</v>
      </c>
      <c r="N23" s="5" t="str">
        <f t="shared" si="3"/>
        <v>Giant</v>
      </c>
      <c r="O23" s="5"/>
      <c r="P23">
        <f t="shared" si="4"/>
        <v>21</v>
      </c>
      <c r="Q23" s="5" t="str">
        <f t="shared" si="5"/>
        <v>Giant</v>
      </c>
      <c r="R23" s="68">
        <f>COUNTIF(Builder!$K$6:$N$6,Q23)</f>
        <v>0</v>
      </c>
      <c r="S23" s="68" t="str">
        <f>IF(R23=1,Stats!$N38,"")</f>
        <v/>
      </c>
      <c r="T23" s="68" t="str">
        <f>IF(R23=1,Stats!$O38,"")</f>
        <v/>
      </c>
      <c r="U23" s="68" t="str">
        <f>IF(R23=1,Stats!$P38,"")</f>
        <v/>
      </c>
      <c r="V23" s="68" t="str">
        <f>IF(R23=1,Stats!$Q38,"")</f>
        <v/>
      </c>
      <c r="W23" s="68" t="str">
        <f>IF(R23=1,Stats!$R38,"")</f>
        <v/>
      </c>
      <c r="X23" s="68" t="str">
        <f>IF(R23=1,Stats!$S38,"")</f>
        <v/>
      </c>
      <c r="Y23" s="68">
        <f t="shared" si="6"/>
        <v>0</v>
      </c>
      <c r="Z23">
        <f t="shared" si="7"/>
        <v>0</v>
      </c>
      <c r="AA23" s="68">
        <f>IF(Z23=0,MAX($AA$2:AA22)+1,0)</f>
        <v>21</v>
      </c>
      <c r="AB23" s="5" t="str">
        <f t="shared" si="8"/>
        <v>Giant</v>
      </c>
      <c r="AC23" s="5" t="str">
        <f t="shared" si="9"/>
        <v>Giant</v>
      </c>
      <c r="AD23" s="5"/>
      <c r="AE23">
        <f t="shared" si="10"/>
        <v>21</v>
      </c>
      <c r="AF23" s="5" t="str">
        <f t="shared" si="11"/>
        <v>Giant</v>
      </c>
      <c r="AG23" s="68">
        <f>COUNTIF(Builder!$K$7:$N$7,AF23)</f>
        <v>0</v>
      </c>
      <c r="AH23" s="68" t="str">
        <f>IF(AG23=1,Stats!$N38,"")</f>
        <v/>
      </c>
      <c r="AI23" s="68" t="str">
        <f>IF(AG23=1,Stats!$O38,"")</f>
        <v/>
      </c>
      <c r="AJ23" s="68" t="str">
        <f>IF(AG23=1,Stats!$P38,"")</f>
        <v/>
      </c>
      <c r="AK23" s="68" t="str">
        <f>IF(AG23=1,Stats!$Q38,"")</f>
        <v/>
      </c>
      <c r="AL23" s="68" t="str">
        <f>IF(AG23=1,Stats!$R38,"")</f>
        <v/>
      </c>
      <c r="AM23" s="68" t="str">
        <f>IF(AG23=1,Stats!$S38,"")</f>
        <v/>
      </c>
      <c r="AN23" s="68">
        <f t="shared" si="12"/>
        <v>0</v>
      </c>
      <c r="AO23">
        <f t="shared" si="13"/>
        <v>0</v>
      </c>
      <c r="AP23" s="68">
        <f>IF(AO23=0,MAX($AP$2:AP22)+1,0)</f>
        <v>21</v>
      </c>
      <c r="AQ23" s="5" t="str">
        <f t="shared" si="14"/>
        <v>Giant</v>
      </c>
      <c r="AR23" s="5" t="str">
        <f t="shared" si="15"/>
        <v>Giant</v>
      </c>
      <c r="AS23" s="5"/>
      <c r="AT23">
        <f t="shared" si="16"/>
        <v>21</v>
      </c>
      <c r="AU23" s="5" t="str">
        <f t="shared" si="17"/>
        <v>Giant</v>
      </c>
      <c r="AV23" s="68">
        <f>COUNTIF(Builder!$K$8:$N$8,AU23)</f>
        <v>0</v>
      </c>
      <c r="AW23" s="68" t="str">
        <f>IF(AV23=1,Stats!$N38,"")</f>
        <v/>
      </c>
      <c r="AX23" s="68" t="str">
        <f>IF(AV23=1,Stats!$O38,"")</f>
        <v/>
      </c>
      <c r="AY23" s="68" t="str">
        <f>IF(AV23=1,Stats!$P38,"")</f>
        <v/>
      </c>
      <c r="AZ23" s="68" t="str">
        <f>IF(AV23=1,Stats!$Q38,"")</f>
        <v/>
      </c>
      <c r="BA23" s="68" t="str">
        <f>IF(AV23=1,Stats!$R38,"")</f>
        <v/>
      </c>
      <c r="BB23" s="68" t="str">
        <f>IF(AV23=1,Stats!$S38,"")</f>
        <v/>
      </c>
      <c r="BC23" s="68">
        <f t="shared" si="18"/>
        <v>0</v>
      </c>
      <c r="BD23">
        <f t="shared" si="19"/>
        <v>0</v>
      </c>
      <c r="BE23" s="68">
        <f>IF(BD23=0,MAX($BE$2:BE22)+1,0)</f>
        <v>21</v>
      </c>
      <c r="BF23" s="5" t="str">
        <f t="shared" si="20"/>
        <v>Giant</v>
      </c>
      <c r="BG23" s="5" t="str">
        <f t="shared" si="21"/>
        <v>Giant</v>
      </c>
      <c r="BH23" s="5"/>
      <c r="BI23">
        <f t="shared" si="148"/>
        <v>21</v>
      </c>
      <c r="BJ23" s="5" t="str">
        <f t="shared" si="149"/>
        <v>Giant</v>
      </c>
      <c r="BK23" s="68">
        <f>COUNTIF(Builder!$K$9:$N$9,BJ23)</f>
        <v>0</v>
      </c>
      <c r="BL23" s="68" t="str">
        <f>IF(BK23=1,Stats!$N38,"")</f>
        <v/>
      </c>
      <c r="BM23" s="68" t="str">
        <f>IF(BK23=1,Stats!$O38,"")</f>
        <v/>
      </c>
      <c r="BN23" s="68" t="str">
        <f>IF(BK23=1,Stats!$P38,"")</f>
        <v/>
      </c>
      <c r="BO23" s="68" t="str">
        <f>IF(BK23=1,Stats!$Q38,"")</f>
        <v/>
      </c>
      <c r="BP23" s="68" t="str">
        <f>IF(BK23=1,Stats!$R38,"")</f>
        <v/>
      </c>
      <c r="BQ23" s="68" t="str">
        <f>IF(BK23=1,Stats!$S38,"")</f>
        <v/>
      </c>
      <c r="BR23" s="68">
        <f t="shared" si="150"/>
        <v>0</v>
      </c>
      <c r="BS23">
        <f t="shared" si="151"/>
        <v>0</v>
      </c>
      <c r="BT23" s="68">
        <f>IF(BS23=0,MAX(BT$2:BT22)+1,0)</f>
        <v>21</v>
      </c>
      <c r="BU23" s="5" t="str">
        <f t="shared" si="152"/>
        <v>Giant</v>
      </c>
      <c r="BV23" s="5" t="str">
        <f t="shared" si="27"/>
        <v>Giant</v>
      </c>
      <c r="BX23">
        <f t="shared" si="153"/>
        <v>21</v>
      </c>
      <c r="BY23" s="5" t="str">
        <f t="shared" si="154"/>
        <v>Giant</v>
      </c>
      <c r="BZ23" s="68">
        <f>COUNTIF(Builder!$K$10:$N$10,BY23)</f>
        <v>0</v>
      </c>
      <c r="CA23" s="68" t="str">
        <f>IF(BZ23=1,Stats!$N38,"")</f>
        <v/>
      </c>
      <c r="CB23" s="68" t="str">
        <f>IF(BZ23=1,Stats!$O38,"")</f>
        <v/>
      </c>
      <c r="CC23" s="68" t="str">
        <f>IF(BZ23=1,Stats!$P38,"")</f>
        <v/>
      </c>
      <c r="CD23" s="68" t="str">
        <f>IF(BZ23=1,Stats!$Q38,"")</f>
        <v/>
      </c>
      <c r="CE23" s="68" t="str">
        <f>IF(BZ23=1,Stats!$R38,"")</f>
        <v/>
      </c>
      <c r="CF23" s="68" t="str">
        <f>IF(BZ23=1,Stats!$S38,"")</f>
        <v/>
      </c>
      <c r="CG23" s="68">
        <f t="shared" si="155"/>
        <v>0</v>
      </c>
      <c r="CH23">
        <f t="shared" si="156"/>
        <v>0</v>
      </c>
      <c r="CI23" s="68">
        <f>IF(CH23=0,MAX(CI$2:CI22)+1,0)</f>
        <v>21</v>
      </c>
      <c r="CJ23" s="5" t="str">
        <f t="shared" si="157"/>
        <v>Giant</v>
      </c>
      <c r="CK23" s="5" t="str">
        <f t="shared" si="33"/>
        <v>Giant</v>
      </c>
      <c r="CM23">
        <f t="shared" si="34"/>
        <v>21</v>
      </c>
      <c r="CN23" s="5" t="str">
        <f t="shared" si="35"/>
        <v>Giant</v>
      </c>
      <c r="CO23" s="68">
        <f>COUNTIF(Builder!$K$11:$N$11,CN23)</f>
        <v>0</v>
      </c>
      <c r="CP23" s="68" t="str">
        <f>IF(CO23=1,Stats!$N38,"")</f>
        <v/>
      </c>
      <c r="CQ23" s="68" t="str">
        <f>IF(CO23=1,Stats!$O38,"")</f>
        <v/>
      </c>
      <c r="CR23" s="68" t="str">
        <f>IF(CO23=1,Stats!$P38,"")</f>
        <v/>
      </c>
      <c r="CS23" s="68" t="str">
        <f>IF(CO23=1,Stats!$Q38,"")</f>
        <v/>
      </c>
      <c r="CT23" s="68" t="str">
        <f>IF(CO23=1,Stats!$R38,"")</f>
        <v/>
      </c>
      <c r="CU23" s="68" t="str">
        <f>IF(CO23=1,Stats!$S38,"")</f>
        <v/>
      </c>
      <c r="CV23" s="68">
        <f t="shared" si="36"/>
        <v>0</v>
      </c>
      <c r="CW23">
        <f t="shared" si="37"/>
        <v>0</v>
      </c>
      <c r="CX23" s="68">
        <f>IF(CW23=0,MAX(CX$2:CX22)+1,0)</f>
        <v>21</v>
      </c>
      <c r="CY23" s="5" t="str">
        <f t="shared" si="38"/>
        <v>Giant</v>
      </c>
      <c r="CZ23" s="5" t="str">
        <f t="shared" si="39"/>
        <v>Giant</v>
      </c>
      <c r="DB23">
        <f t="shared" si="158"/>
        <v>21</v>
      </c>
      <c r="DC23" s="5" t="str">
        <f t="shared" si="159"/>
        <v>Giant</v>
      </c>
      <c r="DD23" s="68">
        <f>COUNTIF(Builder!$K$12:$N$12,DC23)</f>
        <v>0</v>
      </c>
      <c r="DE23" s="68" t="str">
        <f>IF(DD23=1,Stats!$N38,"")</f>
        <v/>
      </c>
      <c r="DF23" s="68" t="str">
        <f>IF(DD23=1,Stats!$O38,"")</f>
        <v/>
      </c>
      <c r="DG23" s="68" t="str">
        <f>IF(DD23=1,Stats!$P38,"")</f>
        <v/>
      </c>
      <c r="DH23" s="68" t="str">
        <f>IF(DD23=1,Stats!$Q38,"")</f>
        <v/>
      </c>
      <c r="DI23" s="68" t="str">
        <f>IF(DD23=1,Stats!$R38,"")</f>
        <v/>
      </c>
      <c r="DJ23" s="68" t="str">
        <f>IF(DD23=1,Stats!$S38,"")</f>
        <v/>
      </c>
      <c r="DK23" s="68">
        <f t="shared" si="160"/>
        <v>0</v>
      </c>
      <c r="DL23">
        <f t="shared" si="161"/>
        <v>0</v>
      </c>
      <c r="DM23" s="68">
        <f>IF(DL23=0,MAX(DM$2:DM22)+1,0)</f>
        <v>21</v>
      </c>
      <c r="DN23" s="5" t="str">
        <f t="shared" si="162"/>
        <v>Giant</v>
      </c>
      <c r="DO23" s="5" t="str">
        <f t="shared" si="45"/>
        <v>Giant</v>
      </c>
      <c r="DQ23">
        <f t="shared" si="163"/>
        <v>21</v>
      </c>
      <c r="DR23" s="5" t="str">
        <f t="shared" si="164"/>
        <v>Giant</v>
      </c>
      <c r="DS23" s="68">
        <f>COUNTIF(Builder!$K$13:$N$13,DR23)</f>
        <v>0</v>
      </c>
      <c r="DT23" s="68" t="str">
        <f>IF(DS23=1,Stats!$N38,"")</f>
        <v/>
      </c>
      <c r="DU23" s="68" t="str">
        <f>IF(DS23=1,Stats!$O38,"")</f>
        <v/>
      </c>
      <c r="DV23" s="68" t="str">
        <f>IF(DS23=1,Stats!$P38,"")</f>
        <v/>
      </c>
      <c r="DW23" s="68" t="str">
        <f>IF(DS23=1,Stats!$Q38,"")</f>
        <v/>
      </c>
      <c r="DX23" s="68" t="str">
        <f>IF(DS23=1,Stats!$R38,"")</f>
        <v/>
      </c>
      <c r="DY23" s="68" t="str">
        <f>IF(DS23=1,Stats!$S38,"")</f>
        <v/>
      </c>
      <c r="DZ23" s="68">
        <f t="shared" si="165"/>
        <v>0</v>
      </c>
      <c r="EA23">
        <f t="shared" si="166"/>
        <v>0</v>
      </c>
      <c r="EB23" s="68">
        <f>IF(EA23=0,MAX(EB$2:EB22)+1,0)</f>
        <v>21</v>
      </c>
      <c r="EC23" s="5" t="str">
        <f t="shared" si="167"/>
        <v>Giant</v>
      </c>
      <c r="ED23" s="5" t="str">
        <f t="shared" si="51"/>
        <v>Giant</v>
      </c>
      <c r="EF23">
        <f t="shared" si="52"/>
        <v>21</v>
      </c>
      <c r="EG23" s="5" t="str">
        <f t="shared" si="53"/>
        <v>Giant</v>
      </c>
      <c r="EH23" s="68">
        <f>COUNTIF(Builder!$K$14:$N$14,EG23)</f>
        <v>0</v>
      </c>
      <c r="EI23" s="68" t="str">
        <f>IF(EH23=1,Stats!$N38,"")</f>
        <v/>
      </c>
      <c r="EJ23" s="68" t="str">
        <f>IF(EH23=1,Stats!$O38,"")</f>
        <v/>
      </c>
      <c r="EK23" s="68" t="str">
        <f>IF(EH23=1,Stats!$P38,"")</f>
        <v/>
      </c>
      <c r="EL23" s="68" t="str">
        <f>IF(EH23=1,Stats!$Q38,"")</f>
        <v/>
      </c>
      <c r="EM23" s="68" t="str">
        <f>IF(EH23=1,Stats!$R38,"")</f>
        <v/>
      </c>
      <c r="EN23" s="68" t="str">
        <f>IF(EH23=1,Stats!$S38,"")</f>
        <v/>
      </c>
      <c r="EO23" s="68">
        <f t="shared" si="54"/>
        <v>0</v>
      </c>
      <c r="EP23">
        <f t="shared" si="55"/>
        <v>0</v>
      </c>
      <c r="EQ23" s="68">
        <f>IF(EP23=0,MAX(EQ$2:EQ22)+1,0)</f>
        <v>21</v>
      </c>
      <c r="ER23" s="5" t="str">
        <f t="shared" si="56"/>
        <v>Giant</v>
      </c>
      <c r="ES23" s="5" t="str">
        <f t="shared" si="57"/>
        <v>Giant</v>
      </c>
      <c r="EU23">
        <f t="shared" si="58"/>
        <v>21</v>
      </c>
      <c r="EV23" s="5" t="str">
        <f t="shared" si="59"/>
        <v>Giant</v>
      </c>
      <c r="EW23" s="68">
        <f>COUNTIF(Builder!$K$15:$N$15,EV23)</f>
        <v>0</v>
      </c>
      <c r="EX23" s="68" t="str">
        <f>IF(EW23=1,Stats!$N38,"")</f>
        <v/>
      </c>
      <c r="EY23" s="68" t="str">
        <f>IF(EW23=1,Stats!$O38,"")</f>
        <v/>
      </c>
      <c r="EZ23" s="68" t="str">
        <f>IF(EW23=1,Stats!$P38,"")</f>
        <v/>
      </c>
      <c r="FA23" s="68" t="str">
        <f>IF(EW23=1,Stats!$Q38,"")</f>
        <v/>
      </c>
      <c r="FB23" s="68" t="str">
        <f>IF(EW23=1,Stats!$R38,"")</f>
        <v/>
      </c>
      <c r="FC23" s="68" t="str">
        <f>IF(EW23=1,Stats!$S38,"")</f>
        <v/>
      </c>
      <c r="FD23" s="68">
        <f t="shared" si="60"/>
        <v>0</v>
      </c>
      <c r="FE23">
        <f t="shared" si="61"/>
        <v>0</v>
      </c>
      <c r="FF23" s="68">
        <f>IF(FE23=0,MAX(FF$2:FF22)+1,0)</f>
        <v>21</v>
      </c>
      <c r="FG23" s="5" t="str">
        <f t="shared" si="62"/>
        <v>Giant</v>
      </c>
      <c r="FH23" s="5" t="str">
        <f t="shared" si="63"/>
        <v>Giant</v>
      </c>
      <c r="FJ23">
        <f t="shared" si="64"/>
        <v>21</v>
      </c>
      <c r="FK23" s="5" t="str">
        <f t="shared" si="65"/>
        <v>Giant</v>
      </c>
      <c r="FL23" s="68">
        <f>COUNTIF(Builder!$K$16:$N$16,FK23)</f>
        <v>0</v>
      </c>
      <c r="FM23" s="68" t="str">
        <f>IF(FL23=1,Stats!$N38,"")</f>
        <v/>
      </c>
      <c r="FN23" s="68" t="str">
        <f>IF(FL23=1,Stats!$O38,"")</f>
        <v/>
      </c>
      <c r="FO23" s="68" t="str">
        <f>IF(FL23=1,Stats!$P38,"")</f>
        <v/>
      </c>
      <c r="FP23" s="68" t="str">
        <f>IF(FL23=1,Stats!$Q38,"")</f>
        <v/>
      </c>
      <c r="FQ23" s="68" t="str">
        <f>IF(FL23=1,Stats!$R38,"")</f>
        <v/>
      </c>
      <c r="FR23" s="68" t="str">
        <f>IF(FL23=1,Stats!$S38,"")</f>
        <v/>
      </c>
      <c r="FS23" s="68">
        <f t="shared" si="66"/>
        <v>0</v>
      </c>
      <c r="FT23">
        <f t="shared" si="67"/>
        <v>0</v>
      </c>
      <c r="FU23" s="68">
        <f>IF(FT23=0,MAX(FU$2:FU22)+1,0)</f>
        <v>21</v>
      </c>
      <c r="FV23" s="5" t="str">
        <f t="shared" si="68"/>
        <v>Giant</v>
      </c>
      <c r="FW23" s="5" t="str">
        <f t="shared" si="69"/>
        <v>Giant</v>
      </c>
      <c r="FY23">
        <f t="shared" si="168"/>
        <v>21</v>
      </c>
      <c r="FZ23" s="5" t="str">
        <f t="shared" si="169"/>
        <v>Giant</v>
      </c>
      <c r="GA23" s="68">
        <f>COUNTIF(Builder!$K$17:$N$17,FZ23)</f>
        <v>0</v>
      </c>
      <c r="GB23" s="68" t="str">
        <f>IF(GA23=1,Stats!$N38,"")</f>
        <v/>
      </c>
      <c r="GC23" s="68" t="str">
        <f>IF(GA23=1,Stats!$O38,"")</f>
        <v/>
      </c>
      <c r="GD23" s="68" t="str">
        <f>IF(GA23=1,Stats!$P38,"")</f>
        <v/>
      </c>
      <c r="GE23" s="68" t="str">
        <f>IF(GA23=1,Stats!$Q38,"")</f>
        <v/>
      </c>
      <c r="GF23" s="68" t="str">
        <f>IF(GA23=1,Stats!$R38,"")</f>
        <v/>
      </c>
      <c r="GG23" s="68" t="str">
        <f>IF(GA23=1,Stats!$S38,"")</f>
        <v/>
      </c>
      <c r="GH23" s="68">
        <f t="shared" si="170"/>
        <v>0</v>
      </c>
      <c r="GI23">
        <f t="shared" si="171"/>
        <v>0</v>
      </c>
      <c r="GJ23" s="68">
        <f>IF(GI23=0,MAX(GJ$2:GJ22)+1,0)</f>
        <v>21</v>
      </c>
      <c r="GK23" s="5" t="str">
        <f t="shared" si="172"/>
        <v>Giant</v>
      </c>
      <c r="GL23" s="5" t="str">
        <f t="shared" si="75"/>
        <v>Giant</v>
      </c>
      <c r="GN23">
        <f t="shared" si="76"/>
        <v>21</v>
      </c>
      <c r="GO23" s="5" t="str">
        <f t="shared" si="77"/>
        <v>Giant</v>
      </c>
      <c r="GP23" s="68">
        <f>COUNTIF(Builder!$K$18:$N$18,GO23)</f>
        <v>0</v>
      </c>
      <c r="GQ23" s="68" t="str">
        <f>IF(GP23=1,Stats!$N38,"")</f>
        <v/>
      </c>
      <c r="GR23" s="68" t="str">
        <f>IF(GP23=1,Stats!$O38,"")</f>
        <v/>
      </c>
      <c r="GS23" s="68" t="str">
        <f>IF(GP23=1,Stats!$P38,"")</f>
        <v/>
      </c>
      <c r="GT23" s="68" t="str">
        <f>IF(GP23=1,Stats!$Q38,"")</f>
        <v/>
      </c>
      <c r="GU23" s="68" t="str">
        <f>IF(GP23=1,Stats!$R38,"")</f>
        <v/>
      </c>
      <c r="GV23" s="68" t="str">
        <f>IF(GP23=1,Stats!$S38,"")</f>
        <v/>
      </c>
      <c r="GW23" s="68">
        <f t="shared" si="78"/>
        <v>0</v>
      </c>
      <c r="GX23">
        <f t="shared" si="79"/>
        <v>0</v>
      </c>
      <c r="GY23" s="68">
        <f>IF(GX23=0,MAX(GY$2:GY22)+1,0)</f>
        <v>21</v>
      </c>
      <c r="GZ23" s="5" t="str">
        <f t="shared" si="80"/>
        <v>Giant</v>
      </c>
      <c r="HA23" s="5" t="str">
        <f t="shared" si="81"/>
        <v>Giant</v>
      </c>
      <c r="HC23">
        <f t="shared" si="82"/>
        <v>21</v>
      </c>
      <c r="HD23" s="5" t="str">
        <f t="shared" si="83"/>
        <v>Giant</v>
      </c>
      <c r="HE23" s="68">
        <f>COUNTIF(Builder!$K$19:$N$19,HD23)</f>
        <v>0</v>
      </c>
      <c r="HF23" s="68" t="str">
        <f>IF(HE23=1,Stats!$N38,"")</f>
        <v/>
      </c>
      <c r="HG23" s="68" t="str">
        <f>IF(HE23=1,Stats!$O38,"")</f>
        <v/>
      </c>
      <c r="HH23" s="68" t="str">
        <f>IF(HE23=1,Stats!$P38,"")</f>
        <v/>
      </c>
      <c r="HI23" s="68" t="str">
        <f>IF(HE23=1,Stats!$Q38,"")</f>
        <v/>
      </c>
      <c r="HJ23" s="68" t="str">
        <f>IF(HE23=1,Stats!$R38,"")</f>
        <v/>
      </c>
      <c r="HK23" s="68" t="str">
        <f>IF(HE23=1,Stats!$S38,"")</f>
        <v/>
      </c>
      <c r="HL23" s="68">
        <f t="shared" si="84"/>
        <v>0</v>
      </c>
      <c r="HM23">
        <f t="shared" si="85"/>
        <v>0</v>
      </c>
      <c r="HN23" s="68">
        <f>IF(HM23=0,MAX(HN$2:HN22)+1,0)</f>
        <v>21</v>
      </c>
      <c r="HO23" s="5" t="str">
        <f t="shared" si="86"/>
        <v>Giant</v>
      </c>
      <c r="HP23" s="5" t="str">
        <f t="shared" si="87"/>
        <v>Giant</v>
      </c>
      <c r="HR23">
        <f t="shared" si="88"/>
        <v>21</v>
      </c>
      <c r="HS23" s="5" t="str">
        <f t="shared" si="89"/>
        <v>Giant</v>
      </c>
      <c r="HT23" s="68">
        <f>COUNTIF(Builder!$K$20:$N$20,HS23)</f>
        <v>0</v>
      </c>
      <c r="HU23" s="68" t="str">
        <f>IF(HT23=1,Stats!$N38,"")</f>
        <v/>
      </c>
      <c r="HV23" s="68" t="str">
        <f>IF(HT23=1,Stats!$O38,"")</f>
        <v/>
      </c>
      <c r="HW23" s="68" t="str">
        <f>IF(HT23=1,Stats!$P38,"")</f>
        <v/>
      </c>
      <c r="HX23" s="68" t="str">
        <f>IF(HT23=1,Stats!$Q38,"")</f>
        <v/>
      </c>
      <c r="HY23" s="68" t="str">
        <f>IF(HT23=1,Stats!$R38,"")</f>
        <v/>
      </c>
      <c r="HZ23" s="68" t="str">
        <f>IF(HT23=1,Stats!$S38,"")</f>
        <v/>
      </c>
      <c r="IA23" s="68">
        <f t="shared" si="90"/>
        <v>0</v>
      </c>
      <c r="IB23">
        <f t="shared" si="91"/>
        <v>0</v>
      </c>
      <c r="IC23" s="68">
        <f>IF(IB23=0,MAX(IC$2:IC22)+1,0)</f>
        <v>21</v>
      </c>
      <c r="ID23" s="5" t="str">
        <f t="shared" si="92"/>
        <v>Giant</v>
      </c>
      <c r="IE23" s="5" t="str">
        <f t="shared" si="93"/>
        <v>Giant</v>
      </c>
      <c r="IG23">
        <f t="shared" si="94"/>
        <v>21</v>
      </c>
      <c r="IH23" s="5" t="str">
        <f t="shared" si="95"/>
        <v>Giant</v>
      </c>
      <c r="II23" s="68">
        <f>COUNTIF(Builder!$K$21:$N$21,IH23)</f>
        <v>0</v>
      </c>
      <c r="IJ23" s="68" t="str">
        <f>IF(II23=1,Stats!$N38,"")</f>
        <v/>
      </c>
      <c r="IK23" s="68" t="str">
        <f>IF(II23=1,Stats!$O38,"")</f>
        <v/>
      </c>
      <c r="IL23" s="68" t="str">
        <f>IF(II23=1,Stats!$P38,"")</f>
        <v/>
      </c>
      <c r="IM23" s="68" t="str">
        <f>IF(II23=1,Stats!$Q38,"")</f>
        <v/>
      </c>
      <c r="IN23" s="68" t="str">
        <f>IF(II23=1,Stats!$R38,"")</f>
        <v/>
      </c>
      <c r="IO23" s="68" t="str">
        <f>IF(II23=1,Stats!$S38,"")</f>
        <v/>
      </c>
      <c r="IP23" s="68">
        <f t="shared" si="96"/>
        <v>0</v>
      </c>
      <c r="IQ23">
        <f t="shared" si="97"/>
        <v>0</v>
      </c>
      <c r="IR23" s="68">
        <f>IF(IQ23=0,MAX(IR$2:IR22)+1,0)</f>
        <v>21</v>
      </c>
      <c r="IS23" s="5" t="str">
        <f t="shared" si="98"/>
        <v>Giant</v>
      </c>
      <c r="IT23" s="5" t="str">
        <f t="shared" si="99"/>
        <v>Giant</v>
      </c>
      <c r="IV23">
        <f t="shared" si="100"/>
        <v>21</v>
      </c>
      <c r="IW23" s="5" t="str">
        <f t="shared" si="101"/>
        <v>Giant</v>
      </c>
      <c r="IX23" s="68">
        <f>COUNTIF(Builder!$K$22:$N$22,IW23)</f>
        <v>0</v>
      </c>
      <c r="IY23" s="68" t="str">
        <f>IF(IX23=1,Stats!$N38,"")</f>
        <v/>
      </c>
      <c r="IZ23" s="68" t="str">
        <f>IF(IX23=1,Stats!$O38,"")</f>
        <v/>
      </c>
      <c r="JA23" s="68" t="str">
        <f>IF(IX23=1,Stats!$P38,"")</f>
        <v/>
      </c>
      <c r="JB23" s="68" t="str">
        <f>IF(IX23=1,Stats!$Q38,"")</f>
        <v/>
      </c>
      <c r="JC23" s="68" t="str">
        <f>IF(IX23=1,Stats!$R38,"")</f>
        <v/>
      </c>
      <c r="JD23" s="68" t="str">
        <f>IF(IX23=1,Stats!$S38,"")</f>
        <v/>
      </c>
      <c r="JE23" s="68">
        <f t="shared" si="102"/>
        <v>0</v>
      </c>
      <c r="JF23">
        <f t="shared" si="103"/>
        <v>0</v>
      </c>
      <c r="JG23" s="68">
        <f>IF(JF23=0,MAX(JG$2:JG22)+1,0)</f>
        <v>21</v>
      </c>
      <c r="JH23" s="5" t="str">
        <f t="shared" si="104"/>
        <v>Giant</v>
      </c>
      <c r="JI23" s="5" t="str">
        <f t="shared" si="105"/>
        <v>Giant</v>
      </c>
      <c r="JK23">
        <f t="shared" si="106"/>
        <v>21</v>
      </c>
      <c r="JL23" s="5" t="str">
        <f t="shared" si="107"/>
        <v>Giant</v>
      </c>
      <c r="JM23" s="68">
        <f>COUNTIF(Builder!$K$23:$N$23,JL23)</f>
        <v>0</v>
      </c>
      <c r="JN23" s="68" t="str">
        <f>IF(JM23=1,Stats!$N38,"")</f>
        <v/>
      </c>
      <c r="JO23" s="68" t="str">
        <f>IF(JM23=1,Stats!$O38,"")</f>
        <v/>
      </c>
      <c r="JP23" s="68" t="str">
        <f>IF(JM23=1,Stats!$P38,"")</f>
        <v/>
      </c>
      <c r="JQ23" s="68" t="str">
        <f>IF(JM23=1,Stats!$Q38,"")</f>
        <v/>
      </c>
      <c r="JR23" s="68" t="str">
        <f>IF(JM23=1,Stats!$R38,"")</f>
        <v/>
      </c>
      <c r="JS23" s="68" t="str">
        <f>IF(JM23=1,Stats!$S38,"")</f>
        <v/>
      </c>
      <c r="JT23" s="68">
        <f t="shared" si="108"/>
        <v>0</v>
      </c>
      <c r="JU23">
        <f t="shared" si="109"/>
        <v>0</v>
      </c>
      <c r="JV23" s="68">
        <f>IF(JU23=0,MAX(JV$2:JV22)+1,0)</f>
        <v>21</v>
      </c>
      <c r="JW23" s="5" t="str">
        <f t="shared" si="110"/>
        <v>Giant</v>
      </c>
      <c r="JX23" s="5" t="str">
        <f t="shared" si="111"/>
        <v>Giant</v>
      </c>
      <c r="JZ23">
        <f t="shared" si="112"/>
        <v>21</v>
      </c>
      <c r="KA23" s="5" t="str">
        <f t="shared" si="113"/>
        <v>Giant</v>
      </c>
      <c r="KB23" s="68">
        <f>COUNTIF(Builder!$K$24:$N$24,KA23)</f>
        <v>0</v>
      </c>
      <c r="KC23" s="68" t="str">
        <f>IF(KB23=1,Stats!$N38,"")</f>
        <v/>
      </c>
      <c r="KD23" s="68" t="str">
        <f>IF(KB23=1,Stats!$O38,"")</f>
        <v/>
      </c>
      <c r="KE23" s="68" t="str">
        <f>IF(KB23=1,Stats!$P38,"")</f>
        <v/>
      </c>
      <c r="KF23" s="68" t="str">
        <f>IF(KB23=1,Stats!$Q38,"")</f>
        <v/>
      </c>
      <c r="KG23" s="68" t="str">
        <f>IF(KB23=1,Stats!$R38,"")</f>
        <v/>
      </c>
      <c r="KH23" s="68" t="str">
        <f>IF(KB23=1,Stats!$S38,"")</f>
        <v/>
      </c>
      <c r="KI23" s="68">
        <f t="shared" si="114"/>
        <v>0</v>
      </c>
      <c r="KJ23">
        <f t="shared" si="115"/>
        <v>0</v>
      </c>
      <c r="KK23" s="68">
        <f>IF(KJ23=0,MAX(KK$2:KK22)+1,0)</f>
        <v>21</v>
      </c>
      <c r="KL23" s="5" t="str">
        <f t="shared" si="116"/>
        <v>Giant</v>
      </c>
      <c r="KM23" s="5" t="str">
        <f t="shared" si="117"/>
        <v>Giant</v>
      </c>
      <c r="KO23">
        <f t="shared" si="118"/>
        <v>21</v>
      </c>
      <c r="KP23" s="5" t="str">
        <f t="shared" si="119"/>
        <v>Giant</v>
      </c>
      <c r="KQ23" s="68">
        <f>COUNTIF(Builder!$K$25:$N$25,KP23)</f>
        <v>0</v>
      </c>
      <c r="KR23" s="68" t="str">
        <f>IF(KQ23=1,Stats!$N38,"")</f>
        <v/>
      </c>
      <c r="KS23" s="68" t="str">
        <f>IF(KQ23=1,Stats!$O38,"")</f>
        <v/>
      </c>
      <c r="KT23" s="68" t="str">
        <f>IF(KQ23=1,Stats!$P38,"")</f>
        <v/>
      </c>
      <c r="KU23" s="68" t="str">
        <f>IF(KQ23=1,Stats!$Q38,"")</f>
        <v/>
      </c>
      <c r="KV23" s="68" t="str">
        <f>IF(KQ23=1,Stats!$R38,"")</f>
        <v/>
      </c>
      <c r="KW23" s="68" t="str">
        <f>IF(KQ23=1,Stats!$S38,"")</f>
        <v/>
      </c>
      <c r="KX23" s="68">
        <f t="shared" si="120"/>
        <v>0</v>
      </c>
      <c r="KY23">
        <f t="shared" si="121"/>
        <v>0</v>
      </c>
      <c r="KZ23" s="68">
        <f>IF(KY23=0,MAX(KZ$2:KZ22)+1,0)</f>
        <v>21</v>
      </c>
      <c r="LA23" s="5" t="str">
        <f t="shared" si="122"/>
        <v>Giant</v>
      </c>
      <c r="LB23" s="5" t="str">
        <f t="shared" si="123"/>
        <v>Giant</v>
      </c>
      <c r="LD23">
        <f t="shared" si="124"/>
        <v>21</v>
      </c>
      <c r="LE23" s="5" t="str">
        <f t="shared" si="125"/>
        <v>Giant</v>
      </c>
      <c r="LF23" s="68">
        <f>COUNTIF(Builder!$K$26:$N$26,LE23)</f>
        <v>0</v>
      </c>
      <c r="LG23" s="68" t="str">
        <f>IF(LF23=1,Stats!$N38,"")</f>
        <v/>
      </c>
      <c r="LH23" s="68" t="str">
        <f>IF(LF23=1,Stats!$O38,"")</f>
        <v/>
      </c>
      <c r="LI23" s="68" t="str">
        <f>IF(LF23=1,Stats!$P38,"")</f>
        <v/>
      </c>
      <c r="LJ23" s="68" t="str">
        <f>IF(LF23=1,Stats!$Q38,"")</f>
        <v/>
      </c>
      <c r="LK23" s="68" t="str">
        <f>IF(LF23=1,Stats!$R38,"")</f>
        <v/>
      </c>
      <c r="LL23" s="68" t="str">
        <f>IF(LF23=1,Stats!$S38,"")</f>
        <v/>
      </c>
      <c r="LM23" s="68">
        <f t="shared" si="126"/>
        <v>0</v>
      </c>
      <c r="LN23">
        <f t="shared" si="127"/>
        <v>0</v>
      </c>
      <c r="LO23" s="68">
        <f>IF(LN23=0,MAX(LO$2:LO22)+1,0)</f>
        <v>21</v>
      </c>
      <c r="LP23" s="5" t="str">
        <f t="shared" si="128"/>
        <v>Giant</v>
      </c>
      <c r="LQ23" s="5" t="str">
        <f t="shared" si="129"/>
        <v>Giant</v>
      </c>
      <c r="LS23">
        <f t="shared" si="130"/>
        <v>21</v>
      </c>
      <c r="LT23" s="5" t="str">
        <f t="shared" si="131"/>
        <v>Giant</v>
      </c>
      <c r="LU23" s="68">
        <f>COUNTIF(Builder!$K$27:$N$27,LT23)</f>
        <v>0</v>
      </c>
      <c r="LV23" s="68" t="str">
        <f>IF(LU23=1,Stats!$N38,"")</f>
        <v/>
      </c>
      <c r="LW23" s="68" t="str">
        <f>IF(LU23=1,Stats!$O38,"")</f>
        <v/>
      </c>
      <c r="LX23" s="68" t="str">
        <f>IF(LU23=1,Stats!$P38,"")</f>
        <v/>
      </c>
      <c r="LY23" s="68" t="str">
        <f>IF(LU23=1,Stats!$Q38,"")</f>
        <v/>
      </c>
      <c r="LZ23" s="68" t="str">
        <f>IF(LU23=1,Stats!$R38,"")</f>
        <v/>
      </c>
      <c r="MA23" s="68" t="str">
        <f>IF(LU23=1,Stats!$S38,"")</f>
        <v/>
      </c>
      <c r="MB23" s="68">
        <f t="shared" si="132"/>
        <v>0</v>
      </c>
      <c r="MC23">
        <f t="shared" si="133"/>
        <v>0</v>
      </c>
      <c r="MD23" s="68">
        <f>IF(MC23=0,MAX(MD$2:MD22)+1,0)</f>
        <v>21</v>
      </c>
      <c r="ME23" s="5" t="str">
        <f t="shared" si="134"/>
        <v>Giant</v>
      </c>
      <c r="MF23" s="5" t="str">
        <f t="shared" si="135"/>
        <v>Giant</v>
      </c>
      <c r="MH23">
        <f t="shared" si="136"/>
        <v>21</v>
      </c>
      <c r="MI23" s="5" t="str">
        <f t="shared" si="137"/>
        <v>Giant</v>
      </c>
      <c r="MJ23" s="68">
        <f>COUNTIF(Builder!$K$28:$N$28,MI23)</f>
        <v>0</v>
      </c>
      <c r="MK23" s="68" t="str">
        <f>IF(MJ23=1,Stats!$N38,"")</f>
        <v/>
      </c>
      <c r="ML23" s="68" t="str">
        <f>IF(MJ23=1,Stats!$O38,"")</f>
        <v/>
      </c>
      <c r="MM23" s="68" t="str">
        <f>IF(MJ23=1,Stats!$P38,"")</f>
        <v/>
      </c>
      <c r="MN23" s="68" t="str">
        <f>IF(MJ23=1,Stats!$Q38,"")</f>
        <v/>
      </c>
      <c r="MO23" s="68" t="str">
        <f>IF(MJ23=1,Stats!$R38,"")</f>
        <v/>
      </c>
      <c r="MP23" s="68" t="str">
        <f>IF(MJ23=1,Stats!$S38,"")</f>
        <v/>
      </c>
      <c r="MQ23" s="68">
        <f t="shared" si="138"/>
        <v>0</v>
      </c>
      <c r="MR23">
        <f t="shared" si="139"/>
        <v>0</v>
      </c>
      <c r="MS23" s="68">
        <f>IF(MR23=0,MAX(MS$2:MS22)+1,0)</f>
        <v>21</v>
      </c>
      <c r="MT23" s="5" t="str">
        <f t="shared" si="140"/>
        <v>Giant</v>
      </c>
      <c r="MU23" s="5" t="str">
        <f t="shared" si="141"/>
        <v>Giant</v>
      </c>
      <c r="MW23">
        <f t="shared" si="142"/>
        <v>21</v>
      </c>
      <c r="MX23" s="5" t="str">
        <f t="shared" si="143"/>
        <v>Giant</v>
      </c>
      <c r="MY23" s="68">
        <f>COUNTIF(Builder!$K$29:$N$29,MX23)</f>
        <v>0</v>
      </c>
      <c r="MZ23" s="68" t="str">
        <f>IF(MY23=1,Stats!$N38,"")</f>
        <v/>
      </c>
      <c r="NA23" s="68" t="str">
        <f>IF(MY23=1,Stats!$O38,"")</f>
        <v/>
      </c>
      <c r="NB23" s="68" t="str">
        <f>IF(MY23=1,Stats!$P38,"")</f>
        <v/>
      </c>
      <c r="NC23" s="68" t="str">
        <f>IF(MY23=1,Stats!$Q38,"")</f>
        <v/>
      </c>
      <c r="ND23" s="68" t="str">
        <f>IF(MY23=1,Stats!$R38,"")</f>
        <v/>
      </c>
      <c r="NE23" s="68" t="str">
        <f>IF(MY23=1,Stats!$S38,"")</f>
        <v/>
      </c>
      <c r="NF23" s="68">
        <f t="shared" si="144"/>
        <v>0</v>
      </c>
      <c r="NG23">
        <f t="shared" si="145"/>
        <v>0</v>
      </c>
      <c r="NH23" s="68">
        <f>IF(NG23=0,MAX(NH$2:NH22)+1,0)</f>
        <v>21</v>
      </c>
      <c r="NI23" s="5" t="str">
        <f t="shared" si="146"/>
        <v>Giant</v>
      </c>
      <c r="NJ23" s="5" t="str">
        <f t="shared" si="147"/>
        <v>Giant</v>
      </c>
    </row>
    <row r="24" spans="1:374" ht="15" x14ac:dyDescent="0.3">
      <c r="A24">
        <v>22</v>
      </c>
      <c r="B24" s="5" t="s">
        <v>81</v>
      </c>
      <c r="C24" s="68">
        <f>COUNTIF(Builder!$K$5:$N$5,B24)</f>
        <v>0</v>
      </c>
      <c r="D24" s="68" t="str">
        <f>IF(C24=1,Stats!$N39,"")</f>
        <v/>
      </c>
      <c r="E24" s="68" t="str">
        <f>IF(C24=1,Stats!$O39,"")</f>
        <v/>
      </c>
      <c r="F24" s="68" t="str">
        <f>IF(C24=1,Stats!$P39,"")</f>
        <v/>
      </c>
      <c r="G24" s="68" t="str">
        <f>IF(C24=1,Stats!$Q39,"")</f>
        <v/>
      </c>
      <c r="H24" s="68" t="str">
        <f>IF(C24=1,Stats!$R39,"")</f>
        <v/>
      </c>
      <c r="I24" s="68" t="str">
        <f>IF(C24=1,Stats!$S39,"")</f>
        <v/>
      </c>
      <c r="J24" s="68">
        <f t="shared" si="0"/>
        <v>0</v>
      </c>
      <c r="K24">
        <f t="shared" si="1"/>
        <v>0</v>
      </c>
      <c r="L24" s="68">
        <f>IF(K24=0,MAX($L$2:L23)+1,0)</f>
        <v>22</v>
      </c>
      <c r="M24" s="5" t="str">
        <f t="shared" si="2"/>
        <v>Heavy melee weapons</v>
      </c>
      <c r="N24" s="5" t="str">
        <f t="shared" si="3"/>
        <v>Heavy melee weapons</v>
      </c>
      <c r="O24" s="5"/>
      <c r="P24">
        <f t="shared" si="4"/>
        <v>22</v>
      </c>
      <c r="Q24" s="5" t="str">
        <f t="shared" si="5"/>
        <v>Heavy melee weapons</v>
      </c>
      <c r="R24" s="68">
        <f>COUNTIF(Builder!$K$6:$N$6,Q24)</f>
        <v>0</v>
      </c>
      <c r="S24" s="68" t="str">
        <f>IF(R24=1,Stats!$N39,"")</f>
        <v/>
      </c>
      <c r="T24" s="68" t="str">
        <f>IF(R24=1,Stats!$O39,"")</f>
        <v/>
      </c>
      <c r="U24" s="68" t="str">
        <f>IF(R24=1,Stats!$P39,"")</f>
        <v/>
      </c>
      <c r="V24" s="68" t="str">
        <f>IF(R24=1,Stats!$Q39,"")</f>
        <v/>
      </c>
      <c r="W24" s="68" t="str">
        <f>IF(R24=1,Stats!$R39,"")</f>
        <v/>
      </c>
      <c r="X24" s="68" t="str">
        <f>IF(R24=1,Stats!$S39,"")</f>
        <v/>
      </c>
      <c r="Y24" s="68">
        <f t="shared" si="6"/>
        <v>0</v>
      </c>
      <c r="Z24">
        <f t="shared" si="7"/>
        <v>0</v>
      </c>
      <c r="AA24" s="68">
        <f>IF(Z24=0,MAX($AA$2:AA23)+1,0)</f>
        <v>22</v>
      </c>
      <c r="AB24" s="5" t="str">
        <f t="shared" si="8"/>
        <v>Heavy melee weapons</v>
      </c>
      <c r="AC24" s="5" t="str">
        <f t="shared" si="9"/>
        <v>Heavy melee weapons</v>
      </c>
      <c r="AD24" s="5"/>
      <c r="AE24">
        <f t="shared" si="10"/>
        <v>22</v>
      </c>
      <c r="AF24" s="5" t="str">
        <f t="shared" si="11"/>
        <v>Heavy melee weapons</v>
      </c>
      <c r="AG24" s="68">
        <f>COUNTIF(Builder!$K$7:$N$7,AF24)</f>
        <v>0</v>
      </c>
      <c r="AH24" s="68" t="str">
        <f>IF(AG24=1,Stats!$N39,"")</f>
        <v/>
      </c>
      <c r="AI24" s="68" t="str">
        <f>IF(AG24=1,Stats!$O39,"")</f>
        <v/>
      </c>
      <c r="AJ24" s="68" t="str">
        <f>IF(AG24=1,Stats!$P39,"")</f>
        <v/>
      </c>
      <c r="AK24" s="68" t="str">
        <f>IF(AG24=1,Stats!$Q39,"")</f>
        <v/>
      </c>
      <c r="AL24" s="68" t="str">
        <f>IF(AG24=1,Stats!$R39,"")</f>
        <v/>
      </c>
      <c r="AM24" s="68" t="str">
        <f>IF(AG24=1,Stats!$S39,"")</f>
        <v/>
      </c>
      <c r="AN24" s="68">
        <f t="shared" si="12"/>
        <v>0</v>
      </c>
      <c r="AO24">
        <f t="shared" si="13"/>
        <v>0</v>
      </c>
      <c r="AP24" s="68">
        <f>IF(AO24=0,MAX($AP$2:AP23)+1,0)</f>
        <v>22</v>
      </c>
      <c r="AQ24" s="5" t="str">
        <f t="shared" si="14"/>
        <v>Heavy melee weapons</v>
      </c>
      <c r="AR24" s="5" t="str">
        <f t="shared" si="15"/>
        <v>Heavy melee weapons</v>
      </c>
      <c r="AS24" s="5"/>
      <c r="AT24">
        <f t="shared" si="16"/>
        <v>22</v>
      </c>
      <c r="AU24" s="5" t="str">
        <f t="shared" si="17"/>
        <v>Heavy melee weapons</v>
      </c>
      <c r="AV24" s="68">
        <f>COUNTIF(Builder!$K$8:$N$8,AU24)</f>
        <v>0</v>
      </c>
      <c r="AW24" s="68" t="str">
        <f>IF(AV24=1,Stats!$N39,"")</f>
        <v/>
      </c>
      <c r="AX24" s="68" t="str">
        <f>IF(AV24=1,Stats!$O39,"")</f>
        <v/>
      </c>
      <c r="AY24" s="68" t="str">
        <f>IF(AV24=1,Stats!$P39,"")</f>
        <v/>
      </c>
      <c r="AZ24" s="68" t="str">
        <f>IF(AV24=1,Stats!$Q39,"")</f>
        <v/>
      </c>
      <c r="BA24" s="68" t="str">
        <f>IF(AV24=1,Stats!$R39,"")</f>
        <v/>
      </c>
      <c r="BB24" s="68" t="str">
        <f>IF(AV24=1,Stats!$S39,"")</f>
        <v/>
      </c>
      <c r="BC24" s="68">
        <f t="shared" si="18"/>
        <v>0</v>
      </c>
      <c r="BD24">
        <f t="shared" si="19"/>
        <v>0</v>
      </c>
      <c r="BE24" s="68">
        <f>IF(BD24=0,MAX($BE$2:BE23)+1,0)</f>
        <v>22</v>
      </c>
      <c r="BF24" s="5" t="str">
        <f t="shared" si="20"/>
        <v>Heavy melee weapons</v>
      </c>
      <c r="BG24" s="5" t="str">
        <f t="shared" si="21"/>
        <v>Heavy melee weapons</v>
      </c>
      <c r="BH24" s="5"/>
      <c r="BI24">
        <f t="shared" si="148"/>
        <v>22</v>
      </c>
      <c r="BJ24" s="5" t="str">
        <f t="shared" si="149"/>
        <v>Heavy melee weapons</v>
      </c>
      <c r="BK24" s="68">
        <f>COUNTIF(Builder!$K$9:$N$9,BJ24)</f>
        <v>0</v>
      </c>
      <c r="BL24" s="68" t="str">
        <f>IF(BK24=1,Stats!$N39,"")</f>
        <v/>
      </c>
      <c r="BM24" s="68" t="str">
        <f>IF(BK24=1,Stats!$O39,"")</f>
        <v/>
      </c>
      <c r="BN24" s="68" t="str">
        <f>IF(BK24=1,Stats!$P39,"")</f>
        <v/>
      </c>
      <c r="BO24" s="68" t="str">
        <f>IF(BK24=1,Stats!$Q39,"")</f>
        <v/>
      </c>
      <c r="BP24" s="68" t="str">
        <f>IF(BK24=1,Stats!$R39,"")</f>
        <v/>
      </c>
      <c r="BQ24" s="68" t="str">
        <f>IF(BK24=1,Stats!$S39,"")</f>
        <v/>
      </c>
      <c r="BR24" s="68">
        <f t="shared" si="150"/>
        <v>0</v>
      </c>
      <c r="BS24">
        <f t="shared" si="151"/>
        <v>0</v>
      </c>
      <c r="BT24" s="68">
        <f>IF(BS24=0,MAX(BT$2:BT23)+1,0)</f>
        <v>22</v>
      </c>
      <c r="BU24" s="5" t="str">
        <f t="shared" si="152"/>
        <v>Heavy melee weapons</v>
      </c>
      <c r="BV24" s="5" t="str">
        <f t="shared" si="27"/>
        <v>Heavy melee weapons</v>
      </c>
      <c r="BX24">
        <f t="shared" si="153"/>
        <v>22</v>
      </c>
      <c r="BY24" s="5" t="str">
        <f t="shared" si="154"/>
        <v>Heavy melee weapons</v>
      </c>
      <c r="BZ24" s="68">
        <f>COUNTIF(Builder!$K$10:$N$10,BY24)</f>
        <v>0</v>
      </c>
      <c r="CA24" s="68" t="str">
        <f>IF(BZ24=1,Stats!$N39,"")</f>
        <v/>
      </c>
      <c r="CB24" s="68" t="str">
        <f>IF(BZ24=1,Stats!$O39,"")</f>
        <v/>
      </c>
      <c r="CC24" s="68" t="str">
        <f>IF(BZ24=1,Stats!$P39,"")</f>
        <v/>
      </c>
      <c r="CD24" s="68" t="str">
        <f>IF(BZ24=1,Stats!$Q39,"")</f>
        <v/>
      </c>
      <c r="CE24" s="68" t="str">
        <f>IF(BZ24=1,Stats!$R39,"")</f>
        <v/>
      </c>
      <c r="CF24" s="68" t="str">
        <f>IF(BZ24=1,Stats!$S39,"")</f>
        <v/>
      </c>
      <c r="CG24" s="68">
        <f t="shared" si="155"/>
        <v>0</v>
      </c>
      <c r="CH24">
        <f t="shared" si="156"/>
        <v>0</v>
      </c>
      <c r="CI24" s="68">
        <f>IF(CH24=0,MAX(CI$2:CI23)+1,0)</f>
        <v>22</v>
      </c>
      <c r="CJ24" s="5" t="str">
        <f t="shared" si="157"/>
        <v>Heavy melee weapons</v>
      </c>
      <c r="CK24" s="5" t="str">
        <f t="shared" si="33"/>
        <v>Heavy melee weapons</v>
      </c>
      <c r="CM24">
        <f t="shared" si="34"/>
        <v>22</v>
      </c>
      <c r="CN24" s="5" t="str">
        <f t="shared" si="35"/>
        <v>Heavy melee weapons</v>
      </c>
      <c r="CO24" s="68">
        <f>COUNTIF(Builder!$K$11:$N$11,CN24)</f>
        <v>0</v>
      </c>
      <c r="CP24" s="68" t="str">
        <f>IF(CO24=1,Stats!$N39,"")</f>
        <v/>
      </c>
      <c r="CQ24" s="68" t="str">
        <f>IF(CO24=1,Stats!$O39,"")</f>
        <v/>
      </c>
      <c r="CR24" s="68" t="str">
        <f>IF(CO24=1,Stats!$P39,"")</f>
        <v/>
      </c>
      <c r="CS24" s="68" t="str">
        <f>IF(CO24=1,Stats!$Q39,"")</f>
        <v/>
      </c>
      <c r="CT24" s="68" t="str">
        <f>IF(CO24=1,Stats!$R39,"")</f>
        <v/>
      </c>
      <c r="CU24" s="68" t="str">
        <f>IF(CO24=1,Stats!$S39,"")</f>
        <v/>
      </c>
      <c r="CV24" s="68">
        <f t="shared" si="36"/>
        <v>0</v>
      </c>
      <c r="CW24">
        <f t="shared" si="37"/>
        <v>0</v>
      </c>
      <c r="CX24" s="68">
        <f>IF(CW24=0,MAX(CX$2:CX23)+1,0)</f>
        <v>22</v>
      </c>
      <c r="CY24" s="5" t="str">
        <f t="shared" si="38"/>
        <v>Heavy melee weapons</v>
      </c>
      <c r="CZ24" s="5" t="str">
        <f t="shared" si="39"/>
        <v>Heavy melee weapons</v>
      </c>
      <c r="DB24">
        <f t="shared" si="158"/>
        <v>22</v>
      </c>
      <c r="DC24" s="5" t="str">
        <f t="shared" si="159"/>
        <v>Heavy melee weapons</v>
      </c>
      <c r="DD24" s="68">
        <f>COUNTIF(Builder!$K$12:$N$12,DC24)</f>
        <v>0</v>
      </c>
      <c r="DE24" s="68" t="str">
        <f>IF(DD24=1,Stats!$N39,"")</f>
        <v/>
      </c>
      <c r="DF24" s="68" t="str">
        <f>IF(DD24=1,Stats!$O39,"")</f>
        <v/>
      </c>
      <c r="DG24" s="68" t="str">
        <f>IF(DD24=1,Stats!$P39,"")</f>
        <v/>
      </c>
      <c r="DH24" s="68" t="str">
        <f>IF(DD24=1,Stats!$Q39,"")</f>
        <v/>
      </c>
      <c r="DI24" s="68" t="str">
        <f>IF(DD24=1,Stats!$R39,"")</f>
        <v/>
      </c>
      <c r="DJ24" s="68" t="str">
        <f>IF(DD24=1,Stats!$S39,"")</f>
        <v/>
      </c>
      <c r="DK24" s="68">
        <f t="shared" si="160"/>
        <v>0</v>
      </c>
      <c r="DL24">
        <f t="shared" si="161"/>
        <v>0</v>
      </c>
      <c r="DM24" s="68">
        <f>IF(DL24=0,MAX(DM$2:DM23)+1,0)</f>
        <v>22</v>
      </c>
      <c r="DN24" s="5" t="str">
        <f t="shared" si="162"/>
        <v>Heavy melee weapons</v>
      </c>
      <c r="DO24" s="5" t="str">
        <f t="shared" si="45"/>
        <v>Heavy melee weapons</v>
      </c>
      <c r="DQ24">
        <f t="shared" si="163"/>
        <v>22</v>
      </c>
      <c r="DR24" s="5" t="str">
        <f t="shared" si="164"/>
        <v>Heavy melee weapons</v>
      </c>
      <c r="DS24" s="68">
        <f>COUNTIF(Builder!$K$13:$N$13,DR24)</f>
        <v>0</v>
      </c>
      <c r="DT24" s="68" t="str">
        <f>IF(DS24=1,Stats!$N39,"")</f>
        <v/>
      </c>
      <c r="DU24" s="68" t="str">
        <f>IF(DS24=1,Stats!$O39,"")</f>
        <v/>
      </c>
      <c r="DV24" s="68" t="str">
        <f>IF(DS24=1,Stats!$P39,"")</f>
        <v/>
      </c>
      <c r="DW24" s="68" t="str">
        <f>IF(DS24=1,Stats!$Q39,"")</f>
        <v/>
      </c>
      <c r="DX24" s="68" t="str">
        <f>IF(DS24=1,Stats!$R39,"")</f>
        <v/>
      </c>
      <c r="DY24" s="68" t="str">
        <f>IF(DS24=1,Stats!$S39,"")</f>
        <v/>
      </c>
      <c r="DZ24" s="68">
        <f t="shared" si="165"/>
        <v>0</v>
      </c>
      <c r="EA24">
        <f t="shared" si="166"/>
        <v>0</v>
      </c>
      <c r="EB24" s="68">
        <f>IF(EA24=0,MAX(EB$2:EB23)+1,0)</f>
        <v>22</v>
      </c>
      <c r="EC24" s="5" t="str">
        <f t="shared" si="167"/>
        <v>Heavy melee weapons</v>
      </c>
      <c r="ED24" s="5" t="str">
        <f t="shared" si="51"/>
        <v>Heavy melee weapons</v>
      </c>
      <c r="EF24">
        <f t="shared" si="52"/>
        <v>22</v>
      </c>
      <c r="EG24" s="5" t="str">
        <f t="shared" si="53"/>
        <v>Heavy melee weapons</v>
      </c>
      <c r="EH24" s="68">
        <f>COUNTIF(Builder!$K$14:$N$14,EG24)</f>
        <v>0</v>
      </c>
      <c r="EI24" s="68" t="str">
        <f>IF(EH24=1,Stats!$N39,"")</f>
        <v/>
      </c>
      <c r="EJ24" s="68" t="str">
        <f>IF(EH24=1,Stats!$O39,"")</f>
        <v/>
      </c>
      <c r="EK24" s="68" t="str">
        <f>IF(EH24=1,Stats!$P39,"")</f>
        <v/>
      </c>
      <c r="EL24" s="68" t="str">
        <f>IF(EH24=1,Stats!$Q39,"")</f>
        <v/>
      </c>
      <c r="EM24" s="68" t="str">
        <f>IF(EH24=1,Stats!$R39,"")</f>
        <v/>
      </c>
      <c r="EN24" s="68" t="str">
        <f>IF(EH24=1,Stats!$S39,"")</f>
        <v/>
      </c>
      <c r="EO24" s="68">
        <f t="shared" si="54"/>
        <v>0</v>
      </c>
      <c r="EP24">
        <f t="shared" si="55"/>
        <v>0</v>
      </c>
      <c r="EQ24" s="68">
        <f>IF(EP24=0,MAX(EQ$2:EQ23)+1,0)</f>
        <v>22</v>
      </c>
      <c r="ER24" s="5" t="str">
        <f t="shared" si="56"/>
        <v>Heavy melee weapons</v>
      </c>
      <c r="ES24" s="5" t="str">
        <f t="shared" si="57"/>
        <v>Heavy melee weapons</v>
      </c>
      <c r="EU24">
        <f t="shared" si="58"/>
        <v>22</v>
      </c>
      <c r="EV24" s="5" t="str">
        <f t="shared" si="59"/>
        <v>Heavy melee weapons</v>
      </c>
      <c r="EW24" s="68">
        <f>COUNTIF(Builder!$K$15:$N$15,EV24)</f>
        <v>0</v>
      </c>
      <c r="EX24" s="68" t="str">
        <f>IF(EW24=1,Stats!$N39,"")</f>
        <v/>
      </c>
      <c r="EY24" s="68" t="str">
        <f>IF(EW24=1,Stats!$O39,"")</f>
        <v/>
      </c>
      <c r="EZ24" s="68" t="str">
        <f>IF(EW24=1,Stats!$P39,"")</f>
        <v/>
      </c>
      <c r="FA24" s="68" t="str">
        <f>IF(EW24=1,Stats!$Q39,"")</f>
        <v/>
      </c>
      <c r="FB24" s="68" t="str">
        <f>IF(EW24=1,Stats!$R39,"")</f>
        <v/>
      </c>
      <c r="FC24" s="68" t="str">
        <f>IF(EW24=1,Stats!$S39,"")</f>
        <v/>
      </c>
      <c r="FD24" s="68">
        <f t="shared" si="60"/>
        <v>0</v>
      </c>
      <c r="FE24">
        <f t="shared" si="61"/>
        <v>0</v>
      </c>
      <c r="FF24" s="68">
        <f>IF(FE24=0,MAX(FF$2:FF23)+1,0)</f>
        <v>22</v>
      </c>
      <c r="FG24" s="5" t="str">
        <f t="shared" si="62"/>
        <v>Heavy melee weapons</v>
      </c>
      <c r="FH24" s="5" t="str">
        <f t="shared" si="63"/>
        <v>Heavy melee weapons</v>
      </c>
      <c r="FJ24">
        <f t="shared" si="64"/>
        <v>22</v>
      </c>
      <c r="FK24" s="5" t="str">
        <f t="shared" si="65"/>
        <v>Heavy melee weapons</v>
      </c>
      <c r="FL24" s="68">
        <f>COUNTIF(Builder!$K$16:$N$16,FK24)</f>
        <v>0</v>
      </c>
      <c r="FM24" s="68" t="str">
        <f>IF(FL24=1,Stats!$N39,"")</f>
        <v/>
      </c>
      <c r="FN24" s="68" t="str">
        <f>IF(FL24=1,Stats!$O39,"")</f>
        <v/>
      </c>
      <c r="FO24" s="68" t="str">
        <f>IF(FL24=1,Stats!$P39,"")</f>
        <v/>
      </c>
      <c r="FP24" s="68" t="str">
        <f>IF(FL24=1,Stats!$Q39,"")</f>
        <v/>
      </c>
      <c r="FQ24" s="68" t="str">
        <f>IF(FL24=1,Stats!$R39,"")</f>
        <v/>
      </c>
      <c r="FR24" s="68" t="str">
        <f>IF(FL24=1,Stats!$S39,"")</f>
        <v/>
      </c>
      <c r="FS24" s="68">
        <f t="shared" si="66"/>
        <v>0</v>
      </c>
      <c r="FT24">
        <f t="shared" si="67"/>
        <v>0</v>
      </c>
      <c r="FU24" s="68">
        <f>IF(FT24=0,MAX(FU$2:FU23)+1,0)</f>
        <v>22</v>
      </c>
      <c r="FV24" s="5" t="str">
        <f t="shared" si="68"/>
        <v>Heavy melee weapons</v>
      </c>
      <c r="FW24" s="5" t="str">
        <f t="shared" si="69"/>
        <v>Heavy melee weapons</v>
      </c>
      <c r="FY24">
        <f t="shared" si="168"/>
        <v>22</v>
      </c>
      <c r="FZ24" s="5" t="str">
        <f t="shared" si="169"/>
        <v>Heavy melee weapons</v>
      </c>
      <c r="GA24" s="68">
        <f>COUNTIF(Builder!$K$17:$N$17,FZ24)</f>
        <v>0</v>
      </c>
      <c r="GB24" s="68" t="str">
        <f>IF(GA24=1,Stats!$N39,"")</f>
        <v/>
      </c>
      <c r="GC24" s="68" t="str">
        <f>IF(GA24=1,Stats!$O39,"")</f>
        <v/>
      </c>
      <c r="GD24" s="68" t="str">
        <f>IF(GA24=1,Stats!$P39,"")</f>
        <v/>
      </c>
      <c r="GE24" s="68" t="str">
        <f>IF(GA24=1,Stats!$Q39,"")</f>
        <v/>
      </c>
      <c r="GF24" s="68" t="str">
        <f>IF(GA24=1,Stats!$R39,"")</f>
        <v/>
      </c>
      <c r="GG24" s="68" t="str">
        <f>IF(GA24=1,Stats!$S39,"")</f>
        <v/>
      </c>
      <c r="GH24" s="68">
        <f t="shared" si="170"/>
        <v>0</v>
      </c>
      <c r="GI24">
        <f t="shared" si="171"/>
        <v>0</v>
      </c>
      <c r="GJ24" s="68">
        <f>IF(GI24=0,MAX(GJ$2:GJ23)+1,0)</f>
        <v>22</v>
      </c>
      <c r="GK24" s="5" t="str">
        <f t="shared" si="172"/>
        <v>Heavy melee weapons</v>
      </c>
      <c r="GL24" s="5" t="str">
        <f t="shared" si="75"/>
        <v>Heavy melee weapons</v>
      </c>
      <c r="GN24">
        <f t="shared" si="76"/>
        <v>22</v>
      </c>
      <c r="GO24" s="5" t="str">
        <f t="shared" si="77"/>
        <v>Heavy melee weapons</v>
      </c>
      <c r="GP24" s="68">
        <f>COUNTIF(Builder!$K$18:$N$18,GO24)</f>
        <v>0</v>
      </c>
      <c r="GQ24" s="68" t="str">
        <f>IF(GP24=1,Stats!$N39,"")</f>
        <v/>
      </c>
      <c r="GR24" s="68" t="str">
        <f>IF(GP24=1,Stats!$O39,"")</f>
        <v/>
      </c>
      <c r="GS24" s="68" t="str">
        <f>IF(GP24=1,Stats!$P39,"")</f>
        <v/>
      </c>
      <c r="GT24" s="68" t="str">
        <f>IF(GP24=1,Stats!$Q39,"")</f>
        <v/>
      </c>
      <c r="GU24" s="68" t="str">
        <f>IF(GP24=1,Stats!$R39,"")</f>
        <v/>
      </c>
      <c r="GV24" s="68" t="str">
        <f>IF(GP24=1,Stats!$S39,"")</f>
        <v/>
      </c>
      <c r="GW24" s="68">
        <f t="shared" si="78"/>
        <v>0</v>
      </c>
      <c r="GX24">
        <f t="shared" si="79"/>
        <v>0</v>
      </c>
      <c r="GY24" s="68">
        <f>IF(GX24=0,MAX(GY$2:GY23)+1,0)</f>
        <v>22</v>
      </c>
      <c r="GZ24" s="5" t="str">
        <f t="shared" si="80"/>
        <v>Heavy melee weapons</v>
      </c>
      <c r="HA24" s="5" t="str">
        <f t="shared" si="81"/>
        <v>Heavy melee weapons</v>
      </c>
      <c r="HC24">
        <f t="shared" si="82"/>
        <v>22</v>
      </c>
      <c r="HD24" s="5" t="str">
        <f t="shared" si="83"/>
        <v>Heavy melee weapons</v>
      </c>
      <c r="HE24" s="68">
        <f>COUNTIF(Builder!$K$19:$N$19,HD24)</f>
        <v>0</v>
      </c>
      <c r="HF24" s="68" t="str">
        <f>IF(HE24=1,Stats!$N39,"")</f>
        <v/>
      </c>
      <c r="HG24" s="68" t="str">
        <f>IF(HE24=1,Stats!$O39,"")</f>
        <v/>
      </c>
      <c r="HH24" s="68" t="str">
        <f>IF(HE24=1,Stats!$P39,"")</f>
        <v/>
      </c>
      <c r="HI24" s="68" t="str">
        <f>IF(HE24=1,Stats!$Q39,"")</f>
        <v/>
      </c>
      <c r="HJ24" s="68" t="str">
        <f>IF(HE24=1,Stats!$R39,"")</f>
        <v/>
      </c>
      <c r="HK24" s="68" t="str">
        <f>IF(HE24=1,Stats!$S39,"")</f>
        <v/>
      </c>
      <c r="HL24" s="68">
        <f t="shared" si="84"/>
        <v>0</v>
      </c>
      <c r="HM24">
        <f t="shared" si="85"/>
        <v>0</v>
      </c>
      <c r="HN24" s="68">
        <f>IF(HM24=0,MAX(HN$2:HN23)+1,0)</f>
        <v>22</v>
      </c>
      <c r="HO24" s="5" t="str">
        <f t="shared" si="86"/>
        <v>Heavy melee weapons</v>
      </c>
      <c r="HP24" s="5" t="str">
        <f t="shared" si="87"/>
        <v>Heavy melee weapons</v>
      </c>
      <c r="HR24">
        <f t="shared" si="88"/>
        <v>22</v>
      </c>
      <c r="HS24" s="5" t="str">
        <f t="shared" si="89"/>
        <v>Heavy melee weapons</v>
      </c>
      <c r="HT24" s="68">
        <f>COUNTIF(Builder!$K$20:$N$20,HS24)</f>
        <v>0</v>
      </c>
      <c r="HU24" s="68" t="str">
        <f>IF(HT24=1,Stats!$N39,"")</f>
        <v/>
      </c>
      <c r="HV24" s="68" t="str">
        <f>IF(HT24=1,Stats!$O39,"")</f>
        <v/>
      </c>
      <c r="HW24" s="68" t="str">
        <f>IF(HT24=1,Stats!$P39,"")</f>
        <v/>
      </c>
      <c r="HX24" s="68" t="str">
        <f>IF(HT24=1,Stats!$Q39,"")</f>
        <v/>
      </c>
      <c r="HY24" s="68" t="str">
        <f>IF(HT24=1,Stats!$R39,"")</f>
        <v/>
      </c>
      <c r="HZ24" s="68" t="str">
        <f>IF(HT24=1,Stats!$S39,"")</f>
        <v/>
      </c>
      <c r="IA24" s="68">
        <f t="shared" si="90"/>
        <v>0</v>
      </c>
      <c r="IB24">
        <f t="shared" si="91"/>
        <v>0</v>
      </c>
      <c r="IC24" s="68">
        <f>IF(IB24=0,MAX(IC$2:IC23)+1,0)</f>
        <v>22</v>
      </c>
      <c r="ID24" s="5" t="str">
        <f t="shared" si="92"/>
        <v>Heavy melee weapons</v>
      </c>
      <c r="IE24" s="5" t="str">
        <f t="shared" si="93"/>
        <v>Heavy melee weapons</v>
      </c>
      <c r="IG24">
        <f t="shared" si="94"/>
        <v>22</v>
      </c>
      <c r="IH24" s="5" t="str">
        <f t="shared" si="95"/>
        <v>Heavy melee weapons</v>
      </c>
      <c r="II24" s="68">
        <f>COUNTIF(Builder!$K$21:$N$21,IH24)</f>
        <v>0</v>
      </c>
      <c r="IJ24" s="68" t="str">
        <f>IF(II24=1,Stats!$N39,"")</f>
        <v/>
      </c>
      <c r="IK24" s="68" t="str">
        <f>IF(II24=1,Stats!$O39,"")</f>
        <v/>
      </c>
      <c r="IL24" s="68" t="str">
        <f>IF(II24=1,Stats!$P39,"")</f>
        <v/>
      </c>
      <c r="IM24" s="68" t="str">
        <f>IF(II24=1,Stats!$Q39,"")</f>
        <v/>
      </c>
      <c r="IN24" s="68" t="str">
        <f>IF(II24=1,Stats!$R39,"")</f>
        <v/>
      </c>
      <c r="IO24" s="68" t="str">
        <f>IF(II24=1,Stats!$S39,"")</f>
        <v/>
      </c>
      <c r="IP24" s="68">
        <f t="shared" si="96"/>
        <v>0</v>
      </c>
      <c r="IQ24">
        <f t="shared" si="97"/>
        <v>0</v>
      </c>
      <c r="IR24" s="68">
        <f>IF(IQ24=0,MAX(IR$2:IR23)+1,0)</f>
        <v>22</v>
      </c>
      <c r="IS24" s="5" t="str">
        <f t="shared" si="98"/>
        <v>Heavy melee weapons</v>
      </c>
      <c r="IT24" s="5" t="str">
        <f t="shared" si="99"/>
        <v>Heavy melee weapons</v>
      </c>
      <c r="IV24">
        <f t="shared" si="100"/>
        <v>22</v>
      </c>
      <c r="IW24" s="5" t="str">
        <f t="shared" si="101"/>
        <v>Heavy melee weapons</v>
      </c>
      <c r="IX24" s="68">
        <f>COUNTIF(Builder!$K$22:$N$22,IW24)</f>
        <v>0</v>
      </c>
      <c r="IY24" s="68" t="str">
        <f>IF(IX24=1,Stats!$N39,"")</f>
        <v/>
      </c>
      <c r="IZ24" s="68" t="str">
        <f>IF(IX24=1,Stats!$O39,"")</f>
        <v/>
      </c>
      <c r="JA24" s="68" t="str">
        <f>IF(IX24=1,Stats!$P39,"")</f>
        <v/>
      </c>
      <c r="JB24" s="68" t="str">
        <f>IF(IX24=1,Stats!$Q39,"")</f>
        <v/>
      </c>
      <c r="JC24" s="68" t="str">
        <f>IF(IX24=1,Stats!$R39,"")</f>
        <v/>
      </c>
      <c r="JD24" s="68" t="str">
        <f>IF(IX24=1,Stats!$S39,"")</f>
        <v/>
      </c>
      <c r="JE24" s="68">
        <f t="shared" si="102"/>
        <v>0</v>
      </c>
      <c r="JF24">
        <f t="shared" si="103"/>
        <v>0</v>
      </c>
      <c r="JG24" s="68">
        <f>IF(JF24=0,MAX(JG$2:JG23)+1,0)</f>
        <v>22</v>
      </c>
      <c r="JH24" s="5" t="str">
        <f t="shared" si="104"/>
        <v>Heavy melee weapons</v>
      </c>
      <c r="JI24" s="5" t="str">
        <f t="shared" si="105"/>
        <v>Heavy melee weapons</v>
      </c>
      <c r="JK24">
        <f t="shared" si="106"/>
        <v>22</v>
      </c>
      <c r="JL24" s="5" t="str">
        <f t="shared" si="107"/>
        <v>Heavy melee weapons</v>
      </c>
      <c r="JM24" s="68">
        <f>COUNTIF(Builder!$K$23:$N$23,JL24)</f>
        <v>0</v>
      </c>
      <c r="JN24" s="68" t="str">
        <f>IF(JM24=1,Stats!$N39,"")</f>
        <v/>
      </c>
      <c r="JO24" s="68" t="str">
        <f>IF(JM24=1,Stats!$O39,"")</f>
        <v/>
      </c>
      <c r="JP24" s="68" t="str">
        <f>IF(JM24=1,Stats!$P39,"")</f>
        <v/>
      </c>
      <c r="JQ24" s="68" t="str">
        <f>IF(JM24=1,Stats!$Q39,"")</f>
        <v/>
      </c>
      <c r="JR24" s="68" t="str">
        <f>IF(JM24=1,Stats!$R39,"")</f>
        <v/>
      </c>
      <c r="JS24" s="68" t="str">
        <f>IF(JM24=1,Stats!$S39,"")</f>
        <v/>
      </c>
      <c r="JT24" s="68">
        <f t="shared" si="108"/>
        <v>0</v>
      </c>
      <c r="JU24">
        <f t="shared" si="109"/>
        <v>0</v>
      </c>
      <c r="JV24" s="68">
        <f>IF(JU24=0,MAX(JV$2:JV23)+1,0)</f>
        <v>22</v>
      </c>
      <c r="JW24" s="5" t="str">
        <f t="shared" si="110"/>
        <v>Heavy melee weapons</v>
      </c>
      <c r="JX24" s="5" t="str">
        <f t="shared" si="111"/>
        <v>Heavy melee weapons</v>
      </c>
      <c r="JZ24">
        <f t="shared" si="112"/>
        <v>22</v>
      </c>
      <c r="KA24" s="5" t="str">
        <f t="shared" si="113"/>
        <v>Heavy melee weapons</v>
      </c>
      <c r="KB24" s="68">
        <f>COUNTIF(Builder!$K$24:$N$24,KA24)</f>
        <v>0</v>
      </c>
      <c r="KC24" s="68" t="str">
        <f>IF(KB24=1,Stats!$N39,"")</f>
        <v/>
      </c>
      <c r="KD24" s="68" t="str">
        <f>IF(KB24=1,Stats!$O39,"")</f>
        <v/>
      </c>
      <c r="KE24" s="68" t="str">
        <f>IF(KB24=1,Stats!$P39,"")</f>
        <v/>
      </c>
      <c r="KF24" s="68" t="str">
        <f>IF(KB24=1,Stats!$Q39,"")</f>
        <v/>
      </c>
      <c r="KG24" s="68" t="str">
        <f>IF(KB24=1,Stats!$R39,"")</f>
        <v/>
      </c>
      <c r="KH24" s="68" t="str">
        <f>IF(KB24=1,Stats!$S39,"")</f>
        <v/>
      </c>
      <c r="KI24" s="68">
        <f t="shared" si="114"/>
        <v>0</v>
      </c>
      <c r="KJ24">
        <f t="shared" si="115"/>
        <v>0</v>
      </c>
      <c r="KK24" s="68">
        <f>IF(KJ24=0,MAX(KK$2:KK23)+1,0)</f>
        <v>22</v>
      </c>
      <c r="KL24" s="5" t="str">
        <f t="shared" si="116"/>
        <v>Heavy melee weapons</v>
      </c>
      <c r="KM24" s="5" t="str">
        <f t="shared" si="117"/>
        <v>Heavy melee weapons</v>
      </c>
      <c r="KO24">
        <f t="shared" si="118"/>
        <v>22</v>
      </c>
      <c r="KP24" s="5" t="str">
        <f t="shared" si="119"/>
        <v>Heavy melee weapons</v>
      </c>
      <c r="KQ24" s="68">
        <f>COUNTIF(Builder!$K$25:$N$25,KP24)</f>
        <v>0</v>
      </c>
      <c r="KR24" s="68" t="str">
        <f>IF(KQ24=1,Stats!$N39,"")</f>
        <v/>
      </c>
      <c r="KS24" s="68" t="str">
        <f>IF(KQ24=1,Stats!$O39,"")</f>
        <v/>
      </c>
      <c r="KT24" s="68" t="str">
        <f>IF(KQ24=1,Stats!$P39,"")</f>
        <v/>
      </c>
      <c r="KU24" s="68" t="str">
        <f>IF(KQ24=1,Stats!$Q39,"")</f>
        <v/>
      </c>
      <c r="KV24" s="68" t="str">
        <f>IF(KQ24=1,Stats!$R39,"")</f>
        <v/>
      </c>
      <c r="KW24" s="68" t="str">
        <f>IF(KQ24=1,Stats!$S39,"")</f>
        <v/>
      </c>
      <c r="KX24" s="68">
        <f t="shared" si="120"/>
        <v>0</v>
      </c>
      <c r="KY24">
        <f t="shared" si="121"/>
        <v>0</v>
      </c>
      <c r="KZ24" s="68">
        <f>IF(KY24=0,MAX(KZ$2:KZ23)+1,0)</f>
        <v>22</v>
      </c>
      <c r="LA24" s="5" t="str">
        <f t="shared" si="122"/>
        <v>Heavy melee weapons</v>
      </c>
      <c r="LB24" s="5" t="str">
        <f t="shared" si="123"/>
        <v>Heavy melee weapons</v>
      </c>
      <c r="LD24">
        <f t="shared" si="124"/>
        <v>22</v>
      </c>
      <c r="LE24" s="5" t="str">
        <f t="shared" si="125"/>
        <v>Heavy melee weapons</v>
      </c>
      <c r="LF24" s="68">
        <f>COUNTIF(Builder!$K$26:$N$26,LE24)</f>
        <v>0</v>
      </c>
      <c r="LG24" s="68" t="str">
        <f>IF(LF24=1,Stats!$N39,"")</f>
        <v/>
      </c>
      <c r="LH24" s="68" t="str">
        <f>IF(LF24=1,Stats!$O39,"")</f>
        <v/>
      </c>
      <c r="LI24" s="68" t="str">
        <f>IF(LF24=1,Stats!$P39,"")</f>
        <v/>
      </c>
      <c r="LJ24" s="68" t="str">
        <f>IF(LF24=1,Stats!$Q39,"")</f>
        <v/>
      </c>
      <c r="LK24" s="68" t="str">
        <f>IF(LF24=1,Stats!$R39,"")</f>
        <v/>
      </c>
      <c r="LL24" s="68" t="str">
        <f>IF(LF24=1,Stats!$S39,"")</f>
        <v/>
      </c>
      <c r="LM24" s="68">
        <f t="shared" si="126"/>
        <v>0</v>
      </c>
      <c r="LN24">
        <f t="shared" si="127"/>
        <v>0</v>
      </c>
      <c r="LO24" s="68">
        <f>IF(LN24=0,MAX(LO$2:LO23)+1,0)</f>
        <v>22</v>
      </c>
      <c r="LP24" s="5" t="str">
        <f t="shared" si="128"/>
        <v>Heavy melee weapons</v>
      </c>
      <c r="LQ24" s="5" t="str">
        <f t="shared" si="129"/>
        <v>Heavy melee weapons</v>
      </c>
      <c r="LS24">
        <f t="shared" si="130"/>
        <v>22</v>
      </c>
      <c r="LT24" s="5" t="str">
        <f t="shared" si="131"/>
        <v>Heavy melee weapons</v>
      </c>
      <c r="LU24" s="68">
        <f>COUNTIF(Builder!$K$27:$N$27,LT24)</f>
        <v>0</v>
      </c>
      <c r="LV24" s="68" t="str">
        <f>IF(LU24=1,Stats!$N39,"")</f>
        <v/>
      </c>
      <c r="LW24" s="68" t="str">
        <f>IF(LU24=1,Stats!$O39,"")</f>
        <v/>
      </c>
      <c r="LX24" s="68" t="str">
        <f>IF(LU24=1,Stats!$P39,"")</f>
        <v/>
      </c>
      <c r="LY24" s="68" t="str">
        <f>IF(LU24=1,Stats!$Q39,"")</f>
        <v/>
      </c>
      <c r="LZ24" s="68" t="str">
        <f>IF(LU24=1,Stats!$R39,"")</f>
        <v/>
      </c>
      <c r="MA24" s="68" t="str">
        <f>IF(LU24=1,Stats!$S39,"")</f>
        <v/>
      </c>
      <c r="MB24" s="68">
        <f t="shared" si="132"/>
        <v>0</v>
      </c>
      <c r="MC24">
        <f t="shared" si="133"/>
        <v>0</v>
      </c>
      <c r="MD24" s="68">
        <f>IF(MC24=0,MAX(MD$2:MD23)+1,0)</f>
        <v>22</v>
      </c>
      <c r="ME24" s="5" t="str">
        <f t="shared" si="134"/>
        <v>Heavy melee weapons</v>
      </c>
      <c r="MF24" s="5" t="str">
        <f t="shared" si="135"/>
        <v>Heavy melee weapons</v>
      </c>
      <c r="MH24">
        <f t="shared" si="136"/>
        <v>22</v>
      </c>
      <c r="MI24" s="5" t="str">
        <f t="shared" si="137"/>
        <v>Heavy melee weapons</v>
      </c>
      <c r="MJ24" s="68">
        <f>COUNTIF(Builder!$K$28:$N$28,MI24)</f>
        <v>0</v>
      </c>
      <c r="MK24" s="68" t="str">
        <f>IF(MJ24=1,Stats!$N39,"")</f>
        <v/>
      </c>
      <c r="ML24" s="68" t="str">
        <f>IF(MJ24=1,Stats!$O39,"")</f>
        <v/>
      </c>
      <c r="MM24" s="68" t="str">
        <f>IF(MJ24=1,Stats!$P39,"")</f>
        <v/>
      </c>
      <c r="MN24" s="68" t="str">
        <f>IF(MJ24=1,Stats!$Q39,"")</f>
        <v/>
      </c>
      <c r="MO24" s="68" t="str">
        <f>IF(MJ24=1,Stats!$R39,"")</f>
        <v/>
      </c>
      <c r="MP24" s="68" t="str">
        <f>IF(MJ24=1,Stats!$S39,"")</f>
        <v/>
      </c>
      <c r="MQ24" s="68">
        <f t="shared" si="138"/>
        <v>0</v>
      </c>
      <c r="MR24">
        <f t="shared" si="139"/>
        <v>0</v>
      </c>
      <c r="MS24" s="68">
        <f>IF(MR24=0,MAX(MS$2:MS23)+1,0)</f>
        <v>22</v>
      </c>
      <c r="MT24" s="5" t="str">
        <f t="shared" si="140"/>
        <v>Heavy melee weapons</v>
      </c>
      <c r="MU24" s="5" t="str">
        <f t="shared" si="141"/>
        <v>Heavy melee weapons</v>
      </c>
      <c r="MW24">
        <f t="shared" si="142"/>
        <v>22</v>
      </c>
      <c r="MX24" s="5" t="str">
        <f t="shared" si="143"/>
        <v>Heavy melee weapons</v>
      </c>
      <c r="MY24" s="68">
        <f>COUNTIF(Builder!$K$29:$N$29,MX24)</f>
        <v>0</v>
      </c>
      <c r="MZ24" s="68" t="str">
        <f>IF(MY24=1,Stats!$N39,"")</f>
        <v/>
      </c>
      <c r="NA24" s="68" t="str">
        <f>IF(MY24=1,Stats!$O39,"")</f>
        <v/>
      </c>
      <c r="NB24" s="68" t="str">
        <f>IF(MY24=1,Stats!$P39,"")</f>
        <v/>
      </c>
      <c r="NC24" s="68" t="str">
        <f>IF(MY24=1,Stats!$Q39,"")</f>
        <v/>
      </c>
      <c r="ND24" s="68" t="str">
        <f>IF(MY24=1,Stats!$R39,"")</f>
        <v/>
      </c>
      <c r="NE24" s="68" t="str">
        <f>IF(MY24=1,Stats!$S39,"")</f>
        <v/>
      </c>
      <c r="NF24" s="68">
        <f t="shared" si="144"/>
        <v>0</v>
      </c>
      <c r="NG24">
        <f t="shared" si="145"/>
        <v>0</v>
      </c>
      <c r="NH24" s="68">
        <f>IF(NG24=0,MAX(NH$2:NH23)+1,0)</f>
        <v>22</v>
      </c>
      <c r="NI24" s="5" t="str">
        <f t="shared" si="146"/>
        <v>Heavy melee weapons</v>
      </c>
      <c r="NJ24" s="5" t="str">
        <f t="shared" si="147"/>
        <v>Heavy melee weapons</v>
      </c>
    </row>
    <row r="25" spans="1:374" ht="15" x14ac:dyDescent="0.3">
      <c r="A25">
        <v>23</v>
      </c>
      <c r="B25" s="5" t="s">
        <v>82</v>
      </c>
      <c r="C25" s="68">
        <f>COUNTIF(Builder!$K$5:$N$5,B25)</f>
        <v>0</v>
      </c>
      <c r="D25" s="68" t="str">
        <f>IF(C25=1,Stats!$N40,"")</f>
        <v/>
      </c>
      <c r="E25" s="68" t="str">
        <f>IF(C25=1,Stats!$O40,"")</f>
        <v/>
      </c>
      <c r="F25" s="68" t="str">
        <f>IF(C25=1,Stats!$P40,"")</f>
        <v/>
      </c>
      <c r="G25" s="68" t="str">
        <f>IF(C25=1,Stats!$Q40,"")</f>
        <v/>
      </c>
      <c r="H25" s="68" t="str">
        <f>IF(C25=1,Stats!$R40,"")</f>
        <v/>
      </c>
      <c r="I25" s="68" t="str">
        <f>IF(C25=1,Stats!$S40,"")</f>
        <v/>
      </c>
      <c r="J25" s="68">
        <f t="shared" si="0"/>
        <v>0</v>
      </c>
      <c r="K25">
        <f t="shared" si="1"/>
        <v>0</v>
      </c>
      <c r="L25" s="68">
        <f>IF(K25=0,MAX($L$2:L24)+1,0)</f>
        <v>23</v>
      </c>
      <c r="M25" s="5" t="str">
        <f t="shared" si="2"/>
        <v>Heavy missile weapons</v>
      </c>
      <c r="N25" s="5" t="str">
        <f t="shared" si="3"/>
        <v>Heavy missile weapons</v>
      </c>
      <c r="O25" s="5"/>
      <c r="P25">
        <f t="shared" si="4"/>
        <v>23</v>
      </c>
      <c r="Q25" s="5" t="str">
        <f t="shared" si="5"/>
        <v>Heavy missile weapons</v>
      </c>
      <c r="R25" s="68">
        <f>COUNTIF(Builder!$K$6:$N$6,Q25)</f>
        <v>0</v>
      </c>
      <c r="S25" s="68" t="str">
        <f>IF(R25=1,Stats!$N40,"")</f>
        <v/>
      </c>
      <c r="T25" s="68" t="str">
        <f>IF(R25=1,Stats!$O40,"")</f>
        <v/>
      </c>
      <c r="U25" s="68" t="str">
        <f>IF(R25=1,Stats!$P40,"")</f>
        <v/>
      </c>
      <c r="V25" s="68" t="str">
        <f>IF(R25=1,Stats!$Q40,"")</f>
        <v/>
      </c>
      <c r="W25" s="68" t="str">
        <f>IF(R25=1,Stats!$R40,"")</f>
        <v/>
      </c>
      <c r="X25" s="68" t="str">
        <f>IF(R25=1,Stats!$S40,"")</f>
        <v/>
      </c>
      <c r="Y25" s="68">
        <f t="shared" si="6"/>
        <v>0</v>
      </c>
      <c r="Z25">
        <f t="shared" si="7"/>
        <v>0</v>
      </c>
      <c r="AA25" s="68">
        <f>IF(Z25=0,MAX($AA$2:AA24)+1,0)</f>
        <v>23</v>
      </c>
      <c r="AB25" s="5" t="str">
        <f t="shared" si="8"/>
        <v>Heavy missile weapons</v>
      </c>
      <c r="AC25" s="5" t="str">
        <f t="shared" si="9"/>
        <v>Heavy missile weapons</v>
      </c>
      <c r="AD25" s="5"/>
      <c r="AE25">
        <f t="shared" si="10"/>
        <v>23</v>
      </c>
      <c r="AF25" s="5" t="str">
        <f t="shared" si="11"/>
        <v>Heavy missile weapons</v>
      </c>
      <c r="AG25" s="68">
        <f>COUNTIF(Builder!$K$7:$N$7,AF25)</f>
        <v>0</v>
      </c>
      <c r="AH25" s="68" t="str">
        <f>IF(AG25=1,Stats!$N40,"")</f>
        <v/>
      </c>
      <c r="AI25" s="68" t="str">
        <f>IF(AG25=1,Stats!$O40,"")</f>
        <v/>
      </c>
      <c r="AJ25" s="68" t="str">
        <f>IF(AG25=1,Stats!$P40,"")</f>
        <v/>
      </c>
      <c r="AK25" s="68" t="str">
        <f>IF(AG25=1,Stats!$Q40,"")</f>
        <v/>
      </c>
      <c r="AL25" s="68" t="str">
        <f>IF(AG25=1,Stats!$R40,"")</f>
        <v/>
      </c>
      <c r="AM25" s="68" t="str">
        <f>IF(AG25=1,Stats!$S40,"")</f>
        <v/>
      </c>
      <c r="AN25" s="68">
        <f t="shared" si="12"/>
        <v>0</v>
      </c>
      <c r="AO25">
        <f t="shared" si="13"/>
        <v>0</v>
      </c>
      <c r="AP25" s="68">
        <f>IF(AO25=0,MAX($AP$2:AP24)+1,0)</f>
        <v>23</v>
      </c>
      <c r="AQ25" s="5" t="str">
        <f t="shared" si="14"/>
        <v>Heavy missile weapons</v>
      </c>
      <c r="AR25" s="5" t="str">
        <f t="shared" si="15"/>
        <v>Heavy missile weapons</v>
      </c>
      <c r="AS25" s="5"/>
      <c r="AT25">
        <f t="shared" si="16"/>
        <v>23</v>
      </c>
      <c r="AU25" s="5" t="str">
        <f t="shared" si="17"/>
        <v>Heavy missile weapons</v>
      </c>
      <c r="AV25" s="68">
        <f>COUNTIF(Builder!$K$8:$N$8,AU25)</f>
        <v>0</v>
      </c>
      <c r="AW25" s="68" t="str">
        <f>IF(AV25=1,Stats!$N40,"")</f>
        <v/>
      </c>
      <c r="AX25" s="68" t="str">
        <f>IF(AV25=1,Stats!$O40,"")</f>
        <v/>
      </c>
      <c r="AY25" s="68" t="str">
        <f>IF(AV25=1,Stats!$P40,"")</f>
        <v/>
      </c>
      <c r="AZ25" s="68" t="str">
        <f>IF(AV25=1,Stats!$Q40,"")</f>
        <v/>
      </c>
      <c r="BA25" s="68" t="str">
        <f>IF(AV25=1,Stats!$R40,"")</f>
        <v/>
      </c>
      <c r="BB25" s="68" t="str">
        <f>IF(AV25=1,Stats!$S40,"")</f>
        <v/>
      </c>
      <c r="BC25" s="68">
        <f t="shared" si="18"/>
        <v>0</v>
      </c>
      <c r="BD25">
        <f t="shared" si="19"/>
        <v>0</v>
      </c>
      <c r="BE25" s="68">
        <f>IF(BD25=0,MAX($BE$2:BE24)+1,0)</f>
        <v>23</v>
      </c>
      <c r="BF25" s="5" t="str">
        <f t="shared" si="20"/>
        <v>Heavy missile weapons</v>
      </c>
      <c r="BG25" s="5" t="str">
        <f t="shared" si="21"/>
        <v>Heavy missile weapons</v>
      </c>
      <c r="BH25" s="5"/>
      <c r="BI25">
        <f t="shared" si="148"/>
        <v>23</v>
      </c>
      <c r="BJ25" s="5" t="str">
        <f t="shared" si="149"/>
        <v>Heavy missile weapons</v>
      </c>
      <c r="BK25" s="68">
        <f>COUNTIF(Builder!$K$9:$N$9,BJ25)</f>
        <v>0</v>
      </c>
      <c r="BL25" s="68" t="str">
        <f>IF(BK25=1,Stats!$N40,"")</f>
        <v/>
      </c>
      <c r="BM25" s="68" t="str">
        <f>IF(BK25=1,Stats!$O40,"")</f>
        <v/>
      </c>
      <c r="BN25" s="68" t="str">
        <f>IF(BK25=1,Stats!$P40,"")</f>
        <v/>
      </c>
      <c r="BO25" s="68" t="str">
        <f>IF(BK25=1,Stats!$Q40,"")</f>
        <v/>
      </c>
      <c r="BP25" s="68" t="str">
        <f>IF(BK25=1,Stats!$R40,"")</f>
        <v/>
      </c>
      <c r="BQ25" s="68" t="str">
        <f>IF(BK25=1,Stats!$S40,"")</f>
        <v/>
      </c>
      <c r="BR25" s="68">
        <f t="shared" si="150"/>
        <v>0</v>
      </c>
      <c r="BS25">
        <f t="shared" si="151"/>
        <v>0</v>
      </c>
      <c r="BT25" s="68">
        <f>IF(BS25=0,MAX(BT$2:BT24)+1,0)</f>
        <v>23</v>
      </c>
      <c r="BU25" s="5" t="str">
        <f t="shared" si="152"/>
        <v>Heavy missile weapons</v>
      </c>
      <c r="BV25" s="5" t="str">
        <f t="shared" si="27"/>
        <v>Heavy missile weapons</v>
      </c>
      <c r="BX25">
        <f t="shared" si="153"/>
        <v>23</v>
      </c>
      <c r="BY25" s="5" t="str">
        <f t="shared" si="154"/>
        <v>Heavy missile weapons</v>
      </c>
      <c r="BZ25" s="68">
        <f>COUNTIF(Builder!$K$10:$N$10,BY25)</f>
        <v>0</v>
      </c>
      <c r="CA25" s="68" t="str">
        <f>IF(BZ25=1,Stats!$N40,"")</f>
        <v/>
      </c>
      <c r="CB25" s="68" t="str">
        <f>IF(BZ25=1,Stats!$O40,"")</f>
        <v/>
      </c>
      <c r="CC25" s="68" t="str">
        <f>IF(BZ25=1,Stats!$P40,"")</f>
        <v/>
      </c>
      <c r="CD25" s="68" t="str">
        <f>IF(BZ25=1,Stats!$Q40,"")</f>
        <v/>
      </c>
      <c r="CE25" s="68" t="str">
        <f>IF(BZ25=1,Stats!$R40,"")</f>
        <v/>
      </c>
      <c r="CF25" s="68" t="str">
        <f>IF(BZ25=1,Stats!$S40,"")</f>
        <v/>
      </c>
      <c r="CG25" s="68">
        <f t="shared" si="155"/>
        <v>0</v>
      </c>
      <c r="CH25">
        <f t="shared" si="156"/>
        <v>0</v>
      </c>
      <c r="CI25" s="68">
        <f>IF(CH25=0,MAX(CI$2:CI24)+1,0)</f>
        <v>23</v>
      </c>
      <c r="CJ25" s="5" t="str">
        <f t="shared" si="157"/>
        <v>Heavy missile weapons</v>
      </c>
      <c r="CK25" s="5" t="str">
        <f t="shared" si="33"/>
        <v>Heavy missile weapons</v>
      </c>
      <c r="CM25">
        <f t="shared" si="34"/>
        <v>23</v>
      </c>
      <c r="CN25" s="5" t="str">
        <f t="shared" si="35"/>
        <v>Heavy missile weapons</v>
      </c>
      <c r="CO25" s="68">
        <f>COUNTIF(Builder!$K$11:$N$11,CN25)</f>
        <v>0</v>
      </c>
      <c r="CP25" s="68" t="str">
        <f>IF(CO25=1,Stats!$N40,"")</f>
        <v/>
      </c>
      <c r="CQ25" s="68" t="str">
        <f>IF(CO25=1,Stats!$O40,"")</f>
        <v/>
      </c>
      <c r="CR25" s="68" t="str">
        <f>IF(CO25=1,Stats!$P40,"")</f>
        <v/>
      </c>
      <c r="CS25" s="68" t="str">
        <f>IF(CO25=1,Stats!$Q40,"")</f>
        <v/>
      </c>
      <c r="CT25" s="68" t="str">
        <f>IF(CO25=1,Stats!$R40,"")</f>
        <v/>
      </c>
      <c r="CU25" s="68" t="str">
        <f>IF(CO25=1,Stats!$S40,"")</f>
        <v/>
      </c>
      <c r="CV25" s="68">
        <f t="shared" si="36"/>
        <v>0</v>
      </c>
      <c r="CW25">
        <f t="shared" si="37"/>
        <v>0</v>
      </c>
      <c r="CX25" s="68">
        <f>IF(CW25=0,MAX(CX$2:CX24)+1,0)</f>
        <v>23</v>
      </c>
      <c r="CY25" s="5" t="str">
        <f t="shared" si="38"/>
        <v>Heavy missile weapons</v>
      </c>
      <c r="CZ25" s="5" t="str">
        <f t="shared" si="39"/>
        <v>Heavy missile weapons</v>
      </c>
      <c r="DB25">
        <f t="shared" si="158"/>
        <v>23</v>
      </c>
      <c r="DC25" s="5" t="str">
        <f t="shared" si="159"/>
        <v>Heavy missile weapons</v>
      </c>
      <c r="DD25" s="68">
        <f>COUNTIF(Builder!$K$12:$N$12,DC25)</f>
        <v>0</v>
      </c>
      <c r="DE25" s="68" t="str">
        <f>IF(DD25=1,Stats!$N40,"")</f>
        <v/>
      </c>
      <c r="DF25" s="68" t="str">
        <f>IF(DD25=1,Stats!$O40,"")</f>
        <v/>
      </c>
      <c r="DG25" s="68" t="str">
        <f>IF(DD25=1,Stats!$P40,"")</f>
        <v/>
      </c>
      <c r="DH25" s="68" t="str">
        <f>IF(DD25=1,Stats!$Q40,"")</f>
        <v/>
      </c>
      <c r="DI25" s="68" t="str">
        <f>IF(DD25=1,Stats!$R40,"")</f>
        <v/>
      </c>
      <c r="DJ25" s="68" t="str">
        <f>IF(DD25=1,Stats!$S40,"")</f>
        <v/>
      </c>
      <c r="DK25" s="68">
        <f t="shared" si="160"/>
        <v>0</v>
      </c>
      <c r="DL25">
        <f t="shared" si="161"/>
        <v>0</v>
      </c>
      <c r="DM25" s="68">
        <f>IF(DL25=0,MAX(DM$2:DM24)+1,0)</f>
        <v>23</v>
      </c>
      <c r="DN25" s="5" t="str">
        <f t="shared" si="162"/>
        <v>Heavy missile weapons</v>
      </c>
      <c r="DO25" s="5" t="str">
        <f t="shared" si="45"/>
        <v>Heavy missile weapons</v>
      </c>
      <c r="DQ25">
        <f t="shared" si="163"/>
        <v>23</v>
      </c>
      <c r="DR25" s="5" t="str">
        <f t="shared" si="164"/>
        <v>Heavy missile weapons</v>
      </c>
      <c r="DS25" s="68">
        <f>COUNTIF(Builder!$K$13:$N$13,DR25)</f>
        <v>0</v>
      </c>
      <c r="DT25" s="68" t="str">
        <f>IF(DS25=1,Stats!$N40,"")</f>
        <v/>
      </c>
      <c r="DU25" s="68" t="str">
        <f>IF(DS25=1,Stats!$O40,"")</f>
        <v/>
      </c>
      <c r="DV25" s="68" t="str">
        <f>IF(DS25=1,Stats!$P40,"")</f>
        <v/>
      </c>
      <c r="DW25" s="68" t="str">
        <f>IF(DS25=1,Stats!$Q40,"")</f>
        <v/>
      </c>
      <c r="DX25" s="68" t="str">
        <f>IF(DS25=1,Stats!$R40,"")</f>
        <v/>
      </c>
      <c r="DY25" s="68" t="str">
        <f>IF(DS25=1,Stats!$S40,"")</f>
        <v/>
      </c>
      <c r="DZ25" s="68">
        <f t="shared" si="165"/>
        <v>0</v>
      </c>
      <c r="EA25">
        <f t="shared" si="166"/>
        <v>0</v>
      </c>
      <c r="EB25" s="68">
        <f>IF(EA25=0,MAX(EB$2:EB24)+1,0)</f>
        <v>23</v>
      </c>
      <c r="EC25" s="5" t="str">
        <f t="shared" si="167"/>
        <v>Heavy missile weapons</v>
      </c>
      <c r="ED25" s="5" t="str">
        <f t="shared" si="51"/>
        <v>Heavy missile weapons</v>
      </c>
      <c r="EF25">
        <f t="shared" si="52"/>
        <v>23</v>
      </c>
      <c r="EG25" s="5" t="str">
        <f t="shared" si="53"/>
        <v>Heavy missile weapons</v>
      </c>
      <c r="EH25" s="68">
        <f>COUNTIF(Builder!$K$14:$N$14,EG25)</f>
        <v>0</v>
      </c>
      <c r="EI25" s="68" t="str">
        <f>IF(EH25=1,Stats!$N40,"")</f>
        <v/>
      </c>
      <c r="EJ25" s="68" t="str">
        <f>IF(EH25=1,Stats!$O40,"")</f>
        <v/>
      </c>
      <c r="EK25" s="68" t="str">
        <f>IF(EH25=1,Stats!$P40,"")</f>
        <v/>
      </c>
      <c r="EL25" s="68" t="str">
        <f>IF(EH25=1,Stats!$Q40,"")</f>
        <v/>
      </c>
      <c r="EM25" s="68" t="str">
        <f>IF(EH25=1,Stats!$R40,"")</f>
        <v/>
      </c>
      <c r="EN25" s="68" t="str">
        <f>IF(EH25=1,Stats!$S40,"")</f>
        <v/>
      </c>
      <c r="EO25" s="68">
        <f t="shared" si="54"/>
        <v>0</v>
      </c>
      <c r="EP25">
        <f t="shared" si="55"/>
        <v>0</v>
      </c>
      <c r="EQ25" s="68">
        <f>IF(EP25=0,MAX(EQ$2:EQ24)+1,0)</f>
        <v>23</v>
      </c>
      <c r="ER25" s="5" t="str">
        <f t="shared" si="56"/>
        <v>Heavy missile weapons</v>
      </c>
      <c r="ES25" s="5" t="str">
        <f t="shared" si="57"/>
        <v>Heavy missile weapons</v>
      </c>
      <c r="EU25">
        <f t="shared" si="58"/>
        <v>23</v>
      </c>
      <c r="EV25" s="5" t="str">
        <f t="shared" si="59"/>
        <v>Heavy missile weapons</v>
      </c>
      <c r="EW25" s="68">
        <f>COUNTIF(Builder!$K$15:$N$15,EV25)</f>
        <v>0</v>
      </c>
      <c r="EX25" s="68" t="str">
        <f>IF(EW25=1,Stats!$N40,"")</f>
        <v/>
      </c>
      <c r="EY25" s="68" t="str">
        <f>IF(EW25=1,Stats!$O40,"")</f>
        <v/>
      </c>
      <c r="EZ25" s="68" t="str">
        <f>IF(EW25=1,Stats!$P40,"")</f>
        <v/>
      </c>
      <c r="FA25" s="68" t="str">
        <f>IF(EW25=1,Stats!$Q40,"")</f>
        <v/>
      </c>
      <c r="FB25" s="68" t="str">
        <f>IF(EW25=1,Stats!$R40,"")</f>
        <v/>
      </c>
      <c r="FC25" s="68" t="str">
        <f>IF(EW25=1,Stats!$S40,"")</f>
        <v/>
      </c>
      <c r="FD25" s="68">
        <f t="shared" si="60"/>
        <v>0</v>
      </c>
      <c r="FE25">
        <f t="shared" si="61"/>
        <v>0</v>
      </c>
      <c r="FF25" s="68">
        <f>IF(FE25=0,MAX(FF$2:FF24)+1,0)</f>
        <v>23</v>
      </c>
      <c r="FG25" s="5" t="str">
        <f t="shared" si="62"/>
        <v>Heavy missile weapons</v>
      </c>
      <c r="FH25" s="5" t="str">
        <f t="shared" si="63"/>
        <v>Heavy missile weapons</v>
      </c>
      <c r="FJ25">
        <f t="shared" si="64"/>
        <v>23</v>
      </c>
      <c r="FK25" s="5" t="str">
        <f t="shared" si="65"/>
        <v>Heavy missile weapons</v>
      </c>
      <c r="FL25" s="68">
        <f>COUNTIF(Builder!$K$16:$N$16,FK25)</f>
        <v>0</v>
      </c>
      <c r="FM25" s="68" t="str">
        <f>IF(FL25=1,Stats!$N40,"")</f>
        <v/>
      </c>
      <c r="FN25" s="68" t="str">
        <f>IF(FL25=1,Stats!$O40,"")</f>
        <v/>
      </c>
      <c r="FO25" s="68" t="str">
        <f>IF(FL25=1,Stats!$P40,"")</f>
        <v/>
      </c>
      <c r="FP25" s="68" t="str">
        <f>IF(FL25=1,Stats!$Q40,"")</f>
        <v/>
      </c>
      <c r="FQ25" s="68" t="str">
        <f>IF(FL25=1,Stats!$R40,"")</f>
        <v/>
      </c>
      <c r="FR25" s="68" t="str">
        <f>IF(FL25=1,Stats!$S40,"")</f>
        <v/>
      </c>
      <c r="FS25" s="68">
        <f t="shared" si="66"/>
        <v>0</v>
      </c>
      <c r="FT25">
        <f t="shared" si="67"/>
        <v>0</v>
      </c>
      <c r="FU25" s="68">
        <f>IF(FT25=0,MAX(FU$2:FU24)+1,0)</f>
        <v>23</v>
      </c>
      <c r="FV25" s="5" t="str">
        <f t="shared" si="68"/>
        <v>Heavy missile weapons</v>
      </c>
      <c r="FW25" s="5" t="str">
        <f t="shared" si="69"/>
        <v>Heavy missile weapons</v>
      </c>
      <c r="FY25">
        <f t="shared" si="168"/>
        <v>23</v>
      </c>
      <c r="FZ25" s="5" t="str">
        <f t="shared" si="169"/>
        <v>Heavy missile weapons</v>
      </c>
      <c r="GA25" s="68">
        <f>COUNTIF(Builder!$K$17:$N$17,FZ25)</f>
        <v>0</v>
      </c>
      <c r="GB25" s="68" t="str">
        <f>IF(GA25=1,Stats!$N40,"")</f>
        <v/>
      </c>
      <c r="GC25" s="68" t="str">
        <f>IF(GA25=1,Stats!$O40,"")</f>
        <v/>
      </c>
      <c r="GD25" s="68" t="str">
        <f>IF(GA25=1,Stats!$P40,"")</f>
        <v/>
      </c>
      <c r="GE25" s="68" t="str">
        <f>IF(GA25=1,Stats!$Q40,"")</f>
        <v/>
      </c>
      <c r="GF25" s="68" t="str">
        <f>IF(GA25=1,Stats!$R40,"")</f>
        <v/>
      </c>
      <c r="GG25" s="68" t="str">
        <f>IF(GA25=1,Stats!$S40,"")</f>
        <v/>
      </c>
      <c r="GH25" s="68">
        <f t="shared" si="170"/>
        <v>0</v>
      </c>
      <c r="GI25">
        <f t="shared" si="171"/>
        <v>0</v>
      </c>
      <c r="GJ25" s="68">
        <f>IF(GI25=0,MAX(GJ$2:GJ24)+1,0)</f>
        <v>23</v>
      </c>
      <c r="GK25" s="5" t="str">
        <f t="shared" si="172"/>
        <v>Heavy missile weapons</v>
      </c>
      <c r="GL25" s="5" t="str">
        <f t="shared" si="75"/>
        <v>Heavy missile weapons</v>
      </c>
      <c r="GN25">
        <f t="shared" si="76"/>
        <v>23</v>
      </c>
      <c r="GO25" s="5" t="str">
        <f t="shared" si="77"/>
        <v>Heavy missile weapons</v>
      </c>
      <c r="GP25" s="68">
        <f>COUNTIF(Builder!$K$18:$N$18,GO25)</f>
        <v>0</v>
      </c>
      <c r="GQ25" s="68" t="str">
        <f>IF(GP25=1,Stats!$N40,"")</f>
        <v/>
      </c>
      <c r="GR25" s="68" t="str">
        <f>IF(GP25=1,Stats!$O40,"")</f>
        <v/>
      </c>
      <c r="GS25" s="68" t="str">
        <f>IF(GP25=1,Stats!$P40,"")</f>
        <v/>
      </c>
      <c r="GT25" s="68" t="str">
        <f>IF(GP25=1,Stats!$Q40,"")</f>
        <v/>
      </c>
      <c r="GU25" s="68" t="str">
        <f>IF(GP25=1,Stats!$R40,"")</f>
        <v/>
      </c>
      <c r="GV25" s="68" t="str">
        <f>IF(GP25=1,Stats!$S40,"")</f>
        <v/>
      </c>
      <c r="GW25" s="68">
        <f t="shared" si="78"/>
        <v>0</v>
      </c>
      <c r="GX25">
        <f t="shared" si="79"/>
        <v>0</v>
      </c>
      <c r="GY25" s="68">
        <f>IF(GX25=0,MAX(GY$2:GY24)+1,0)</f>
        <v>23</v>
      </c>
      <c r="GZ25" s="5" t="str">
        <f t="shared" si="80"/>
        <v>Heavy missile weapons</v>
      </c>
      <c r="HA25" s="5" t="str">
        <f t="shared" si="81"/>
        <v>Heavy missile weapons</v>
      </c>
      <c r="HC25">
        <f t="shared" si="82"/>
        <v>23</v>
      </c>
      <c r="HD25" s="5" t="str">
        <f t="shared" si="83"/>
        <v>Heavy missile weapons</v>
      </c>
      <c r="HE25" s="68">
        <f>COUNTIF(Builder!$K$19:$N$19,HD25)</f>
        <v>0</v>
      </c>
      <c r="HF25" s="68" t="str">
        <f>IF(HE25=1,Stats!$N40,"")</f>
        <v/>
      </c>
      <c r="HG25" s="68" t="str">
        <f>IF(HE25=1,Stats!$O40,"")</f>
        <v/>
      </c>
      <c r="HH25" s="68" t="str">
        <f>IF(HE25=1,Stats!$P40,"")</f>
        <v/>
      </c>
      <c r="HI25" s="68" t="str">
        <f>IF(HE25=1,Stats!$Q40,"")</f>
        <v/>
      </c>
      <c r="HJ25" s="68" t="str">
        <f>IF(HE25=1,Stats!$R40,"")</f>
        <v/>
      </c>
      <c r="HK25" s="68" t="str">
        <f>IF(HE25=1,Stats!$S40,"")</f>
        <v/>
      </c>
      <c r="HL25" s="68">
        <f t="shared" si="84"/>
        <v>0</v>
      </c>
      <c r="HM25">
        <f t="shared" si="85"/>
        <v>0</v>
      </c>
      <c r="HN25" s="68">
        <f>IF(HM25=0,MAX(HN$2:HN24)+1,0)</f>
        <v>23</v>
      </c>
      <c r="HO25" s="5" t="str">
        <f t="shared" si="86"/>
        <v>Heavy missile weapons</v>
      </c>
      <c r="HP25" s="5" t="str">
        <f t="shared" si="87"/>
        <v>Heavy missile weapons</v>
      </c>
      <c r="HR25">
        <f t="shared" si="88"/>
        <v>23</v>
      </c>
      <c r="HS25" s="5" t="str">
        <f t="shared" si="89"/>
        <v>Heavy missile weapons</v>
      </c>
      <c r="HT25" s="68">
        <f>COUNTIF(Builder!$K$20:$N$20,HS25)</f>
        <v>0</v>
      </c>
      <c r="HU25" s="68" t="str">
        <f>IF(HT25=1,Stats!$N40,"")</f>
        <v/>
      </c>
      <c r="HV25" s="68" t="str">
        <f>IF(HT25=1,Stats!$O40,"")</f>
        <v/>
      </c>
      <c r="HW25" s="68" t="str">
        <f>IF(HT25=1,Stats!$P40,"")</f>
        <v/>
      </c>
      <c r="HX25" s="68" t="str">
        <f>IF(HT25=1,Stats!$Q40,"")</f>
        <v/>
      </c>
      <c r="HY25" s="68" t="str">
        <f>IF(HT25=1,Stats!$R40,"")</f>
        <v/>
      </c>
      <c r="HZ25" s="68" t="str">
        <f>IF(HT25=1,Stats!$S40,"")</f>
        <v/>
      </c>
      <c r="IA25" s="68">
        <f t="shared" si="90"/>
        <v>0</v>
      </c>
      <c r="IB25">
        <f t="shared" si="91"/>
        <v>0</v>
      </c>
      <c r="IC25" s="68">
        <f>IF(IB25=0,MAX(IC$2:IC24)+1,0)</f>
        <v>23</v>
      </c>
      <c r="ID25" s="5" t="str">
        <f t="shared" si="92"/>
        <v>Heavy missile weapons</v>
      </c>
      <c r="IE25" s="5" t="str">
        <f t="shared" si="93"/>
        <v>Heavy missile weapons</v>
      </c>
      <c r="IG25">
        <f t="shared" si="94"/>
        <v>23</v>
      </c>
      <c r="IH25" s="5" t="str">
        <f t="shared" si="95"/>
        <v>Heavy missile weapons</v>
      </c>
      <c r="II25" s="68">
        <f>COUNTIF(Builder!$K$21:$N$21,IH25)</f>
        <v>0</v>
      </c>
      <c r="IJ25" s="68" t="str">
        <f>IF(II25=1,Stats!$N40,"")</f>
        <v/>
      </c>
      <c r="IK25" s="68" t="str">
        <f>IF(II25=1,Stats!$O40,"")</f>
        <v/>
      </c>
      <c r="IL25" s="68" t="str">
        <f>IF(II25=1,Stats!$P40,"")</f>
        <v/>
      </c>
      <c r="IM25" s="68" t="str">
        <f>IF(II25=1,Stats!$Q40,"")</f>
        <v/>
      </c>
      <c r="IN25" s="68" t="str">
        <f>IF(II25=1,Stats!$R40,"")</f>
        <v/>
      </c>
      <c r="IO25" s="68" t="str">
        <f>IF(II25=1,Stats!$S40,"")</f>
        <v/>
      </c>
      <c r="IP25" s="68">
        <f t="shared" si="96"/>
        <v>0</v>
      </c>
      <c r="IQ25">
        <f t="shared" si="97"/>
        <v>0</v>
      </c>
      <c r="IR25" s="68">
        <f>IF(IQ25=0,MAX(IR$2:IR24)+1,0)</f>
        <v>23</v>
      </c>
      <c r="IS25" s="5" t="str">
        <f t="shared" si="98"/>
        <v>Heavy missile weapons</v>
      </c>
      <c r="IT25" s="5" t="str">
        <f t="shared" si="99"/>
        <v>Heavy missile weapons</v>
      </c>
      <c r="IV25">
        <f t="shared" si="100"/>
        <v>23</v>
      </c>
      <c r="IW25" s="5" t="str">
        <f t="shared" si="101"/>
        <v>Heavy missile weapons</v>
      </c>
      <c r="IX25" s="68">
        <f>COUNTIF(Builder!$K$22:$N$22,IW25)</f>
        <v>0</v>
      </c>
      <c r="IY25" s="68" t="str">
        <f>IF(IX25=1,Stats!$N40,"")</f>
        <v/>
      </c>
      <c r="IZ25" s="68" t="str">
        <f>IF(IX25=1,Stats!$O40,"")</f>
        <v/>
      </c>
      <c r="JA25" s="68" t="str">
        <f>IF(IX25=1,Stats!$P40,"")</f>
        <v/>
      </c>
      <c r="JB25" s="68" t="str">
        <f>IF(IX25=1,Stats!$Q40,"")</f>
        <v/>
      </c>
      <c r="JC25" s="68" t="str">
        <f>IF(IX25=1,Stats!$R40,"")</f>
        <v/>
      </c>
      <c r="JD25" s="68" t="str">
        <f>IF(IX25=1,Stats!$S40,"")</f>
        <v/>
      </c>
      <c r="JE25" s="68">
        <f t="shared" si="102"/>
        <v>0</v>
      </c>
      <c r="JF25">
        <f t="shared" si="103"/>
        <v>0</v>
      </c>
      <c r="JG25" s="68">
        <f>IF(JF25=0,MAX(JG$2:JG24)+1,0)</f>
        <v>23</v>
      </c>
      <c r="JH25" s="5" t="str">
        <f t="shared" si="104"/>
        <v>Heavy missile weapons</v>
      </c>
      <c r="JI25" s="5" t="str">
        <f t="shared" si="105"/>
        <v>Heavy missile weapons</v>
      </c>
      <c r="JK25">
        <f t="shared" si="106"/>
        <v>23</v>
      </c>
      <c r="JL25" s="5" t="str">
        <f t="shared" si="107"/>
        <v>Heavy missile weapons</v>
      </c>
      <c r="JM25" s="68">
        <f>COUNTIF(Builder!$K$23:$N$23,JL25)</f>
        <v>0</v>
      </c>
      <c r="JN25" s="68" t="str">
        <f>IF(JM25=1,Stats!$N40,"")</f>
        <v/>
      </c>
      <c r="JO25" s="68" t="str">
        <f>IF(JM25=1,Stats!$O40,"")</f>
        <v/>
      </c>
      <c r="JP25" s="68" t="str">
        <f>IF(JM25=1,Stats!$P40,"")</f>
        <v/>
      </c>
      <c r="JQ25" s="68" t="str">
        <f>IF(JM25=1,Stats!$Q40,"")</f>
        <v/>
      </c>
      <c r="JR25" s="68" t="str">
        <f>IF(JM25=1,Stats!$R40,"")</f>
        <v/>
      </c>
      <c r="JS25" s="68" t="str">
        <f>IF(JM25=1,Stats!$S40,"")</f>
        <v/>
      </c>
      <c r="JT25" s="68">
        <f t="shared" si="108"/>
        <v>0</v>
      </c>
      <c r="JU25">
        <f t="shared" si="109"/>
        <v>0</v>
      </c>
      <c r="JV25" s="68">
        <f>IF(JU25=0,MAX(JV$2:JV24)+1,0)</f>
        <v>23</v>
      </c>
      <c r="JW25" s="5" t="str">
        <f t="shared" si="110"/>
        <v>Heavy missile weapons</v>
      </c>
      <c r="JX25" s="5" t="str">
        <f t="shared" si="111"/>
        <v>Heavy missile weapons</v>
      </c>
      <c r="JZ25">
        <f t="shared" si="112"/>
        <v>23</v>
      </c>
      <c r="KA25" s="5" t="str">
        <f t="shared" si="113"/>
        <v>Heavy missile weapons</v>
      </c>
      <c r="KB25" s="68">
        <f>COUNTIF(Builder!$K$24:$N$24,KA25)</f>
        <v>0</v>
      </c>
      <c r="KC25" s="68" t="str">
        <f>IF(KB25=1,Stats!$N40,"")</f>
        <v/>
      </c>
      <c r="KD25" s="68" t="str">
        <f>IF(KB25=1,Stats!$O40,"")</f>
        <v/>
      </c>
      <c r="KE25" s="68" t="str">
        <f>IF(KB25=1,Stats!$P40,"")</f>
        <v/>
      </c>
      <c r="KF25" s="68" t="str">
        <f>IF(KB25=1,Stats!$Q40,"")</f>
        <v/>
      </c>
      <c r="KG25" s="68" t="str">
        <f>IF(KB25=1,Stats!$R40,"")</f>
        <v/>
      </c>
      <c r="KH25" s="68" t="str">
        <f>IF(KB25=1,Stats!$S40,"")</f>
        <v/>
      </c>
      <c r="KI25" s="68">
        <f t="shared" si="114"/>
        <v>0</v>
      </c>
      <c r="KJ25">
        <f t="shared" si="115"/>
        <v>0</v>
      </c>
      <c r="KK25" s="68">
        <f>IF(KJ25=0,MAX(KK$2:KK24)+1,0)</f>
        <v>23</v>
      </c>
      <c r="KL25" s="5" t="str">
        <f t="shared" si="116"/>
        <v>Heavy missile weapons</v>
      </c>
      <c r="KM25" s="5" t="str">
        <f t="shared" si="117"/>
        <v>Heavy missile weapons</v>
      </c>
      <c r="KO25">
        <f t="shared" si="118"/>
        <v>23</v>
      </c>
      <c r="KP25" s="5" t="str">
        <f t="shared" si="119"/>
        <v>Heavy missile weapons</v>
      </c>
      <c r="KQ25" s="68">
        <f>COUNTIF(Builder!$K$25:$N$25,KP25)</f>
        <v>0</v>
      </c>
      <c r="KR25" s="68" t="str">
        <f>IF(KQ25=1,Stats!$N40,"")</f>
        <v/>
      </c>
      <c r="KS25" s="68" t="str">
        <f>IF(KQ25=1,Stats!$O40,"")</f>
        <v/>
      </c>
      <c r="KT25" s="68" t="str">
        <f>IF(KQ25=1,Stats!$P40,"")</f>
        <v/>
      </c>
      <c r="KU25" s="68" t="str">
        <f>IF(KQ25=1,Stats!$Q40,"")</f>
        <v/>
      </c>
      <c r="KV25" s="68" t="str">
        <f>IF(KQ25=1,Stats!$R40,"")</f>
        <v/>
      </c>
      <c r="KW25" s="68" t="str">
        <f>IF(KQ25=1,Stats!$S40,"")</f>
        <v/>
      </c>
      <c r="KX25" s="68">
        <f t="shared" si="120"/>
        <v>0</v>
      </c>
      <c r="KY25">
        <f t="shared" si="121"/>
        <v>0</v>
      </c>
      <c r="KZ25" s="68">
        <f>IF(KY25=0,MAX(KZ$2:KZ24)+1,0)</f>
        <v>23</v>
      </c>
      <c r="LA25" s="5" t="str">
        <f t="shared" si="122"/>
        <v>Heavy missile weapons</v>
      </c>
      <c r="LB25" s="5" t="str">
        <f t="shared" si="123"/>
        <v>Heavy missile weapons</v>
      </c>
      <c r="LD25">
        <f t="shared" si="124"/>
        <v>23</v>
      </c>
      <c r="LE25" s="5" t="str">
        <f t="shared" si="125"/>
        <v>Heavy missile weapons</v>
      </c>
      <c r="LF25" s="68">
        <f>COUNTIF(Builder!$K$26:$N$26,LE25)</f>
        <v>0</v>
      </c>
      <c r="LG25" s="68" t="str">
        <f>IF(LF25=1,Stats!$N40,"")</f>
        <v/>
      </c>
      <c r="LH25" s="68" t="str">
        <f>IF(LF25=1,Stats!$O40,"")</f>
        <v/>
      </c>
      <c r="LI25" s="68" t="str">
        <f>IF(LF25=1,Stats!$P40,"")</f>
        <v/>
      </c>
      <c r="LJ25" s="68" t="str">
        <f>IF(LF25=1,Stats!$Q40,"")</f>
        <v/>
      </c>
      <c r="LK25" s="68" t="str">
        <f>IF(LF25=1,Stats!$R40,"")</f>
        <v/>
      </c>
      <c r="LL25" s="68" t="str">
        <f>IF(LF25=1,Stats!$S40,"")</f>
        <v/>
      </c>
      <c r="LM25" s="68">
        <f t="shared" si="126"/>
        <v>0</v>
      </c>
      <c r="LN25">
        <f t="shared" si="127"/>
        <v>0</v>
      </c>
      <c r="LO25" s="68">
        <f>IF(LN25=0,MAX(LO$2:LO24)+1,0)</f>
        <v>23</v>
      </c>
      <c r="LP25" s="5" t="str">
        <f t="shared" si="128"/>
        <v>Heavy missile weapons</v>
      </c>
      <c r="LQ25" s="5" t="str">
        <f t="shared" si="129"/>
        <v>Heavy missile weapons</v>
      </c>
      <c r="LS25">
        <f t="shared" si="130"/>
        <v>23</v>
      </c>
      <c r="LT25" s="5" t="str">
        <f t="shared" si="131"/>
        <v>Heavy missile weapons</v>
      </c>
      <c r="LU25" s="68">
        <f>COUNTIF(Builder!$K$27:$N$27,LT25)</f>
        <v>0</v>
      </c>
      <c r="LV25" s="68" t="str">
        <f>IF(LU25=1,Stats!$N40,"")</f>
        <v/>
      </c>
      <c r="LW25" s="68" t="str">
        <f>IF(LU25=1,Stats!$O40,"")</f>
        <v/>
      </c>
      <c r="LX25" s="68" t="str">
        <f>IF(LU25=1,Stats!$P40,"")</f>
        <v/>
      </c>
      <c r="LY25" s="68" t="str">
        <f>IF(LU25=1,Stats!$Q40,"")</f>
        <v/>
      </c>
      <c r="LZ25" s="68" t="str">
        <f>IF(LU25=1,Stats!$R40,"")</f>
        <v/>
      </c>
      <c r="MA25" s="68" t="str">
        <f>IF(LU25=1,Stats!$S40,"")</f>
        <v/>
      </c>
      <c r="MB25" s="68">
        <f t="shared" si="132"/>
        <v>0</v>
      </c>
      <c r="MC25">
        <f t="shared" si="133"/>
        <v>0</v>
      </c>
      <c r="MD25" s="68">
        <f>IF(MC25=0,MAX(MD$2:MD24)+1,0)</f>
        <v>23</v>
      </c>
      <c r="ME25" s="5" t="str">
        <f t="shared" si="134"/>
        <v>Heavy missile weapons</v>
      </c>
      <c r="MF25" s="5" t="str">
        <f t="shared" si="135"/>
        <v>Heavy missile weapons</v>
      </c>
      <c r="MH25">
        <f t="shared" si="136"/>
        <v>23</v>
      </c>
      <c r="MI25" s="5" t="str">
        <f t="shared" si="137"/>
        <v>Heavy missile weapons</v>
      </c>
      <c r="MJ25" s="68">
        <f>COUNTIF(Builder!$K$28:$N$28,MI25)</f>
        <v>0</v>
      </c>
      <c r="MK25" s="68" t="str">
        <f>IF(MJ25=1,Stats!$N40,"")</f>
        <v/>
      </c>
      <c r="ML25" s="68" t="str">
        <f>IF(MJ25=1,Stats!$O40,"")</f>
        <v/>
      </c>
      <c r="MM25" s="68" t="str">
        <f>IF(MJ25=1,Stats!$P40,"")</f>
        <v/>
      </c>
      <c r="MN25" s="68" t="str">
        <f>IF(MJ25=1,Stats!$Q40,"")</f>
        <v/>
      </c>
      <c r="MO25" s="68" t="str">
        <f>IF(MJ25=1,Stats!$R40,"")</f>
        <v/>
      </c>
      <c r="MP25" s="68" t="str">
        <f>IF(MJ25=1,Stats!$S40,"")</f>
        <v/>
      </c>
      <c r="MQ25" s="68">
        <f t="shared" si="138"/>
        <v>0</v>
      </c>
      <c r="MR25">
        <f t="shared" si="139"/>
        <v>0</v>
      </c>
      <c r="MS25" s="68">
        <f>IF(MR25=0,MAX(MS$2:MS24)+1,0)</f>
        <v>23</v>
      </c>
      <c r="MT25" s="5" t="str">
        <f t="shared" si="140"/>
        <v>Heavy missile weapons</v>
      </c>
      <c r="MU25" s="5" t="str">
        <f t="shared" si="141"/>
        <v>Heavy missile weapons</v>
      </c>
      <c r="MW25">
        <f t="shared" si="142"/>
        <v>23</v>
      </c>
      <c r="MX25" s="5" t="str">
        <f t="shared" si="143"/>
        <v>Heavy missile weapons</v>
      </c>
      <c r="MY25" s="68">
        <f>COUNTIF(Builder!$K$29:$N$29,MX25)</f>
        <v>0</v>
      </c>
      <c r="MZ25" s="68" t="str">
        <f>IF(MY25=1,Stats!$N40,"")</f>
        <v/>
      </c>
      <c r="NA25" s="68" t="str">
        <f>IF(MY25=1,Stats!$O40,"")</f>
        <v/>
      </c>
      <c r="NB25" s="68" t="str">
        <f>IF(MY25=1,Stats!$P40,"")</f>
        <v/>
      </c>
      <c r="NC25" s="68" t="str">
        <f>IF(MY25=1,Stats!$Q40,"")</f>
        <v/>
      </c>
      <c r="ND25" s="68" t="str">
        <f>IF(MY25=1,Stats!$R40,"")</f>
        <v/>
      </c>
      <c r="NE25" s="68" t="str">
        <f>IF(MY25=1,Stats!$S40,"")</f>
        <v/>
      </c>
      <c r="NF25" s="68">
        <f t="shared" si="144"/>
        <v>0</v>
      </c>
      <c r="NG25">
        <f t="shared" si="145"/>
        <v>0</v>
      </c>
      <c r="NH25" s="68">
        <f>IF(NG25=0,MAX(NH$2:NH24)+1,0)</f>
        <v>23</v>
      </c>
      <c r="NI25" s="5" t="str">
        <f t="shared" si="146"/>
        <v>Heavy missile weapons</v>
      </c>
      <c r="NJ25" s="5" t="str">
        <f t="shared" si="147"/>
        <v>Heavy missile weapons</v>
      </c>
    </row>
    <row r="26" spans="1:374" ht="15" x14ac:dyDescent="0.3">
      <c r="A26">
        <v>24</v>
      </c>
      <c r="B26" s="5" t="s">
        <v>212</v>
      </c>
      <c r="C26" s="68">
        <f>COUNTIF(Builder!$K$5:$N$5,B26)</f>
        <v>0</v>
      </c>
      <c r="D26" s="68" t="str">
        <f>IF(C26=1,Stats!$N41,"")</f>
        <v/>
      </c>
      <c r="E26" s="68" t="str">
        <f>IF(C26=1,Stats!$O41,"")</f>
        <v/>
      </c>
      <c r="F26" s="68" t="str">
        <f>IF(C26=1,Stats!$P41,"")</f>
        <v/>
      </c>
      <c r="G26" s="68" t="str">
        <f>IF(C26=1,Stats!$Q41,"")</f>
        <v/>
      </c>
      <c r="H26" s="68" t="str">
        <f>IF(C26=1,Stats!$R41,"")</f>
        <v/>
      </c>
      <c r="I26" s="68" t="str">
        <f>IF(C26=1,Stats!$S41,"")</f>
        <v/>
      </c>
      <c r="J26" s="68">
        <f t="shared" si="0"/>
        <v>0</v>
      </c>
      <c r="K26">
        <f t="shared" si="1"/>
        <v>0</v>
      </c>
      <c r="L26" s="68">
        <f>IF(K26=0,MAX($L$2:L25)+1,0)</f>
        <v>24</v>
      </c>
      <c r="M26" s="5" t="str">
        <f t="shared" si="2"/>
        <v>Highlanders</v>
      </c>
      <c r="N26" s="5" t="str">
        <f t="shared" si="3"/>
        <v>Highlanders</v>
      </c>
      <c r="O26" s="5"/>
      <c r="P26">
        <f t="shared" si="4"/>
        <v>24</v>
      </c>
      <c r="Q26" s="5" t="str">
        <f t="shared" si="5"/>
        <v>Highlanders</v>
      </c>
      <c r="R26" s="68">
        <f>COUNTIF(Builder!$K$6:$N$6,Q26)</f>
        <v>0</v>
      </c>
      <c r="S26" s="68" t="str">
        <f>IF(R26=1,Stats!$N41,"")</f>
        <v/>
      </c>
      <c r="T26" s="68" t="str">
        <f>IF(R26=1,Stats!$O41,"")</f>
        <v/>
      </c>
      <c r="U26" s="68" t="str">
        <f>IF(R26=1,Stats!$P41,"")</f>
        <v/>
      </c>
      <c r="V26" s="68" t="str">
        <f>IF(R26=1,Stats!$Q41,"")</f>
        <v/>
      </c>
      <c r="W26" s="68" t="str">
        <f>IF(R26=1,Stats!$R41,"")</f>
        <v/>
      </c>
      <c r="X26" s="68" t="str">
        <f>IF(R26=1,Stats!$S41,"")</f>
        <v/>
      </c>
      <c r="Y26" s="68">
        <f t="shared" si="6"/>
        <v>0</v>
      </c>
      <c r="Z26">
        <f t="shared" si="7"/>
        <v>0</v>
      </c>
      <c r="AA26" s="68">
        <f>IF(Z26=0,MAX($AA$2:AA25)+1,0)</f>
        <v>24</v>
      </c>
      <c r="AB26" s="5" t="str">
        <f t="shared" si="8"/>
        <v>Highlanders</v>
      </c>
      <c r="AC26" s="5" t="str">
        <f t="shared" si="9"/>
        <v>Highlanders</v>
      </c>
      <c r="AD26" s="5"/>
      <c r="AE26">
        <f t="shared" si="10"/>
        <v>24</v>
      </c>
      <c r="AF26" s="5" t="str">
        <f t="shared" si="11"/>
        <v>Highlanders</v>
      </c>
      <c r="AG26" s="68">
        <f>COUNTIF(Builder!$K$7:$N$7,AF26)</f>
        <v>0</v>
      </c>
      <c r="AH26" s="68" t="str">
        <f>IF(AG26=1,Stats!$N41,"")</f>
        <v/>
      </c>
      <c r="AI26" s="68" t="str">
        <f>IF(AG26=1,Stats!$O41,"")</f>
        <v/>
      </c>
      <c r="AJ26" s="68" t="str">
        <f>IF(AG26=1,Stats!$P41,"")</f>
        <v/>
      </c>
      <c r="AK26" s="68" t="str">
        <f>IF(AG26=1,Stats!$Q41,"")</f>
        <v/>
      </c>
      <c r="AL26" s="68" t="str">
        <f>IF(AG26=1,Stats!$R41,"")</f>
        <v/>
      </c>
      <c r="AM26" s="68" t="str">
        <f>IF(AG26=1,Stats!$S41,"")</f>
        <v/>
      </c>
      <c r="AN26" s="68">
        <f t="shared" si="12"/>
        <v>0</v>
      </c>
      <c r="AO26">
        <f t="shared" si="13"/>
        <v>0</v>
      </c>
      <c r="AP26" s="68">
        <f>IF(AO26=0,MAX($AP$2:AP25)+1,0)</f>
        <v>24</v>
      </c>
      <c r="AQ26" s="5" t="str">
        <f t="shared" si="14"/>
        <v>Highlanders</v>
      </c>
      <c r="AR26" s="5" t="str">
        <f t="shared" si="15"/>
        <v>Highlanders</v>
      </c>
      <c r="AS26" s="5"/>
      <c r="AT26">
        <f t="shared" si="16"/>
        <v>24</v>
      </c>
      <c r="AU26" s="5" t="str">
        <f t="shared" si="17"/>
        <v>Highlanders</v>
      </c>
      <c r="AV26" s="68">
        <f>COUNTIF(Builder!$K$8:$N$8,AU26)</f>
        <v>0</v>
      </c>
      <c r="AW26" s="68" t="str">
        <f>IF(AV26=1,Stats!$N41,"")</f>
        <v/>
      </c>
      <c r="AX26" s="68" t="str">
        <f>IF(AV26=1,Stats!$O41,"")</f>
        <v/>
      </c>
      <c r="AY26" s="68" t="str">
        <f>IF(AV26=1,Stats!$P41,"")</f>
        <v/>
      </c>
      <c r="AZ26" s="68" t="str">
        <f>IF(AV26=1,Stats!$Q41,"")</f>
        <v/>
      </c>
      <c r="BA26" s="68" t="str">
        <f>IF(AV26=1,Stats!$R41,"")</f>
        <v/>
      </c>
      <c r="BB26" s="68" t="str">
        <f>IF(AV26=1,Stats!$S41,"")</f>
        <v/>
      </c>
      <c r="BC26" s="68">
        <f t="shared" si="18"/>
        <v>0</v>
      </c>
      <c r="BD26">
        <f t="shared" si="19"/>
        <v>0</v>
      </c>
      <c r="BE26" s="68">
        <f>IF(BD26=0,MAX($BE$2:BE25)+1,0)</f>
        <v>24</v>
      </c>
      <c r="BF26" s="5" t="str">
        <f t="shared" si="20"/>
        <v>Highlanders</v>
      </c>
      <c r="BG26" s="5" t="str">
        <f t="shared" si="21"/>
        <v>Highlanders</v>
      </c>
      <c r="BH26" s="5"/>
      <c r="BI26">
        <f t="shared" si="148"/>
        <v>24</v>
      </c>
      <c r="BJ26" s="5" t="str">
        <f t="shared" si="149"/>
        <v>Highlanders</v>
      </c>
      <c r="BK26" s="68">
        <f>COUNTIF(Builder!$K$9:$N$9,BJ26)</f>
        <v>0</v>
      </c>
      <c r="BL26" s="68" t="str">
        <f>IF(BK26=1,Stats!$N41,"")</f>
        <v/>
      </c>
      <c r="BM26" s="68" t="str">
        <f>IF(BK26=1,Stats!$O41,"")</f>
        <v/>
      </c>
      <c r="BN26" s="68" t="str">
        <f>IF(BK26=1,Stats!$P41,"")</f>
        <v/>
      </c>
      <c r="BO26" s="68" t="str">
        <f>IF(BK26=1,Stats!$Q41,"")</f>
        <v/>
      </c>
      <c r="BP26" s="68" t="str">
        <f>IF(BK26=1,Stats!$R41,"")</f>
        <v/>
      </c>
      <c r="BQ26" s="68" t="str">
        <f>IF(BK26=1,Stats!$S41,"")</f>
        <v/>
      </c>
      <c r="BR26" s="68">
        <f t="shared" si="150"/>
        <v>0</v>
      </c>
      <c r="BS26">
        <f t="shared" si="151"/>
        <v>0</v>
      </c>
      <c r="BT26" s="68">
        <f>IF(BS26=0,MAX(BT$2:BT25)+1,0)</f>
        <v>24</v>
      </c>
      <c r="BU26" s="5" t="str">
        <f t="shared" si="152"/>
        <v>Highlanders</v>
      </c>
      <c r="BV26" s="5" t="str">
        <f t="shared" si="27"/>
        <v>Highlanders</v>
      </c>
      <c r="BX26">
        <f t="shared" si="153"/>
        <v>24</v>
      </c>
      <c r="BY26" s="5" t="str">
        <f t="shared" si="154"/>
        <v>Highlanders</v>
      </c>
      <c r="BZ26" s="68">
        <f>COUNTIF(Builder!$K$10:$N$10,BY26)</f>
        <v>0</v>
      </c>
      <c r="CA26" s="68" t="str">
        <f>IF(BZ26=1,Stats!$N41,"")</f>
        <v/>
      </c>
      <c r="CB26" s="68" t="str">
        <f>IF(BZ26=1,Stats!$O41,"")</f>
        <v/>
      </c>
      <c r="CC26" s="68" t="str">
        <f>IF(BZ26=1,Stats!$P41,"")</f>
        <v/>
      </c>
      <c r="CD26" s="68" t="str">
        <f>IF(BZ26=1,Stats!$Q41,"")</f>
        <v/>
      </c>
      <c r="CE26" s="68" t="str">
        <f>IF(BZ26=1,Stats!$R41,"")</f>
        <v/>
      </c>
      <c r="CF26" s="68" t="str">
        <f>IF(BZ26=1,Stats!$S41,"")</f>
        <v/>
      </c>
      <c r="CG26" s="68">
        <f t="shared" si="155"/>
        <v>0</v>
      </c>
      <c r="CH26">
        <f t="shared" si="156"/>
        <v>0</v>
      </c>
      <c r="CI26" s="68">
        <f>IF(CH26=0,MAX(CI$2:CI25)+1,0)</f>
        <v>24</v>
      </c>
      <c r="CJ26" s="5" t="str">
        <f t="shared" si="157"/>
        <v>Highlanders</v>
      </c>
      <c r="CK26" s="5" t="str">
        <f t="shared" si="33"/>
        <v>Highlanders</v>
      </c>
      <c r="CM26">
        <f t="shared" si="34"/>
        <v>24</v>
      </c>
      <c r="CN26" s="5" t="str">
        <f t="shared" si="35"/>
        <v>Highlanders</v>
      </c>
      <c r="CO26" s="68">
        <f>COUNTIF(Builder!$K$11:$N$11,CN26)</f>
        <v>0</v>
      </c>
      <c r="CP26" s="68" t="str">
        <f>IF(CO26=1,Stats!$N41,"")</f>
        <v/>
      </c>
      <c r="CQ26" s="68" t="str">
        <f>IF(CO26=1,Stats!$O41,"")</f>
        <v/>
      </c>
      <c r="CR26" s="68" t="str">
        <f>IF(CO26=1,Stats!$P41,"")</f>
        <v/>
      </c>
      <c r="CS26" s="68" t="str">
        <f>IF(CO26=1,Stats!$Q41,"")</f>
        <v/>
      </c>
      <c r="CT26" s="68" t="str">
        <f>IF(CO26=1,Stats!$R41,"")</f>
        <v/>
      </c>
      <c r="CU26" s="68" t="str">
        <f>IF(CO26=1,Stats!$S41,"")</f>
        <v/>
      </c>
      <c r="CV26" s="68">
        <f t="shared" si="36"/>
        <v>0</v>
      </c>
      <c r="CW26">
        <f t="shared" si="37"/>
        <v>0</v>
      </c>
      <c r="CX26" s="68">
        <f>IF(CW26=0,MAX(CX$2:CX25)+1,0)</f>
        <v>24</v>
      </c>
      <c r="CY26" s="5" t="str">
        <f t="shared" si="38"/>
        <v>Highlanders</v>
      </c>
      <c r="CZ26" s="5" t="str">
        <f t="shared" si="39"/>
        <v>Highlanders</v>
      </c>
      <c r="DB26">
        <f t="shared" si="158"/>
        <v>24</v>
      </c>
      <c r="DC26" s="5" t="str">
        <f t="shared" si="159"/>
        <v>Highlanders</v>
      </c>
      <c r="DD26" s="68">
        <f>COUNTIF(Builder!$K$12:$N$12,DC26)</f>
        <v>0</v>
      </c>
      <c r="DE26" s="68" t="str">
        <f>IF(DD26=1,Stats!$N41,"")</f>
        <v/>
      </c>
      <c r="DF26" s="68" t="str">
        <f>IF(DD26=1,Stats!$O41,"")</f>
        <v/>
      </c>
      <c r="DG26" s="68" t="str">
        <f>IF(DD26=1,Stats!$P41,"")</f>
        <v/>
      </c>
      <c r="DH26" s="68" t="str">
        <f>IF(DD26=1,Stats!$Q41,"")</f>
        <v/>
      </c>
      <c r="DI26" s="68" t="str">
        <f>IF(DD26=1,Stats!$R41,"")</f>
        <v/>
      </c>
      <c r="DJ26" s="68" t="str">
        <f>IF(DD26=1,Stats!$S41,"")</f>
        <v/>
      </c>
      <c r="DK26" s="68">
        <f t="shared" si="160"/>
        <v>0</v>
      </c>
      <c r="DL26">
        <f t="shared" si="161"/>
        <v>0</v>
      </c>
      <c r="DM26" s="68">
        <f>IF(DL26=0,MAX(DM$2:DM25)+1,0)</f>
        <v>24</v>
      </c>
      <c r="DN26" s="5" t="str">
        <f t="shared" si="162"/>
        <v>Highlanders</v>
      </c>
      <c r="DO26" s="5" t="str">
        <f t="shared" si="45"/>
        <v>Highlanders</v>
      </c>
      <c r="DQ26">
        <f t="shared" si="163"/>
        <v>24</v>
      </c>
      <c r="DR26" s="5" t="str">
        <f t="shared" si="164"/>
        <v>Highlanders</v>
      </c>
      <c r="DS26" s="68">
        <f>COUNTIF(Builder!$K$13:$N$13,DR26)</f>
        <v>0</v>
      </c>
      <c r="DT26" s="68" t="str">
        <f>IF(DS26=1,Stats!$N41,"")</f>
        <v/>
      </c>
      <c r="DU26" s="68" t="str">
        <f>IF(DS26=1,Stats!$O41,"")</f>
        <v/>
      </c>
      <c r="DV26" s="68" t="str">
        <f>IF(DS26=1,Stats!$P41,"")</f>
        <v/>
      </c>
      <c r="DW26" s="68" t="str">
        <f>IF(DS26=1,Stats!$Q41,"")</f>
        <v/>
      </c>
      <c r="DX26" s="68" t="str">
        <f>IF(DS26=1,Stats!$R41,"")</f>
        <v/>
      </c>
      <c r="DY26" s="68" t="str">
        <f>IF(DS26=1,Stats!$S41,"")</f>
        <v/>
      </c>
      <c r="DZ26" s="68">
        <f t="shared" si="165"/>
        <v>0</v>
      </c>
      <c r="EA26">
        <f t="shared" si="166"/>
        <v>0</v>
      </c>
      <c r="EB26" s="68">
        <f>IF(EA26=0,MAX(EB$2:EB25)+1,0)</f>
        <v>24</v>
      </c>
      <c r="EC26" s="5" t="str">
        <f t="shared" si="167"/>
        <v>Highlanders</v>
      </c>
      <c r="ED26" s="5" t="str">
        <f t="shared" si="51"/>
        <v>Highlanders</v>
      </c>
      <c r="EF26">
        <f t="shared" si="52"/>
        <v>24</v>
      </c>
      <c r="EG26" s="5" t="str">
        <f t="shared" si="53"/>
        <v>Highlanders</v>
      </c>
      <c r="EH26" s="68">
        <f>COUNTIF(Builder!$K$14:$N$14,EG26)</f>
        <v>0</v>
      </c>
      <c r="EI26" s="68" t="str">
        <f>IF(EH26=1,Stats!$N41,"")</f>
        <v/>
      </c>
      <c r="EJ26" s="68" t="str">
        <f>IF(EH26=1,Stats!$O41,"")</f>
        <v/>
      </c>
      <c r="EK26" s="68" t="str">
        <f>IF(EH26=1,Stats!$P41,"")</f>
        <v/>
      </c>
      <c r="EL26" s="68" t="str">
        <f>IF(EH26=1,Stats!$Q41,"")</f>
        <v/>
      </c>
      <c r="EM26" s="68" t="str">
        <f>IF(EH26=1,Stats!$R41,"")</f>
        <v/>
      </c>
      <c r="EN26" s="68" t="str">
        <f>IF(EH26=1,Stats!$S41,"")</f>
        <v/>
      </c>
      <c r="EO26" s="68">
        <f t="shared" si="54"/>
        <v>0</v>
      </c>
      <c r="EP26">
        <f t="shared" si="55"/>
        <v>0</v>
      </c>
      <c r="EQ26" s="68">
        <f>IF(EP26=0,MAX(EQ$2:EQ25)+1,0)</f>
        <v>24</v>
      </c>
      <c r="ER26" s="5" t="str">
        <f t="shared" si="56"/>
        <v>Highlanders</v>
      </c>
      <c r="ES26" s="5" t="str">
        <f t="shared" si="57"/>
        <v>Highlanders</v>
      </c>
      <c r="EU26">
        <f t="shared" si="58"/>
        <v>24</v>
      </c>
      <c r="EV26" s="5" t="str">
        <f t="shared" si="59"/>
        <v>Highlanders</v>
      </c>
      <c r="EW26" s="68">
        <f>COUNTIF(Builder!$K$15:$N$15,EV26)</f>
        <v>0</v>
      </c>
      <c r="EX26" s="68" t="str">
        <f>IF(EW26=1,Stats!$N41,"")</f>
        <v/>
      </c>
      <c r="EY26" s="68" t="str">
        <f>IF(EW26=1,Stats!$O41,"")</f>
        <v/>
      </c>
      <c r="EZ26" s="68" t="str">
        <f>IF(EW26=1,Stats!$P41,"")</f>
        <v/>
      </c>
      <c r="FA26" s="68" t="str">
        <f>IF(EW26=1,Stats!$Q41,"")</f>
        <v/>
      </c>
      <c r="FB26" s="68" t="str">
        <f>IF(EW26=1,Stats!$R41,"")</f>
        <v/>
      </c>
      <c r="FC26" s="68" t="str">
        <f>IF(EW26=1,Stats!$S41,"")</f>
        <v/>
      </c>
      <c r="FD26" s="68">
        <f t="shared" si="60"/>
        <v>0</v>
      </c>
      <c r="FE26">
        <f t="shared" si="61"/>
        <v>0</v>
      </c>
      <c r="FF26" s="68">
        <f>IF(FE26=0,MAX(FF$2:FF25)+1,0)</f>
        <v>24</v>
      </c>
      <c r="FG26" s="5" t="str">
        <f t="shared" si="62"/>
        <v>Highlanders</v>
      </c>
      <c r="FH26" s="5" t="str">
        <f t="shared" si="63"/>
        <v>Highlanders</v>
      </c>
      <c r="FJ26">
        <f t="shared" si="64"/>
        <v>24</v>
      </c>
      <c r="FK26" s="5" t="str">
        <f t="shared" si="65"/>
        <v>Highlanders</v>
      </c>
      <c r="FL26" s="68">
        <f>COUNTIF(Builder!$K$16:$N$16,FK26)</f>
        <v>0</v>
      </c>
      <c r="FM26" s="68" t="str">
        <f>IF(FL26=1,Stats!$N41,"")</f>
        <v/>
      </c>
      <c r="FN26" s="68" t="str">
        <f>IF(FL26=1,Stats!$O41,"")</f>
        <v/>
      </c>
      <c r="FO26" s="68" t="str">
        <f>IF(FL26=1,Stats!$P41,"")</f>
        <v/>
      </c>
      <c r="FP26" s="68" t="str">
        <f>IF(FL26=1,Stats!$Q41,"")</f>
        <v/>
      </c>
      <c r="FQ26" s="68" t="str">
        <f>IF(FL26=1,Stats!$R41,"")</f>
        <v/>
      </c>
      <c r="FR26" s="68" t="str">
        <f>IF(FL26=1,Stats!$S41,"")</f>
        <v/>
      </c>
      <c r="FS26" s="68">
        <f t="shared" si="66"/>
        <v>0</v>
      </c>
      <c r="FT26">
        <f t="shared" si="67"/>
        <v>0</v>
      </c>
      <c r="FU26" s="68">
        <f>IF(FT26=0,MAX(FU$2:FU25)+1,0)</f>
        <v>24</v>
      </c>
      <c r="FV26" s="5" t="str">
        <f t="shared" si="68"/>
        <v>Highlanders</v>
      </c>
      <c r="FW26" s="5" t="str">
        <f t="shared" si="69"/>
        <v>Highlanders</v>
      </c>
      <c r="FY26">
        <f t="shared" si="168"/>
        <v>24</v>
      </c>
      <c r="FZ26" s="5" t="str">
        <f t="shared" si="169"/>
        <v>Highlanders</v>
      </c>
      <c r="GA26" s="68">
        <f>COUNTIF(Builder!$K$17:$N$17,FZ26)</f>
        <v>0</v>
      </c>
      <c r="GB26" s="68" t="str">
        <f>IF(GA26=1,Stats!$N41,"")</f>
        <v/>
      </c>
      <c r="GC26" s="68" t="str">
        <f>IF(GA26=1,Stats!$O41,"")</f>
        <v/>
      </c>
      <c r="GD26" s="68" t="str">
        <f>IF(GA26=1,Stats!$P41,"")</f>
        <v/>
      </c>
      <c r="GE26" s="68" t="str">
        <f>IF(GA26=1,Stats!$Q41,"")</f>
        <v/>
      </c>
      <c r="GF26" s="68" t="str">
        <f>IF(GA26=1,Stats!$R41,"")</f>
        <v/>
      </c>
      <c r="GG26" s="68" t="str">
        <f>IF(GA26=1,Stats!$S41,"")</f>
        <v/>
      </c>
      <c r="GH26" s="68">
        <f t="shared" si="170"/>
        <v>0</v>
      </c>
      <c r="GI26">
        <f t="shared" si="171"/>
        <v>0</v>
      </c>
      <c r="GJ26" s="68">
        <f>IF(GI26=0,MAX(GJ$2:GJ25)+1,0)</f>
        <v>24</v>
      </c>
      <c r="GK26" s="5" t="str">
        <f t="shared" si="172"/>
        <v>Highlanders</v>
      </c>
      <c r="GL26" s="5" t="str">
        <f t="shared" si="75"/>
        <v>Highlanders</v>
      </c>
      <c r="GN26">
        <f t="shared" si="76"/>
        <v>24</v>
      </c>
      <c r="GO26" s="5" t="str">
        <f t="shared" si="77"/>
        <v>Highlanders</v>
      </c>
      <c r="GP26" s="68">
        <f>COUNTIF(Builder!$K$18:$N$18,GO26)</f>
        <v>0</v>
      </c>
      <c r="GQ26" s="68" t="str">
        <f>IF(GP26=1,Stats!$N41,"")</f>
        <v/>
      </c>
      <c r="GR26" s="68" t="str">
        <f>IF(GP26=1,Stats!$O41,"")</f>
        <v/>
      </c>
      <c r="GS26" s="68" t="str">
        <f>IF(GP26=1,Stats!$P41,"")</f>
        <v/>
      </c>
      <c r="GT26" s="68" t="str">
        <f>IF(GP26=1,Stats!$Q41,"")</f>
        <v/>
      </c>
      <c r="GU26" s="68" t="str">
        <f>IF(GP26=1,Stats!$R41,"")</f>
        <v/>
      </c>
      <c r="GV26" s="68" t="str">
        <f>IF(GP26=1,Stats!$S41,"")</f>
        <v/>
      </c>
      <c r="GW26" s="68">
        <f t="shared" si="78"/>
        <v>0</v>
      </c>
      <c r="GX26">
        <f t="shared" si="79"/>
        <v>0</v>
      </c>
      <c r="GY26" s="68">
        <f>IF(GX26=0,MAX(GY$2:GY25)+1,0)</f>
        <v>24</v>
      </c>
      <c r="GZ26" s="5" t="str">
        <f t="shared" si="80"/>
        <v>Highlanders</v>
      </c>
      <c r="HA26" s="5" t="str">
        <f t="shared" si="81"/>
        <v>Highlanders</v>
      </c>
      <c r="HC26">
        <f t="shared" si="82"/>
        <v>24</v>
      </c>
      <c r="HD26" s="5" t="str">
        <f t="shared" si="83"/>
        <v>Highlanders</v>
      </c>
      <c r="HE26" s="68">
        <f>COUNTIF(Builder!$K$19:$N$19,HD26)</f>
        <v>0</v>
      </c>
      <c r="HF26" s="68" t="str">
        <f>IF(HE26=1,Stats!$N41,"")</f>
        <v/>
      </c>
      <c r="HG26" s="68" t="str">
        <f>IF(HE26=1,Stats!$O41,"")</f>
        <v/>
      </c>
      <c r="HH26" s="68" t="str">
        <f>IF(HE26=1,Stats!$P41,"")</f>
        <v/>
      </c>
      <c r="HI26" s="68" t="str">
        <f>IF(HE26=1,Stats!$Q41,"")</f>
        <v/>
      </c>
      <c r="HJ26" s="68" t="str">
        <f>IF(HE26=1,Stats!$R41,"")</f>
        <v/>
      </c>
      <c r="HK26" s="68" t="str">
        <f>IF(HE26=1,Stats!$S41,"")</f>
        <v/>
      </c>
      <c r="HL26" s="68">
        <f t="shared" si="84"/>
        <v>0</v>
      </c>
      <c r="HM26">
        <f t="shared" si="85"/>
        <v>0</v>
      </c>
      <c r="HN26" s="68">
        <f>IF(HM26=0,MAX(HN$2:HN25)+1,0)</f>
        <v>24</v>
      </c>
      <c r="HO26" s="5" t="str">
        <f t="shared" si="86"/>
        <v>Highlanders</v>
      </c>
      <c r="HP26" s="5" t="str">
        <f t="shared" si="87"/>
        <v>Highlanders</v>
      </c>
      <c r="HR26">
        <f t="shared" si="88"/>
        <v>24</v>
      </c>
      <c r="HS26" s="5" t="str">
        <f t="shared" si="89"/>
        <v>Highlanders</v>
      </c>
      <c r="HT26" s="68">
        <f>COUNTIF(Builder!$K$20:$N$20,HS26)</f>
        <v>0</v>
      </c>
      <c r="HU26" s="68" t="str">
        <f>IF(HT26=1,Stats!$N41,"")</f>
        <v/>
      </c>
      <c r="HV26" s="68" t="str">
        <f>IF(HT26=1,Stats!$O41,"")</f>
        <v/>
      </c>
      <c r="HW26" s="68" t="str">
        <f>IF(HT26=1,Stats!$P41,"")</f>
        <v/>
      </c>
      <c r="HX26" s="68" t="str">
        <f>IF(HT26=1,Stats!$Q41,"")</f>
        <v/>
      </c>
      <c r="HY26" s="68" t="str">
        <f>IF(HT26=1,Stats!$R41,"")</f>
        <v/>
      </c>
      <c r="HZ26" s="68" t="str">
        <f>IF(HT26=1,Stats!$S41,"")</f>
        <v/>
      </c>
      <c r="IA26" s="68">
        <f t="shared" si="90"/>
        <v>0</v>
      </c>
      <c r="IB26">
        <f t="shared" si="91"/>
        <v>0</v>
      </c>
      <c r="IC26" s="68">
        <f>IF(IB26=0,MAX(IC$2:IC25)+1,0)</f>
        <v>24</v>
      </c>
      <c r="ID26" s="5" t="str">
        <f t="shared" si="92"/>
        <v>Highlanders</v>
      </c>
      <c r="IE26" s="5" t="str">
        <f t="shared" si="93"/>
        <v>Highlanders</v>
      </c>
      <c r="IG26">
        <f t="shared" si="94"/>
        <v>24</v>
      </c>
      <c r="IH26" s="5" t="str">
        <f t="shared" si="95"/>
        <v>Highlanders</v>
      </c>
      <c r="II26" s="68">
        <f>COUNTIF(Builder!$K$21:$N$21,IH26)</f>
        <v>0</v>
      </c>
      <c r="IJ26" s="68" t="str">
        <f>IF(II26=1,Stats!$N41,"")</f>
        <v/>
      </c>
      <c r="IK26" s="68" t="str">
        <f>IF(II26=1,Stats!$O41,"")</f>
        <v/>
      </c>
      <c r="IL26" s="68" t="str">
        <f>IF(II26=1,Stats!$P41,"")</f>
        <v/>
      </c>
      <c r="IM26" s="68" t="str">
        <f>IF(II26=1,Stats!$Q41,"")</f>
        <v/>
      </c>
      <c r="IN26" s="68" t="str">
        <f>IF(II26=1,Stats!$R41,"")</f>
        <v/>
      </c>
      <c r="IO26" s="68" t="str">
        <f>IF(II26=1,Stats!$S41,"")</f>
        <v/>
      </c>
      <c r="IP26" s="68">
        <f t="shared" si="96"/>
        <v>0</v>
      </c>
      <c r="IQ26">
        <f t="shared" si="97"/>
        <v>0</v>
      </c>
      <c r="IR26" s="68">
        <f>IF(IQ26=0,MAX(IR$2:IR25)+1,0)</f>
        <v>24</v>
      </c>
      <c r="IS26" s="5" t="str">
        <f t="shared" si="98"/>
        <v>Highlanders</v>
      </c>
      <c r="IT26" s="5" t="str">
        <f t="shared" si="99"/>
        <v>Highlanders</v>
      </c>
      <c r="IV26">
        <f t="shared" si="100"/>
        <v>24</v>
      </c>
      <c r="IW26" s="5" t="str">
        <f t="shared" si="101"/>
        <v>Highlanders</v>
      </c>
      <c r="IX26" s="68">
        <f>COUNTIF(Builder!$K$22:$N$22,IW26)</f>
        <v>0</v>
      </c>
      <c r="IY26" s="68" t="str">
        <f>IF(IX26=1,Stats!$N41,"")</f>
        <v/>
      </c>
      <c r="IZ26" s="68" t="str">
        <f>IF(IX26=1,Stats!$O41,"")</f>
        <v/>
      </c>
      <c r="JA26" s="68" t="str">
        <f>IF(IX26=1,Stats!$P41,"")</f>
        <v/>
      </c>
      <c r="JB26" s="68" t="str">
        <f>IF(IX26=1,Stats!$Q41,"")</f>
        <v/>
      </c>
      <c r="JC26" s="68" t="str">
        <f>IF(IX26=1,Stats!$R41,"")</f>
        <v/>
      </c>
      <c r="JD26" s="68" t="str">
        <f>IF(IX26=1,Stats!$S41,"")</f>
        <v/>
      </c>
      <c r="JE26" s="68">
        <f t="shared" si="102"/>
        <v>0</v>
      </c>
      <c r="JF26">
        <f t="shared" si="103"/>
        <v>0</v>
      </c>
      <c r="JG26" s="68">
        <f>IF(JF26=0,MAX(JG$2:JG25)+1,0)</f>
        <v>24</v>
      </c>
      <c r="JH26" s="5" t="str">
        <f t="shared" si="104"/>
        <v>Highlanders</v>
      </c>
      <c r="JI26" s="5" t="str">
        <f t="shared" si="105"/>
        <v>Highlanders</v>
      </c>
      <c r="JK26">
        <f t="shared" si="106"/>
        <v>24</v>
      </c>
      <c r="JL26" s="5" t="str">
        <f t="shared" si="107"/>
        <v>Highlanders</v>
      </c>
      <c r="JM26" s="68">
        <f>COUNTIF(Builder!$K$23:$N$23,JL26)</f>
        <v>0</v>
      </c>
      <c r="JN26" s="68" t="str">
        <f>IF(JM26=1,Stats!$N41,"")</f>
        <v/>
      </c>
      <c r="JO26" s="68" t="str">
        <f>IF(JM26=1,Stats!$O41,"")</f>
        <v/>
      </c>
      <c r="JP26" s="68" t="str">
        <f>IF(JM26=1,Stats!$P41,"")</f>
        <v/>
      </c>
      <c r="JQ26" s="68" t="str">
        <f>IF(JM26=1,Stats!$Q41,"")</f>
        <v/>
      </c>
      <c r="JR26" s="68" t="str">
        <f>IF(JM26=1,Stats!$R41,"")</f>
        <v/>
      </c>
      <c r="JS26" s="68" t="str">
        <f>IF(JM26=1,Stats!$S41,"")</f>
        <v/>
      </c>
      <c r="JT26" s="68">
        <f t="shared" si="108"/>
        <v>0</v>
      </c>
      <c r="JU26">
        <f t="shared" si="109"/>
        <v>0</v>
      </c>
      <c r="JV26" s="68">
        <f>IF(JU26=0,MAX(JV$2:JV25)+1,0)</f>
        <v>24</v>
      </c>
      <c r="JW26" s="5" t="str">
        <f t="shared" si="110"/>
        <v>Highlanders</v>
      </c>
      <c r="JX26" s="5" t="str">
        <f t="shared" si="111"/>
        <v>Highlanders</v>
      </c>
      <c r="JZ26">
        <f t="shared" si="112"/>
        <v>24</v>
      </c>
      <c r="KA26" s="5" t="str">
        <f t="shared" si="113"/>
        <v>Highlanders</v>
      </c>
      <c r="KB26" s="68">
        <f>COUNTIF(Builder!$K$24:$N$24,KA26)</f>
        <v>0</v>
      </c>
      <c r="KC26" s="68" t="str">
        <f>IF(KB26=1,Stats!$N41,"")</f>
        <v/>
      </c>
      <c r="KD26" s="68" t="str">
        <f>IF(KB26=1,Stats!$O41,"")</f>
        <v/>
      </c>
      <c r="KE26" s="68" t="str">
        <f>IF(KB26=1,Stats!$P41,"")</f>
        <v/>
      </c>
      <c r="KF26" s="68" t="str">
        <f>IF(KB26=1,Stats!$Q41,"")</f>
        <v/>
      </c>
      <c r="KG26" s="68" t="str">
        <f>IF(KB26=1,Stats!$R41,"")</f>
        <v/>
      </c>
      <c r="KH26" s="68" t="str">
        <f>IF(KB26=1,Stats!$S41,"")</f>
        <v/>
      </c>
      <c r="KI26" s="68">
        <f t="shared" si="114"/>
        <v>0</v>
      </c>
      <c r="KJ26">
        <f t="shared" si="115"/>
        <v>0</v>
      </c>
      <c r="KK26" s="68">
        <f>IF(KJ26=0,MAX(KK$2:KK25)+1,0)</f>
        <v>24</v>
      </c>
      <c r="KL26" s="5" t="str">
        <f t="shared" si="116"/>
        <v>Highlanders</v>
      </c>
      <c r="KM26" s="5" t="str">
        <f t="shared" si="117"/>
        <v>Highlanders</v>
      </c>
      <c r="KO26">
        <f t="shared" si="118"/>
        <v>24</v>
      </c>
      <c r="KP26" s="5" t="str">
        <f t="shared" si="119"/>
        <v>Highlanders</v>
      </c>
      <c r="KQ26" s="68">
        <f>COUNTIF(Builder!$K$25:$N$25,KP26)</f>
        <v>0</v>
      </c>
      <c r="KR26" s="68" t="str">
        <f>IF(KQ26=1,Stats!$N41,"")</f>
        <v/>
      </c>
      <c r="KS26" s="68" t="str">
        <f>IF(KQ26=1,Stats!$O41,"")</f>
        <v/>
      </c>
      <c r="KT26" s="68" t="str">
        <f>IF(KQ26=1,Stats!$P41,"")</f>
        <v/>
      </c>
      <c r="KU26" s="68" t="str">
        <f>IF(KQ26=1,Stats!$Q41,"")</f>
        <v/>
      </c>
      <c r="KV26" s="68" t="str">
        <f>IF(KQ26=1,Stats!$R41,"")</f>
        <v/>
      </c>
      <c r="KW26" s="68" t="str">
        <f>IF(KQ26=1,Stats!$S41,"")</f>
        <v/>
      </c>
      <c r="KX26" s="68">
        <f t="shared" si="120"/>
        <v>0</v>
      </c>
      <c r="KY26">
        <f t="shared" si="121"/>
        <v>0</v>
      </c>
      <c r="KZ26" s="68">
        <f>IF(KY26=0,MAX(KZ$2:KZ25)+1,0)</f>
        <v>24</v>
      </c>
      <c r="LA26" s="5" t="str">
        <f t="shared" si="122"/>
        <v>Highlanders</v>
      </c>
      <c r="LB26" s="5" t="str">
        <f t="shared" si="123"/>
        <v>Highlanders</v>
      </c>
      <c r="LD26">
        <f t="shared" si="124"/>
        <v>24</v>
      </c>
      <c r="LE26" s="5" t="str">
        <f t="shared" si="125"/>
        <v>Highlanders</v>
      </c>
      <c r="LF26" s="68">
        <f>COUNTIF(Builder!$K$26:$N$26,LE26)</f>
        <v>0</v>
      </c>
      <c r="LG26" s="68" t="str">
        <f>IF(LF26=1,Stats!$N41,"")</f>
        <v/>
      </c>
      <c r="LH26" s="68" t="str">
        <f>IF(LF26=1,Stats!$O41,"")</f>
        <v/>
      </c>
      <c r="LI26" s="68" t="str">
        <f>IF(LF26=1,Stats!$P41,"")</f>
        <v/>
      </c>
      <c r="LJ26" s="68" t="str">
        <f>IF(LF26=1,Stats!$Q41,"")</f>
        <v/>
      </c>
      <c r="LK26" s="68" t="str">
        <f>IF(LF26=1,Stats!$R41,"")</f>
        <v/>
      </c>
      <c r="LL26" s="68" t="str">
        <f>IF(LF26=1,Stats!$S41,"")</f>
        <v/>
      </c>
      <c r="LM26" s="68">
        <f t="shared" si="126"/>
        <v>0</v>
      </c>
      <c r="LN26">
        <f t="shared" si="127"/>
        <v>0</v>
      </c>
      <c r="LO26" s="68">
        <f>IF(LN26=0,MAX(LO$2:LO25)+1,0)</f>
        <v>24</v>
      </c>
      <c r="LP26" s="5" t="str">
        <f t="shared" si="128"/>
        <v>Highlanders</v>
      </c>
      <c r="LQ26" s="5" t="str">
        <f t="shared" si="129"/>
        <v>Highlanders</v>
      </c>
      <c r="LS26">
        <f t="shared" si="130"/>
        <v>24</v>
      </c>
      <c r="LT26" s="5" t="str">
        <f t="shared" si="131"/>
        <v>Highlanders</v>
      </c>
      <c r="LU26" s="68">
        <f>COUNTIF(Builder!$K$27:$N$27,LT26)</f>
        <v>0</v>
      </c>
      <c r="LV26" s="68" t="str">
        <f>IF(LU26=1,Stats!$N41,"")</f>
        <v/>
      </c>
      <c r="LW26" s="68" t="str">
        <f>IF(LU26=1,Stats!$O41,"")</f>
        <v/>
      </c>
      <c r="LX26" s="68" t="str">
        <f>IF(LU26=1,Stats!$P41,"")</f>
        <v/>
      </c>
      <c r="LY26" s="68" t="str">
        <f>IF(LU26=1,Stats!$Q41,"")</f>
        <v/>
      </c>
      <c r="LZ26" s="68" t="str">
        <f>IF(LU26=1,Stats!$R41,"")</f>
        <v/>
      </c>
      <c r="MA26" s="68" t="str">
        <f>IF(LU26=1,Stats!$S41,"")</f>
        <v/>
      </c>
      <c r="MB26" s="68">
        <f t="shared" si="132"/>
        <v>0</v>
      </c>
      <c r="MC26">
        <f t="shared" si="133"/>
        <v>0</v>
      </c>
      <c r="MD26" s="68">
        <f>IF(MC26=0,MAX(MD$2:MD25)+1,0)</f>
        <v>24</v>
      </c>
      <c r="ME26" s="5" t="str">
        <f t="shared" si="134"/>
        <v>Highlanders</v>
      </c>
      <c r="MF26" s="5" t="str">
        <f t="shared" si="135"/>
        <v>Highlanders</v>
      </c>
      <c r="MH26">
        <f t="shared" si="136"/>
        <v>24</v>
      </c>
      <c r="MI26" s="5" t="str">
        <f t="shared" si="137"/>
        <v>Highlanders</v>
      </c>
      <c r="MJ26" s="68">
        <f>COUNTIF(Builder!$K$28:$N$28,MI26)</f>
        <v>0</v>
      </c>
      <c r="MK26" s="68" t="str">
        <f>IF(MJ26=1,Stats!$N41,"")</f>
        <v/>
      </c>
      <c r="ML26" s="68" t="str">
        <f>IF(MJ26=1,Stats!$O41,"")</f>
        <v/>
      </c>
      <c r="MM26" s="68" t="str">
        <f>IF(MJ26=1,Stats!$P41,"")</f>
        <v/>
      </c>
      <c r="MN26" s="68" t="str">
        <f>IF(MJ26=1,Stats!$Q41,"")</f>
        <v/>
      </c>
      <c r="MO26" s="68" t="str">
        <f>IF(MJ26=1,Stats!$R41,"")</f>
        <v/>
      </c>
      <c r="MP26" s="68" t="str">
        <f>IF(MJ26=1,Stats!$S41,"")</f>
        <v/>
      </c>
      <c r="MQ26" s="68">
        <f t="shared" si="138"/>
        <v>0</v>
      </c>
      <c r="MR26">
        <f t="shared" si="139"/>
        <v>0</v>
      </c>
      <c r="MS26" s="68">
        <f>IF(MR26=0,MAX(MS$2:MS25)+1,0)</f>
        <v>24</v>
      </c>
      <c r="MT26" s="5" t="str">
        <f t="shared" si="140"/>
        <v>Highlanders</v>
      </c>
      <c r="MU26" s="5" t="str">
        <f t="shared" si="141"/>
        <v>Highlanders</v>
      </c>
      <c r="MW26">
        <f t="shared" si="142"/>
        <v>24</v>
      </c>
      <c r="MX26" s="5" t="str">
        <f t="shared" si="143"/>
        <v>Highlanders</v>
      </c>
      <c r="MY26" s="68">
        <f>COUNTIF(Builder!$K$29:$N$29,MX26)</f>
        <v>0</v>
      </c>
      <c r="MZ26" s="68" t="str">
        <f>IF(MY26=1,Stats!$N41,"")</f>
        <v/>
      </c>
      <c r="NA26" s="68" t="str">
        <f>IF(MY26=1,Stats!$O41,"")</f>
        <v/>
      </c>
      <c r="NB26" s="68" t="str">
        <f>IF(MY26=1,Stats!$P41,"")</f>
        <v/>
      </c>
      <c r="NC26" s="68" t="str">
        <f>IF(MY26=1,Stats!$Q41,"")</f>
        <v/>
      </c>
      <c r="ND26" s="68" t="str">
        <f>IF(MY26=1,Stats!$R41,"")</f>
        <v/>
      </c>
      <c r="NE26" s="68" t="str">
        <f>IF(MY26=1,Stats!$S41,"")</f>
        <v/>
      </c>
      <c r="NF26" s="68">
        <f t="shared" si="144"/>
        <v>0</v>
      </c>
      <c r="NG26">
        <f t="shared" si="145"/>
        <v>0</v>
      </c>
      <c r="NH26" s="68">
        <f>IF(NG26=0,MAX(NH$2:NH25)+1,0)</f>
        <v>24</v>
      </c>
      <c r="NI26" s="5" t="str">
        <f t="shared" si="146"/>
        <v>Highlanders</v>
      </c>
      <c r="NJ26" s="5" t="str">
        <f t="shared" si="147"/>
        <v>Highlanders</v>
      </c>
    </row>
    <row r="27" spans="1:374" ht="15" x14ac:dyDescent="0.3">
      <c r="A27">
        <v>25</v>
      </c>
      <c r="B27" s="5" t="s">
        <v>213</v>
      </c>
      <c r="C27" s="68">
        <f>COUNTIF(Builder!$K$5:$N$5,B27)</f>
        <v>0</v>
      </c>
      <c r="D27" s="68" t="str">
        <f>IF(C27=1,Stats!$N42,"")</f>
        <v/>
      </c>
      <c r="E27" s="68" t="str">
        <f>IF(C27=1,Stats!$O42,"")</f>
        <v/>
      </c>
      <c r="F27" s="68" t="str">
        <f>IF(C27=1,Stats!$P42,"")</f>
        <v/>
      </c>
      <c r="G27" s="68" t="str">
        <f>IF(C27=1,Stats!$Q42,"")</f>
        <v/>
      </c>
      <c r="H27" s="68" t="str">
        <f>IF(C27=1,Stats!$R42,"")</f>
        <v/>
      </c>
      <c r="I27" s="68" t="str">
        <f>IF(C27=1,Stats!$S42,"")</f>
        <v/>
      </c>
      <c r="J27" s="68">
        <f t="shared" si="0"/>
        <v>0</v>
      </c>
      <c r="K27">
        <f t="shared" si="1"/>
        <v>0</v>
      </c>
      <c r="L27" s="68">
        <f>IF(K27=0,MAX($L$2:L26)+1,0)</f>
        <v>25</v>
      </c>
      <c r="M27" s="5" t="str">
        <f t="shared" si="2"/>
        <v>Impulsive</v>
      </c>
      <c r="N27" s="5" t="str">
        <f t="shared" si="3"/>
        <v>Impulsive</v>
      </c>
      <c r="O27" s="5"/>
      <c r="P27">
        <f t="shared" si="4"/>
        <v>25</v>
      </c>
      <c r="Q27" s="5" t="str">
        <f t="shared" si="5"/>
        <v>Impulsive</v>
      </c>
      <c r="R27" s="68">
        <f>COUNTIF(Builder!$K$6:$N$6,Q27)</f>
        <v>0</v>
      </c>
      <c r="S27" s="68" t="str">
        <f>IF(R27=1,Stats!$N42,"")</f>
        <v/>
      </c>
      <c r="T27" s="68" t="str">
        <f>IF(R27=1,Stats!$O42,"")</f>
        <v/>
      </c>
      <c r="U27" s="68" t="str">
        <f>IF(R27=1,Stats!$P42,"")</f>
        <v/>
      </c>
      <c r="V27" s="68" t="str">
        <f>IF(R27=1,Stats!$Q42,"")</f>
        <v/>
      </c>
      <c r="W27" s="68" t="str">
        <f>IF(R27=1,Stats!$R42,"")</f>
        <v/>
      </c>
      <c r="X27" s="68" t="str">
        <f>IF(R27=1,Stats!$S42,"")</f>
        <v/>
      </c>
      <c r="Y27" s="68">
        <f t="shared" si="6"/>
        <v>0</v>
      </c>
      <c r="Z27">
        <f t="shared" si="7"/>
        <v>0</v>
      </c>
      <c r="AA27" s="68">
        <f>IF(Z27=0,MAX($AA$2:AA26)+1,0)</f>
        <v>25</v>
      </c>
      <c r="AB27" s="5" t="str">
        <f t="shared" si="8"/>
        <v>Impulsive</v>
      </c>
      <c r="AC27" s="5" t="str">
        <f t="shared" si="9"/>
        <v>Impulsive</v>
      </c>
      <c r="AD27" s="5"/>
      <c r="AE27">
        <f t="shared" si="10"/>
        <v>25</v>
      </c>
      <c r="AF27" s="5" t="str">
        <f t="shared" si="11"/>
        <v>Impulsive</v>
      </c>
      <c r="AG27" s="68">
        <f>COUNTIF(Builder!$K$7:$N$7,AF27)</f>
        <v>0</v>
      </c>
      <c r="AH27" s="68" t="str">
        <f>IF(AG27=1,Stats!$N42,"")</f>
        <v/>
      </c>
      <c r="AI27" s="68" t="str">
        <f>IF(AG27=1,Stats!$O42,"")</f>
        <v/>
      </c>
      <c r="AJ27" s="68" t="str">
        <f>IF(AG27=1,Stats!$P42,"")</f>
        <v/>
      </c>
      <c r="AK27" s="68" t="str">
        <f>IF(AG27=1,Stats!$Q42,"")</f>
        <v/>
      </c>
      <c r="AL27" s="68" t="str">
        <f>IF(AG27=1,Stats!$R42,"")</f>
        <v/>
      </c>
      <c r="AM27" s="68" t="str">
        <f>IF(AG27=1,Stats!$S42,"")</f>
        <v/>
      </c>
      <c r="AN27" s="68">
        <f t="shared" si="12"/>
        <v>0</v>
      </c>
      <c r="AO27">
        <f t="shared" si="13"/>
        <v>0</v>
      </c>
      <c r="AP27" s="68">
        <f>IF(AO27=0,MAX($AP$2:AP26)+1,0)</f>
        <v>25</v>
      </c>
      <c r="AQ27" s="5" t="str">
        <f t="shared" si="14"/>
        <v>Impulsive</v>
      </c>
      <c r="AR27" s="5" t="str">
        <f t="shared" si="15"/>
        <v>Impulsive</v>
      </c>
      <c r="AS27" s="5"/>
      <c r="AT27">
        <f t="shared" si="16"/>
        <v>25</v>
      </c>
      <c r="AU27" s="5" t="str">
        <f t="shared" si="17"/>
        <v>Impulsive</v>
      </c>
      <c r="AV27" s="68">
        <f>COUNTIF(Builder!$K$8:$N$8,AU27)</f>
        <v>0</v>
      </c>
      <c r="AW27" s="68" t="str">
        <f>IF(AV27=1,Stats!$N42,"")</f>
        <v/>
      </c>
      <c r="AX27" s="68" t="str">
        <f>IF(AV27=1,Stats!$O42,"")</f>
        <v/>
      </c>
      <c r="AY27" s="68" t="str">
        <f>IF(AV27=1,Stats!$P42,"")</f>
        <v/>
      </c>
      <c r="AZ27" s="68" t="str">
        <f>IF(AV27=1,Stats!$Q42,"")</f>
        <v/>
      </c>
      <c r="BA27" s="68" t="str">
        <f>IF(AV27=1,Stats!$R42,"")</f>
        <v/>
      </c>
      <c r="BB27" s="68" t="str">
        <f>IF(AV27=1,Stats!$S42,"")</f>
        <v/>
      </c>
      <c r="BC27" s="68">
        <f t="shared" si="18"/>
        <v>0</v>
      </c>
      <c r="BD27">
        <f t="shared" si="19"/>
        <v>0</v>
      </c>
      <c r="BE27" s="68">
        <f>IF(BD27=0,MAX($BE$2:BE26)+1,0)</f>
        <v>25</v>
      </c>
      <c r="BF27" s="5" t="str">
        <f t="shared" si="20"/>
        <v>Impulsive</v>
      </c>
      <c r="BG27" s="5" t="str">
        <f t="shared" si="21"/>
        <v>Impulsive</v>
      </c>
      <c r="BH27" s="5"/>
      <c r="BI27">
        <f t="shared" si="148"/>
        <v>25</v>
      </c>
      <c r="BJ27" s="5" t="str">
        <f t="shared" si="149"/>
        <v>Impulsive</v>
      </c>
      <c r="BK27" s="68">
        <f>COUNTIF(Builder!$K$9:$N$9,BJ27)</f>
        <v>0</v>
      </c>
      <c r="BL27" s="68" t="str">
        <f>IF(BK27=1,Stats!$N42,"")</f>
        <v/>
      </c>
      <c r="BM27" s="68" t="str">
        <f>IF(BK27=1,Stats!$O42,"")</f>
        <v/>
      </c>
      <c r="BN27" s="68" t="str">
        <f>IF(BK27=1,Stats!$P42,"")</f>
        <v/>
      </c>
      <c r="BO27" s="68" t="str">
        <f>IF(BK27=1,Stats!$Q42,"")</f>
        <v/>
      </c>
      <c r="BP27" s="68" t="str">
        <f>IF(BK27=1,Stats!$R42,"")</f>
        <v/>
      </c>
      <c r="BQ27" s="68" t="str">
        <f>IF(BK27=1,Stats!$S42,"")</f>
        <v/>
      </c>
      <c r="BR27" s="68">
        <f t="shared" si="150"/>
        <v>0</v>
      </c>
      <c r="BS27">
        <f t="shared" si="151"/>
        <v>0</v>
      </c>
      <c r="BT27" s="68">
        <f>IF(BS27=0,MAX(BT$2:BT26)+1,0)</f>
        <v>25</v>
      </c>
      <c r="BU27" s="5" t="str">
        <f t="shared" si="152"/>
        <v>Impulsive</v>
      </c>
      <c r="BV27" s="5" t="str">
        <f t="shared" si="27"/>
        <v>Impulsive</v>
      </c>
      <c r="BX27">
        <f t="shared" si="153"/>
        <v>25</v>
      </c>
      <c r="BY27" s="5" t="str">
        <f t="shared" si="154"/>
        <v>Impulsive</v>
      </c>
      <c r="BZ27" s="68">
        <f>COUNTIF(Builder!$K$10:$N$10,BY27)</f>
        <v>0</v>
      </c>
      <c r="CA27" s="68" t="str">
        <f>IF(BZ27=1,Stats!$N42,"")</f>
        <v/>
      </c>
      <c r="CB27" s="68" t="str">
        <f>IF(BZ27=1,Stats!$O42,"")</f>
        <v/>
      </c>
      <c r="CC27" s="68" t="str">
        <f>IF(BZ27=1,Stats!$P42,"")</f>
        <v/>
      </c>
      <c r="CD27" s="68" t="str">
        <f>IF(BZ27=1,Stats!$Q42,"")</f>
        <v/>
      </c>
      <c r="CE27" s="68" t="str">
        <f>IF(BZ27=1,Stats!$R42,"")</f>
        <v/>
      </c>
      <c r="CF27" s="68" t="str">
        <f>IF(BZ27=1,Stats!$S42,"")</f>
        <v/>
      </c>
      <c r="CG27" s="68">
        <f t="shared" si="155"/>
        <v>0</v>
      </c>
      <c r="CH27">
        <f t="shared" si="156"/>
        <v>0</v>
      </c>
      <c r="CI27" s="68">
        <f>IF(CH27=0,MAX(CI$2:CI26)+1,0)</f>
        <v>25</v>
      </c>
      <c r="CJ27" s="5" t="str">
        <f t="shared" si="157"/>
        <v>Impulsive</v>
      </c>
      <c r="CK27" s="5" t="str">
        <f t="shared" si="33"/>
        <v>Impulsive</v>
      </c>
      <c r="CM27">
        <f t="shared" si="34"/>
        <v>25</v>
      </c>
      <c r="CN27" s="5" t="str">
        <f t="shared" si="35"/>
        <v>Impulsive</v>
      </c>
      <c r="CO27" s="68">
        <f>COUNTIF(Builder!$K$11:$N$11,CN27)</f>
        <v>0</v>
      </c>
      <c r="CP27" s="68" t="str">
        <f>IF(CO27=1,Stats!$N42,"")</f>
        <v/>
      </c>
      <c r="CQ27" s="68" t="str">
        <f>IF(CO27=1,Stats!$O42,"")</f>
        <v/>
      </c>
      <c r="CR27" s="68" t="str">
        <f>IF(CO27=1,Stats!$P42,"")</f>
        <v/>
      </c>
      <c r="CS27" s="68" t="str">
        <f>IF(CO27=1,Stats!$Q42,"")</f>
        <v/>
      </c>
      <c r="CT27" s="68" t="str">
        <f>IF(CO27=1,Stats!$R42,"")</f>
        <v/>
      </c>
      <c r="CU27" s="68" t="str">
        <f>IF(CO27=1,Stats!$S42,"")</f>
        <v/>
      </c>
      <c r="CV27" s="68">
        <f t="shared" si="36"/>
        <v>0</v>
      </c>
      <c r="CW27">
        <f t="shared" si="37"/>
        <v>0</v>
      </c>
      <c r="CX27" s="68">
        <f>IF(CW27=0,MAX(CX$2:CX26)+1,0)</f>
        <v>25</v>
      </c>
      <c r="CY27" s="5" t="str">
        <f t="shared" si="38"/>
        <v>Impulsive</v>
      </c>
      <c r="CZ27" s="5" t="str">
        <f t="shared" si="39"/>
        <v>Impulsive</v>
      </c>
      <c r="DB27">
        <f t="shared" si="158"/>
        <v>25</v>
      </c>
      <c r="DC27" s="5" t="str">
        <f t="shared" si="159"/>
        <v>Impulsive</v>
      </c>
      <c r="DD27" s="68">
        <f>COUNTIF(Builder!$K$12:$N$12,DC27)</f>
        <v>0</v>
      </c>
      <c r="DE27" s="68" t="str">
        <f>IF(DD27=1,Stats!$N42,"")</f>
        <v/>
      </c>
      <c r="DF27" s="68" t="str">
        <f>IF(DD27=1,Stats!$O42,"")</f>
        <v/>
      </c>
      <c r="DG27" s="68" t="str">
        <f>IF(DD27=1,Stats!$P42,"")</f>
        <v/>
      </c>
      <c r="DH27" s="68" t="str">
        <f>IF(DD27=1,Stats!$Q42,"")</f>
        <v/>
      </c>
      <c r="DI27" s="68" t="str">
        <f>IF(DD27=1,Stats!$R42,"")</f>
        <v/>
      </c>
      <c r="DJ27" s="68" t="str">
        <f>IF(DD27=1,Stats!$S42,"")</f>
        <v/>
      </c>
      <c r="DK27" s="68">
        <f t="shared" si="160"/>
        <v>0</v>
      </c>
      <c r="DL27">
        <f t="shared" si="161"/>
        <v>0</v>
      </c>
      <c r="DM27" s="68">
        <f>IF(DL27=0,MAX(DM$2:DM26)+1,0)</f>
        <v>25</v>
      </c>
      <c r="DN27" s="5" t="str">
        <f t="shared" si="162"/>
        <v>Impulsive</v>
      </c>
      <c r="DO27" s="5" t="str">
        <f t="shared" si="45"/>
        <v>Impulsive</v>
      </c>
      <c r="DQ27">
        <f t="shared" si="163"/>
        <v>25</v>
      </c>
      <c r="DR27" s="5" t="str">
        <f t="shared" si="164"/>
        <v>Impulsive</v>
      </c>
      <c r="DS27" s="68">
        <f>COUNTIF(Builder!$K$13:$N$13,DR27)</f>
        <v>0</v>
      </c>
      <c r="DT27" s="68" t="str">
        <f>IF(DS27=1,Stats!$N42,"")</f>
        <v/>
      </c>
      <c r="DU27" s="68" t="str">
        <f>IF(DS27=1,Stats!$O42,"")</f>
        <v/>
      </c>
      <c r="DV27" s="68" t="str">
        <f>IF(DS27=1,Stats!$P42,"")</f>
        <v/>
      </c>
      <c r="DW27" s="68" t="str">
        <f>IF(DS27=1,Stats!$Q42,"")</f>
        <v/>
      </c>
      <c r="DX27" s="68" t="str">
        <f>IF(DS27=1,Stats!$R42,"")</f>
        <v/>
      </c>
      <c r="DY27" s="68" t="str">
        <f>IF(DS27=1,Stats!$S42,"")</f>
        <v/>
      </c>
      <c r="DZ27" s="68">
        <f t="shared" si="165"/>
        <v>0</v>
      </c>
      <c r="EA27">
        <f t="shared" si="166"/>
        <v>0</v>
      </c>
      <c r="EB27" s="68">
        <f>IF(EA27=0,MAX(EB$2:EB26)+1,0)</f>
        <v>25</v>
      </c>
      <c r="EC27" s="5" t="str">
        <f t="shared" si="167"/>
        <v>Impulsive</v>
      </c>
      <c r="ED27" s="5" t="str">
        <f t="shared" si="51"/>
        <v>Impulsive</v>
      </c>
      <c r="EF27">
        <f t="shared" si="52"/>
        <v>25</v>
      </c>
      <c r="EG27" s="5" t="str">
        <f t="shared" si="53"/>
        <v>Impulsive</v>
      </c>
      <c r="EH27" s="68">
        <f>COUNTIF(Builder!$K$14:$N$14,EG27)</f>
        <v>0</v>
      </c>
      <c r="EI27" s="68" t="str">
        <f>IF(EH27=1,Stats!$N42,"")</f>
        <v/>
      </c>
      <c r="EJ27" s="68" t="str">
        <f>IF(EH27=1,Stats!$O42,"")</f>
        <v/>
      </c>
      <c r="EK27" s="68" t="str">
        <f>IF(EH27=1,Stats!$P42,"")</f>
        <v/>
      </c>
      <c r="EL27" s="68" t="str">
        <f>IF(EH27=1,Stats!$Q42,"")</f>
        <v/>
      </c>
      <c r="EM27" s="68" t="str">
        <f>IF(EH27=1,Stats!$R42,"")</f>
        <v/>
      </c>
      <c r="EN27" s="68" t="str">
        <f>IF(EH27=1,Stats!$S42,"")</f>
        <v/>
      </c>
      <c r="EO27" s="68">
        <f t="shared" si="54"/>
        <v>0</v>
      </c>
      <c r="EP27">
        <f t="shared" si="55"/>
        <v>0</v>
      </c>
      <c r="EQ27" s="68">
        <f>IF(EP27=0,MAX(EQ$2:EQ26)+1,0)</f>
        <v>25</v>
      </c>
      <c r="ER27" s="5" t="str">
        <f t="shared" si="56"/>
        <v>Impulsive</v>
      </c>
      <c r="ES27" s="5" t="str">
        <f t="shared" si="57"/>
        <v>Impulsive</v>
      </c>
      <c r="EU27">
        <f t="shared" si="58"/>
        <v>25</v>
      </c>
      <c r="EV27" s="5" t="str">
        <f t="shared" si="59"/>
        <v>Impulsive</v>
      </c>
      <c r="EW27" s="68">
        <f>COUNTIF(Builder!$K$15:$N$15,EV27)</f>
        <v>0</v>
      </c>
      <c r="EX27" s="68" t="str">
        <f>IF(EW27=1,Stats!$N42,"")</f>
        <v/>
      </c>
      <c r="EY27" s="68" t="str">
        <f>IF(EW27=1,Stats!$O42,"")</f>
        <v/>
      </c>
      <c r="EZ27" s="68" t="str">
        <f>IF(EW27=1,Stats!$P42,"")</f>
        <v/>
      </c>
      <c r="FA27" s="68" t="str">
        <f>IF(EW27=1,Stats!$Q42,"")</f>
        <v/>
      </c>
      <c r="FB27" s="68" t="str">
        <f>IF(EW27=1,Stats!$R42,"")</f>
        <v/>
      </c>
      <c r="FC27" s="68" t="str">
        <f>IF(EW27=1,Stats!$S42,"")</f>
        <v/>
      </c>
      <c r="FD27" s="68">
        <f t="shared" si="60"/>
        <v>0</v>
      </c>
      <c r="FE27">
        <f t="shared" si="61"/>
        <v>0</v>
      </c>
      <c r="FF27" s="68">
        <f>IF(FE27=0,MAX(FF$2:FF26)+1,0)</f>
        <v>25</v>
      </c>
      <c r="FG27" s="5" t="str">
        <f t="shared" si="62"/>
        <v>Impulsive</v>
      </c>
      <c r="FH27" s="5" t="str">
        <f t="shared" si="63"/>
        <v>Impulsive</v>
      </c>
      <c r="FJ27">
        <f t="shared" si="64"/>
        <v>25</v>
      </c>
      <c r="FK27" s="5" t="str">
        <f t="shared" si="65"/>
        <v>Impulsive</v>
      </c>
      <c r="FL27" s="68">
        <f>COUNTIF(Builder!$K$16:$N$16,FK27)</f>
        <v>0</v>
      </c>
      <c r="FM27" s="68" t="str">
        <f>IF(FL27=1,Stats!$N42,"")</f>
        <v/>
      </c>
      <c r="FN27" s="68" t="str">
        <f>IF(FL27=1,Stats!$O42,"")</f>
        <v/>
      </c>
      <c r="FO27" s="68" t="str">
        <f>IF(FL27=1,Stats!$P42,"")</f>
        <v/>
      </c>
      <c r="FP27" s="68" t="str">
        <f>IF(FL27=1,Stats!$Q42,"")</f>
        <v/>
      </c>
      <c r="FQ27" s="68" t="str">
        <f>IF(FL27=1,Stats!$R42,"")</f>
        <v/>
      </c>
      <c r="FR27" s="68" t="str">
        <f>IF(FL27=1,Stats!$S42,"")</f>
        <v/>
      </c>
      <c r="FS27" s="68">
        <f t="shared" si="66"/>
        <v>0</v>
      </c>
      <c r="FT27">
        <f t="shared" si="67"/>
        <v>0</v>
      </c>
      <c r="FU27" s="68">
        <f>IF(FT27=0,MAX(FU$2:FU26)+1,0)</f>
        <v>25</v>
      </c>
      <c r="FV27" s="5" t="str">
        <f t="shared" si="68"/>
        <v>Impulsive</v>
      </c>
      <c r="FW27" s="5" t="str">
        <f t="shared" si="69"/>
        <v>Impulsive</v>
      </c>
      <c r="FY27">
        <f t="shared" si="168"/>
        <v>25</v>
      </c>
      <c r="FZ27" s="5" t="str">
        <f t="shared" si="169"/>
        <v>Impulsive</v>
      </c>
      <c r="GA27" s="68">
        <f>COUNTIF(Builder!$K$17:$N$17,FZ27)</f>
        <v>0</v>
      </c>
      <c r="GB27" s="68" t="str">
        <f>IF(GA27=1,Stats!$N42,"")</f>
        <v/>
      </c>
      <c r="GC27" s="68" t="str">
        <f>IF(GA27=1,Stats!$O42,"")</f>
        <v/>
      </c>
      <c r="GD27" s="68" t="str">
        <f>IF(GA27=1,Stats!$P42,"")</f>
        <v/>
      </c>
      <c r="GE27" s="68" t="str">
        <f>IF(GA27=1,Stats!$Q42,"")</f>
        <v/>
      </c>
      <c r="GF27" s="68" t="str">
        <f>IF(GA27=1,Stats!$R42,"")</f>
        <v/>
      </c>
      <c r="GG27" s="68" t="str">
        <f>IF(GA27=1,Stats!$S42,"")</f>
        <v/>
      </c>
      <c r="GH27" s="68">
        <f t="shared" si="170"/>
        <v>0</v>
      </c>
      <c r="GI27">
        <f t="shared" si="171"/>
        <v>0</v>
      </c>
      <c r="GJ27" s="68">
        <f>IF(GI27=0,MAX(GJ$2:GJ26)+1,0)</f>
        <v>25</v>
      </c>
      <c r="GK27" s="5" t="str">
        <f t="shared" si="172"/>
        <v>Impulsive</v>
      </c>
      <c r="GL27" s="5" t="str">
        <f t="shared" si="75"/>
        <v>Impulsive</v>
      </c>
      <c r="GN27">
        <f t="shared" si="76"/>
        <v>25</v>
      </c>
      <c r="GO27" s="5" t="str">
        <f t="shared" si="77"/>
        <v>Impulsive</v>
      </c>
      <c r="GP27" s="68">
        <f>COUNTIF(Builder!$K$18:$N$18,GO27)</f>
        <v>0</v>
      </c>
      <c r="GQ27" s="68" t="str">
        <f>IF(GP27=1,Stats!$N42,"")</f>
        <v/>
      </c>
      <c r="GR27" s="68" t="str">
        <f>IF(GP27=1,Stats!$O42,"")</f>
        <v/>
      </c>
      <c r="GS27" s="68" t="str">
        <f>IF(GP27=1,Stats!$P42,"")</f>
        <v/>
      </c>
      <c r="GT27" s="68" t="str">
        <f>IF(GP27=1,Stats!$Q42,"")</f>
        <v/>
      </c>
      <c r="GU27" s="68" t="str">
        <f>IF(GP27=1,Stats!$R42,"")</f>
        <v/>
      </c>
      <c r="GV27" s="68" t="str">
        <f>IF(GP27=1,Stats!$S42,"")</f>
        <v/>
      </c>
      <c r="GW27" s="68">
        <f t="shared" si="78"/>
        <v>0</v>
      </c>
      <c r="GX27">
        <f t="shared" si="79"/>
        <v>0</v>
      </c>
      <c r="GY27" s="68">
        <f>IF(GX27=0,MAX(GY$2:GY26)+1,0)</f>
        <v>25</v>
      </c>
      <c r="GZ27" s="5" t="str">
        <f t="shared" si="80"/>
        <v>Impulsive</v>
      </c>
      <c r="HA27" s="5" t="str">
        <f t="shared" si="81"/>
        <v>Impulsive</v>
      </c>
      <c r="HC27">
        <f t="shared" si="82"/>
        <v>25</v>
      </c>
      <c r="HD27" s="5" t="str">
        <f t="shared" si="83"/>
        <v>Impulsive</v>
      </c>
      <c r="HE27" s="68">
        <f>COUNTIF(Builder!$K$19:$N$19,HD27)</f>
        <v>0</v>
      </c>
      <c r="HF27" s="68" t="str">
        <f>IF(HE27=1,Stats!$N42,"")</f>
        <v/>
      </c>
      <c r="HG27" s="68" t="str">
        <f>IF(HE27=1,Stats!$O42,"")</f>
        <v/>
      </c>
      <c r="HH27" s="68" t="str">
        <f>IF(HE27=1,Stats!$P42,"")</f>
        <v/>
      </c>
      <c r="HI27" s="68" t="str">
        <f>IF(HE27=1,Stats!$Q42,"")</f>
        <v/>
      </c>
      <c r="HJ27" s="68" t="str">
        <f>IF(HE27=1,Stats!$R42,"")</f>
        <v/>
      </c>
      <c r="HK27" s="68" t="str">
        <f>IF(HE27=1,Stats!$S42,"")</f>
        <v/>
      </c>
      <c r="HL27" s="68">
        <f t="shared" si="84"/>
        <v>0</v>
      </c>
      <c r="HM27">
        <f t="shared" si="85"/>
        <v>0</v>
      </c>
      <c r="HN27" s="68">
        <f>IF(HM27=0,MAX(HN$2:HN26)+1,0)</f>
        <v>25</v>
      </c>
      <c r="HO27" s="5" t="str">
        <f t="shared" si="86"/>
        <v>Impulsive</v>
      </c>
      <c r="HP27" s="5" t="str">
        <f t="shared" si="87"/>
        <v>Impulsive</v>
      </c>
      <c r="HR27">
        <f t="shared" si="88"/>
        <v>25</v>
      </c>
      <c r="HS27" s="5" t="str">
        <f t="shared" si="89"/>
        <v>Impulsive</v>
      </c>
      <c r="HT27" s="68">
        <f>COUNTIF(Builder!$K$20:$N$20,HS27)</f>
        <v>0</v>
      </c>
      <c r="HU27" s="68" t="str">
        <f>IF(HT27=1,Stats!$N42,"")</f>
        <v/>
      </c>
      <c r="HV27" s="68" t="str">
        <f>IF(HT27=1,Stats!$O42,"")</f>
        <v/>
      </c>
      <c r="HW27" s="68" t="str">
        <f>IF(HT27=1,Stats!$P42,"")</f>
        <v/>
      </c>
      <c r="HX27" s="68" t="str">
        <f>IF(HT27=1,Stats!$Q42,"")</f>
        <v/>
      </c>
      <c r="HY27" s="68" t="str">
        <f>IF(HT27=1,Stats!$R42,"")</f>
        <v/>
      </c>
      <c r="HZ27" s="68" t="str">
        <f>IF(HT27=1,Stats!$S42,"")</f>
        <v/>
      </c>
      <c r="IA27" s="68">
        <f t="shared" si="90"/>
        <v>0</v>
      </c>
      <c r="IB27">
        <f t="shared" si="91"/>
        <v>0</v>
      </c>
      <c r="IC27" s="68">
        <f>IF(IB27=0,MAX(IC$2:IC26)+1,0)</f>
        <v>25</v>
      </c>
      <c r="ID27" s="5" t="str">
        <f t="shared" si="92"/>
        <v>Impulsive</v>
      </c>
      <c r="IE27" s="5" t="str">
        <f t="shared" si="93"/>
        <v>Impulsive</v>
      </c>
      <c r="IG27">
        <f t="shared" si="94"/>
        <v>25</v>
      </c>
      <c r="IH27" s="5" t="str">
        <f t="shared" si="95"/>
        <v>Impulsive</v>
      </c>
      <c r="II27" s="68">
        <f>COUNTIF(Builder!$K$21:$N$21,IH27)</f>
        <v>0</v>
      </c>
      <c r="IJ27" s="68" t="str">
        <f>IF(II27=1,Stats!$N42,"")</f>
        <v/>
      </c>
      <c r="IK27" s="68" t="str">
        <f>IF(II27=1,Stats!$O42,"")</f>
        <v/>
      </c>
      <c r="IL27" s="68" t="str">
        <f>IF(II27=1,Stats!$P42,"")</f>
        <v/>
      </c>
      <c r="IM27" s="68" t="str">
        <f>IF(II27=1,Stats!$Q42,"")</f>
        <v/>
      </c>
      <c r="IN27" s="68" t="str">
        <f>IF(II27=1,Stats!$R42,"")</f>
        <v/>
      </c>
      <c r="IO27" s="68" t="str">
        <f>IF(II27=1,Stats!$S42,"")</f>
        <v/>
      </c>
      <c r="IP27" s="68">
        <f t="shared" si="96"/>
        <v>0</v>
      </c>
      <c r="IQ27">
        <f t="shared" si="97"/>
        <v>0</v>
      </c>
      <c r="IR27" s="68">
        <f>IF(IQ27=0,MAX(IR$2:IR26)+1,0)</f>
        <v>25</v>
      </c>
      <c r="IS27" s="5" t="str">
        <f t="shared" si="98"/>
        <v>Impulsive</v>
      </c>
      <c r="IT27" s="5" t="str">
        <f t="shared" si="99"/>
        <v>Impulsive</v>
      </c>
      <c r="IV27">
        <f t="shared" si="100"/>
        <v>25</v>
      </c>
      <c r="IW27" s="5" t="str">
        <f t="shared" si="101"/>
        <v>Impulsive</v>
      </c>
      <c r="IX27" s="68">
        <f>COUNTIF(Builder!$K$22:$N$22,IW27)</f>
        <v>0</v>
      </c>
      <c r="IY27" s="68" t="str">
        <f>IF(IX27=1,Stats!$N42,"")</f>
        <v/>
      </c>
      <c r="IZ27" s="68" t="str">
        <f>IF(IX27=1,Stats!$O42,"")</f>
        <v/>
      </c>
      <c r="JA27" s="68" t="str">
        <f>IF(IX27=1,Stats!$P42,"")</f>
        <v/>
      </c>
      <c r="JB27" s="68" t="str">
        <f>IF(IX27=1,Stats!$Q42,"")</f>
        <v/>
      </c>
      <c r="JC27" s="68" t="str">
        <f>IF(IX27=1,Stats!$R42,"")</f>
        <v/>
      </c>
      <c r="JD27" s="68" t="str">
        <f>IF(IX27=1,Stats!$S42,"")</f>
        <v/>
      </c>
      <c r="JE27" s="68">
        <f t="shared" si="102"/>
        <v>0</v>
      </c>
      <c r="JF27">
        <f t="shared" si="103"/>
        <v>0</v>
      </c>
      <c r="JG27" s="68">
        <f>IF(JF27=0,MAX(JG$2:JG26)+1,0)</f>
        <v>25</v>
      </c>
      <c r="JH27" s="5" t="str">
        <f t="shared" si="104"/>
        <v>Impulsive</v>
      </c>
      <c r="JI27" s="5" t="str">
        <f t="shared" si="105"/>
        <v>Impulsive</v>
      </c>
      <c r="JK27">
        <f t="shared" si="106"/>
        <v>25</v>
      </c>
      <c r="JL27" s="5" t="str">
        <f t="shared" si="107"/>
        <v>Impulsive</v>
      </c>
      <c r="JM27" s="68">
        <f>COUNTIF(Builder!$K$23:$N$23,JL27)</f>
        <v>0</v>
      </c>
      <c r="JN27" s="68" t="str">
        <f>IF(JM27=1,Stats!$N42,"")</f>
        <v/>
      </c>
      <c r="JO27" s="68" t="str">
        <f>IF(JM27=1,Stats!$O42,"")</f>
        <v/>
      </c>
      <c r="JP27" s="68" t="str">
        <f>IF(JM27=1,Stats!$P42,"")</f>
        <v/>
      </c>
      <c r="JQ27" s="68" t="str">
        <f>IF(JM27=1,Stats!$Q42,"")</f>
        <v/>
      </c>
      <c r="JR27" s="68" t="str">
        <f>IF(JM27=1,Stats!$R42,"")</f>
        <v/>
      </c>
      <c r="JS27" s="68" t="str">
        <f>IF(JM27=1,Stats!$S42,"")</f>
        <v/>
      </c>
      <c r="JT27" s="68">
        <f t="shared" si="108"/>
        <v>0</v>
      </c>
      <c r="JU27">
        <f t="shared" si="109"/>
        <v>0</v>
      </c>
      <c r="JV27" s="68">
        <f>IF(JU27=0,MAX(JV$2:JV26)+1,0)</f>
        <v>25</v>
      </c>
      <c r="JW27" s="5" t="str">
        <f t="shared" si="110"/>
        <v>Impulsive</v>
      </c>
      <c r="JX27" s="5" t="str">
        <f t="shared" si="111"/>
        <v>Impulsive</v>
      </c>
      <c r="JZ27">
        <f t="shared" si="112"/>
        <v>25</v>
      </c>
      <c r="KA27" s="5" t="str">
        <f t="shared" si="113"/>
        <v>Impulsive</v>
      </c>
      <c r="KB27" s="68">
        <f>COUNTIF(Builder!$K$24:$N$24,KA27)</f>
        <v>0</v>
      </c>
      <c r="KC27" s="68" t="str">
        <f>IF(KB27=1,Stats!$N42,"")</f>
        <v/>
      </c>
      <c r="KD27" s="68" t="str">
        <f>IF(KB27=1,Stats!$O42,"")</f>
        <v/>
      </c>
      <c r="KE27" s="68" t="str">
        <f>IF(KB27=1,Stats!$P42,"")</f>
        <v/>
      </c>
      <c r="KF27" s="68" t="str">
        <f>IF(KB27=1,Stats!$Q42,"")</f>
        <v/>
      </c>
      <c r="KG27" s="68" t="str">
        <f>IF(KB27=1,Stats!$R42,"")</f>
        <v/>
      </c>
      <c r="KH27" s="68" t="str">
        <f>IF(KB27=1,Stats!$S42,"")</f>
        <v/>
      </c>
      <c r="KI27" s="68">
        <f t="shared" si="114"/>
        <v>0</v>
      </c>
      <c r="KJ27">
        <f t="shared" si="115"/>
        <v>0</v>
      </c>
      <c r="KK27" s="68">
        <f>IF(KJ27=0,MAX(KK$2:KK26)+1,0)</f>
        <v>25</v>
      </c>
      <c r="KL27" s="5" t="str">
        <f t="shared" si="116"/>
        <v>Impulsive</v>
      </c>
      <c r="KM27" s="5" t="str">
        <f t="shared" si="117"/>
        <v>Impulsive</v>
      </c>
      <c r="KO27">
        <f t="shared" si="118"/>
        <v>25</v>
      </c>
      <c r="KP27" s="5" t="str">
        <f t="shared" si="119"/>
        <v>Impulsive</v>
      </c>
      <c r="KQ27" s="68">
        <f>COUNTIF(Builder!$K$25:$N$25,KP27)</f>
        <v>0</v>
      </c>
      <c r="KR27" s="68" t="str">
        <f>IF(KQ27=1,Stats!$N42,"")</f>
        <v/>
      </c>
      <c r="KS27" s="68" t="str">
        <f>IF(KQ27=1,Stats!$O42,"")</f>
        <v/>
      </c>
      <c r="KT27" s="68" t="str">
        <f>IF(KQ27=1,Stats!$P42,"")</f>
        <v/>
      </c>
      <c r="KU27" s="68" t="str">
        <f>IF(KQ27=1,Stats!$Q42,"")</f>
        <v/>
      </c>
      <c r="KV27" s="68" t="str">
        <f>IF(KQ27=1,Stats!$R42,"")</f>
        <v/>
      </c>
      <c r="KW27" s="68" t="str">
        <f>IF(KQ27=1,Stats!$S42,"")</f>
        <v/>
      </c>
      <c r="KX27" s="68">
        <f t="shared" si="120"/>
        <v>0</v>
      </c>
      <c r="KY27">
        <f t="shared" si="121"/>
        <v>0</v>
      </c>
      <c r="KZ27" s="68">
        <f>IF(KY27=0,MAX(KZ$2:KZ26)+1,0)</f>
        <v>25</v>
      </c>
      <c r="LA27" s="5" t="str">
        <f t="shared" si="122"/>
        <v>Impulsive</v>
      </c>
      <c r="LB27" s="5" t="str">
        <f t="shared" si="123"/>
        <v>Impulsive</v>
      </c>
      <c r="LD27">
        <f t="shared" si="124"/>
        <v>25</v>
      </c>
      <c r="LE27" s="5" t="str">
        <f t="shared" si="125"/>
        <v>Impulsive</v>
      </c>
      <c r="LF27" s="68">
        <f>COUNTIF(Builder!$K$26:$N$26,LE27)</f>
        <v>0</v>
      </c>
      <c r="LG27" s="68" t="str">
        <f>IF(LF27=1,Stats!$N42,"")</f>
        <v/>
      </c>
      <c r="LH27" s="68" t="str">
        <f>IF(LF27=1,Stats!$O42,"")</f>
        <v/>
      </c>
      <c r="LI27" s="68" t="str">
        <f>IF(LF27=1,Stats!$P42,"")</f>
        <v/>
      </c>
      <c r="LJ27" s="68" t="str">
        <f>IF(LF27=1,Stats!$Q42,"")</f>
        <v/>
      </c>
      <c r="LK27" s="68" t="str">
        <f>IF(LF27=1,Stats!$R42,"")</f>
        <v/>
      </c>
      <c r="LL27" s="68" t="str">
        <f>IF(LF27=1,Stats!$S42,"")</f>
        <v/>
      </c>
      <c r="LM27" s="68">
        <f t="shared" si="126"/>
        <v>0</v>
      </c>
      <c r="LN27">
        <f t="shared" si="127"/>
        <v>0</v>
      </c>
      <c r="LO27" s="68">
        <f>IF(LN27=0,MAX(LO$2:LO26)+1,0)</f>
        <v>25</v>
      </c>
      <c r="LP27" s="5" t="str">
        <f t="shared" si="128"/>
        <v>Impulsive</v>
      </c>
      <c r="LQ27" s="5" t="str">
        <f t="shared" si="129"/>
        <v>Impulsive</v>
      </c>
      <c r="LS27">
        <f t="shared" si="130"/>
        <v>25</v>
      </c>
      <c r="LT27" s="5" t="str">
        <f t="shared" si="131"/>
        <v>Impulsive</v>
      </c>
      <c r="LU27" s="68">
        <f>COUNTIF(Builder!$K$27:$N$27,LT27)</f>
        <v>0</v>
      </c>
      <c r="LV27" s="68" t="str">
        <f>IF(LU27=1,Stats!$N42,"")</f>
        <v/>
      </c>
      <c r="LW27" s="68" t="str">
        <f>IF(LU27=1,Stats!$O42,"")</f>
        <v/>
      </c>
      <c r="LX27" s="68" t="str">
        <f>IF(LU27=1,Stats!$P42,"")</f>
        <v/>
      </c>
      <c r="LY27" s="68" t="str">
        <f>IF(LU27=1,Stats!$Q42,"")</f>
        <v/>
      </c>
      <c r="LZ27" s="68" t="str">
        <f>IF(LU27=1,Stats!$R42,"")</f>
        <v/>
      </c>
      <c r="MA27" s="68" t="str">
        <f>IF(LU27=1,Stats!$S42,"")</f>
        <v/>
      </c>
      <c r="MB27" s="68">
        <f t="shared" si="132"/>
        <v>0</v>
      </c>
      <c r="MC27">
        <f t="shared" si="133"/>
        <v>0</v>
      </c>
      <c r="MD27" s="68">
        <f>IF(MC27=0,MAX(MD$2:MD26)+1,0)</f>
        <v>25</v>
      </c>
      <c r="ME27" s="5" t="str">
        <f t="shared" si="134"/>
        <v>Impulsive</v>
      </c>
      <c r="MF27" s="5" t="str">
        <f t="shared" si="135"/>
        <v>Impulsive</v>
      </c>
      <c r="MH27">
        <f t="shared" si="136"/>
        <v>25</v>
      </c>
      <c r="MI27" s="5" t="str">
        <f t="shared" si="137"/>
        <v>Impulsive</v>
      </c>
      <c r="MJ27" s="68">
        <f>COUNTIF(Builder!$K$28:$N$28,MI27)</f>
        <v>0</v>
      </c>
      <c r="MK27" s="68" t="str">
        <f>IF(MJ27=1,Stats!$N42,"")</f>
        <v/>
      </c>
      <c r="ML27" s="68" t="str">
        <f>IF(MJ27=1,Stats!$O42,"")</f>
        <v/>
      </c>
      <c r="MM27" s="68" t="str">
        <f>IF(MJ27=1,Stats!$P42,"")</f>
        <v/>
      </c>
      <c r="MN27" s="68" t="str">
        <f>IF(MJ27=1,Stats!$Q42,"")</f>
        <v/>
      </c>
      <c r="MO27" s="68" t="str">
        <f>IF(MJ27=1,Stats!$R42,"")</f>
        <v/>
      </c>
      <c r="MP27" s="68" t="str">
        <f>IF(MJ27=1,Stats!$S42,"")</f>
        <v/>
      </c>
      <c r="MQ27" s="68">
        <f t="shared" si="138"/>
        <v>0</v>
      </c>
      <c r="MR27">
        <f t="shared" si="139"/>
        <v>0</v>
      </c>
      <c r="MS27" s="68">
        <f>IF(MR27=0,MAX(MS$2:MS26)+1,0)</f>
        <v>25</v>
      </c>
      <c r="MT27" s="5" t="str">
        <f t="shared" si="140"/>
        <v>Impulsive</v>
      </c>
      <c r="MU27" s="5" t="str">
        <f t="shared" si="141"/>
        <v>Impulsive</v>
      </c>
      <c r="MW27">
        <f t="shared" si="142"/>
        <v>25</v>
      </c>
      <c r="MX27" s="5" t="str">
        <f t="shared" si="143"/>
        <v>Impulsive</v>
      </c>
      <c r="MY27" s="68">
        <f>COUNTIF(Builder!$K$29:$N$29,MX27)</f>
        <v>0</v>
      </c>
      <c r="MZ27" s="68" t="str">
        <f>IF(MY27=1,Stats!$N42,"")</f>
        <v/>
      </c>
      <c r="NA27" s="68" t="str">
        <f>IF(MY27=1,Stats!$O42,"")</f>
        <v/>
      </c>
      <c r="NB27" s="68" t="str">
        <f>IF(MY27=1,Stats!$P42,"")</f>
        <v/>
      </c>
      <c r="NC27" s="68" t="str">
        <f>IF(MY27=1,Stats!$Q42,"")</f>
        <v/>
      </c>
      <c r="ND27" s="68" t="str">
        <f>IF(MY27=1,Stats!$R42,"")</f>
        <v/>
      </c>
      <c r="NE27" s="68" t="str">
        <f>IF(MY27=1,Stats!$S42,"")</f>
        <v/>
      </c>
      <c r="NF27" s="68">
        <f t="shared" si="144"/>
        <v>0</v>
      </c>
      <c r="NG27">
        <f t="shared" si="145"/>
        <v>0</v>
      </c>
      <c r="NH27" s="68">
        <f>IF(NG27=0,MAX(NH$2:NH26)+1,0)</f>
        <v>25</v>
      </c>
      <c r="NI27" s="5" t="str">
        <f t="shared" si="146"/>
        <v>Impulsive</v>
      </c>
      <c r="NJ27" s="5" t="str">
        <f t="shared" si="147"/>
        <v>Impulsive</v>
      </c>
    </row>
    <row r="28" spans="1:374" ht="15" x14ac:dyDescent="0.3">
      <c r="A28">
        <v>26</v>
      </c>
      <c r="B28" s="5" t="s">
        <v>33</v>
      </c>
      <c r="C28" s="68">
        <f>COUNTIF(Builder!$K$5:$N$5,B28)</f>
        <v>0</v>
      </c>
      <c r="D28" s="68" t="str">
        <f>IF(C28=1,Stats!$N43,"")</f>
        <v/>
      </c>
      <c r="E28" s="68" t="str">
        <f>IF(C28=1,Stats!$O43,"")</f>
        <v/>
      </c>
      <c r="F28" s="68" t="str">
        <f>IF(C28=1,Stats!$P43,"")</f>
        <v/>
      </c>
      <c r="G28" s="68" t="str">
        <f>IF(C28=1,Stats!$Q43,"")</f>
        <v/>
      </c>
      <c r="H28" s="68" t="str">
        <f>IF(C28=1,Stats!$R43,"")</f>
        <v/>
      </c>
      <c r="I28" s="68" t="str">
        <f>IF(C28=1,Stats!$S43,"")</f>
        <v/>
      </c>
      <c r="J28" s="68">
        <f t="shared" si="0"/>
        <v>0</v>
      </c>
      <c r="K28">
        <f t="shared" si="1"/>
        <v>0</v>
      </c>
      <c r="L28" s="68">
        <f>IF(K28=0,MAX($L$2:L27)+1,0)</f>
        <v>26</v>
      </c>
      <c r="M28" s="5" t="str">
        <f t="shared" si="2"/>
        <v>Long spears</v>
      </c>
      <c r="N28" s="5" t="str">
        <f t="shared" si="3"/>
        <v>Long spears</v>
      </c>
      <c r="O28" s="5"/>
      <c r="P28">
        <f t="shared" si="4"/>
        <v>26</v>
      </c>
      <c r="Q28" s="5" t="str">
        <f t="shared" si="5"/>
        <v>Long spears</v>
      </c>
      <c r="R28" s="68">
        <f>COUNTIF(Builder!$K$6:$N$6,Q28)</f>
        <v>0</v>
      </c>
      <c r="S28" s="68" t="str">
        <f>IF(R28=1,Stats!$N43,"")</f>
        <v/>
      </c>
      <c r="T28" s="68" t="str">
        <f>IF(R28=1,Stats!$O43,"")</f>
        <v/>
      </c>
      <c r="U28" s="68" t="str">
        <f>IF(R28=1,Stats!$P43,"")</f>
        <v/>
      </c>
      <c r="V28" s="68" t="str">
        <f>IF(R28=1,Stats!$Q43,"")</f>
        <v/>
      </c>
      <c r="W28" s="68" t="str">
        <f>IF(R28=1,Stats!$R43,"")</f>
        <v/>
      </c>
      <c r="X28" s="68" t="str">
        <f>IF(R28=1,Stats!$S43,"")</f>
        <v/>
      </c>
      <c r="Y28" s="68">
        <f t="shared" si="6"/>
        <v>0</v>
      </c>
      <c r="Z28">
        <f t="shared" si="7"/>
        <v>0</v>
      </c>
      <c r="AA28" s="68">
        <f>IF(Z28=0,MAX($AA$2:AA27)+1,0)</f>
        <v>26</v>
      </c>
      <c r="AB28" s="5" t="str">
        <f t="shared" si="8"/>
        <v>Long spears</v>
      </c>
      <c r="AC28" s="5" t="str">
        <f t="shared" si="9"/>
        <v>Long spears</v>
      </c>
      <c r="AD28" s="5"/>
      <c r="AE28">
        <f t="shared" si="10"/>
        <v>26</v>
      </c>
      <c r="AF28" s="5" t="str">
        <f t="shared" si="11"/>
        <v>Long spears</v>
      </c>
      <c r="AG28" s="68">
        <f>COUNTIF(Builder!$K$7:$N$7,AF28)</f>
        <v>0</v>
      </c>
      <c r="AH28" s="68" t="str">
        <f>IF(AG28=1,Stats!$N43,"")</f>
        <v/>
      </c>
      <c r="AI28" s="68" t="str">
        <f>IF(AG28=1,Stats!$O43,"")</f>
        <v/>
      </c>
      <c r="AJ28" s="68" t="str">
        <f>IF(AG28=1,Stats!$P43,"")</f>
        <v/>
      </c>
      <c r="AK28" s="68" t="str">
        <f>IF(AG28=1,Stats!$Q43,"")</f>
        <v/>
      </c>
      <c r="AL28" s="68" t="str">
        <f>IF(AG28=1,Stats!$R43,"")</f>
        <v/>
      </c>
      <c r="AM28" s="68" t="str">
        <f>IF(AG28=1,Stats!$S43,"")</f>
        <v/>
      </c>
      <c r="AN28" s="68">
        <f t="shared" si="12"/>
        <v>0</v>
      </c>
      <c r="AO28">
        <f t="shared" si="13"/>
        <v>0</v>
      </c>
      <c r="AP28" s="68">
        <f>IF(AO28=0,MAX($AP$2:AP27)+1,0)</f>
        <v>26</v>
      </c>
      <c r="AQ28" s="5" t="str">
        <f t="shared" si="14"/>
        <v>Long spears</v>
      </c>
      <c r="AR28" s="5" t="str">
        <f t="shared" si="15"/>
        <v>Long spears</v>
      </c>
      <c r="AS28" s="5"/>
      <c r="AT28">
        <f t="shared" si="16"/>
        <v>26</v>
      </c>
      <c r="AU28" s="5" t="str">
        <f t="shared" si="17"/>
        <v>Long spears</v>
      </c>
      <c r="AV28" s="68">
        <f>COUNTIF(Builder!$K$8:$N$8,AU28)</f>
        <v>0</v>
      </c>
      <c r="AW28" s="68" t="str">
        <f>IF(AV28=1,Stats!$N43,"")</f>
        <v/>
      </c>
      <c r="AX28" s="68" t="str">
        <f>IF(AV28=1,Stats!$O43,"")</f>
        <v/>
      </c>
      <c r="AY28" s="68" t="str">
        <f>IF(AV28=1,Stats!$P43,"")</f>
        <v/>
      </c>
      <c r="AZ28" s="68" t="str">
        <f>IF(AV28=1,Stats!$Q43,"")</f>
        <v/>
      </c>
      <c r="BA28" s="68" t="str">
        <f>IF(AV28=1,Stats!$R43,"")</f>
        <v/>
      </c>
      <c r="BB28" s="68" t="str">
        <f>IF(AV28=1,Stats!$S43,"")</f>
        <v/>
      </c>
      <c r="BC28" s="68">
        <f t="shared" si="18"/>
        <v>0</v>
      </c>
      <c r="BD28">
        <f t="shared" si="19"/>
        <v>0</v>
      </c>
      <c r="BE28" s="68">
        <f>IF(BD28=0,MAX($BE$2:BE27)+1,0)</f>
        <v>26</v>
      </c>
      <c r="BF28" s="5" t="str">
        <f t="shared" si="20"/>
        <v>Long spears</v>
      </c>
      <c r="BG28" s="5" t="str">
        <f t="shared" si="21"/>
        <v>Long spears</v>
      </c>
      <c r="BH28" s="5"/>
      <c r="BI28">
        <f t="shared" si="148"/>
        <v>26</v>
      </c>
      <c r="BJ28" s="5" t="str">
        <f t="shared" si="149"/>
        <v>Long spears</v>
      </c>
      <c r="BK28" s="68">
        <f>COUNTIF(Builder!$K$9:$N$9,BJ28)</f>
        <v>0</v>
      </c>
      <c r="BL28" s="68" t="str">
        <f>IF(BK28=1,Stats!$N43,"")</f>
        <v/>
      </c>
      <c r="BM28" s="68" t="str">
        <f>IF(BK28=1,Stats!$O43,"")</f>
        <v/>
      </c>
      <c r="BN28" s="68" t="str">
        <f>IF(BK28=1,Stats!$P43,"")</f>
        <v/>
      </c>
      <c r="BO28" s="68" t="str">
        <f>IF(BK28=1,Stats!$Q43,"")</f>
        <v/>
      </c>
      <c r="BP28" s="68" t="str">
        <f>IF(BK28=1,Stats!$R43,"")</f>
        <v/>
      </c>
      <c r="BQ28" s="68" t="str">
        <f>IF(BK28=1,Stats!$S43,"")</f>
        <v/>
      </c>
      <c r="BR28" s="68">
        <f>COUNTIF($BL$3:$BQ$55,BJ28)</f>
        <v>0</v>
      </c>
      <c r="BS28">
        <f t="shared" si="151"/>
        <v>0</v>
      </c>
      <c r="BT28" s="68">
        <f>IF(BS28=0,MAX(BT$2:BT27)+1,0)</f>
        <v>26</v>
      </c>
      <c r="BU28" s="5" t="str">
        <f t="shared" si="152"/>
        <v>Long spears</v>
      </c>
      <c r="BV28" s="5" t="str">
        <f t="shared" si="27"/>
        <v>Long spears</v>
      </c>
      <c r="BX28">
        <f t="shared" si="153"/>
        <v>26</v>
      </c>
      <c r="BY28" s="5" t="str">
        <f t="shared" si="154"/>
        <v>Long spears</v>
      </c>
      <c r="BZ28" s="68">
        <f>COUNTIF(Builder!$K$10:$N$10,BY28)</f>
        <v>0</v>
      </c>
      <c r="CA28" s="68" t="str">
        <f>IF(BZ28=1,Stats!$N43,"")</f>
        <v/>
      </c>
      <c r="CB28" s="68" t="str">
        <f>IF(BZ28=1,Stats!$O43,"")</f>
        <v/>
      </c>
      <c r="CC28" s="68" t="str">
        <f>IF(BZ28=1,Stats!$P43,"")</f>
        <v/>
      </c>
      <c r="CD28" s="68" t="str">
        <f>IF(BZ28=1,Stats!$Q43,"")</f>
        <v/>
      </c>
      <c r="CE28" s="68" t="str">
        <f>IF(BZ28=1,Stats!$R43,"")</f>
        <v/>
      </c>
      <c r="CF28" s="68" t="str">
        <f>IF(BZ28=1,Stats!$S43,"")</f>
        <v/>
      </c>
      <c r="CG28" s="68">
        <f t="shared" si="155"/>
        <v>0</v>
      </c>
      <c r="CH28">
        <f t="shared" si="156"/>
        <v>0</v>
      </c>
      <c r="CI28" s="68">
        <f>IF(CH28=0,MAX(CI$2:CI27)+1,0)</f>
        <v>26</v>
      </c>
      <c r="CJ28" s="5" t="str">
        <f t="shared" si="157"/>
        <v>Long spears</v>
      </c>
      <c r="CK28" s="5" t="str">
        <f t="shared" si="33"/>
        <v>Long spears</v>
      </c>
      <c r="CM28">
        <f t="shared" si="34"/>
        <v>26</v>
      </c>
      <c r="CN28" s="5" t="str">
        <f t="shared" si="35"/>
        <v>Long spears</v>
      </c>
      <c r="CO28" s="68">
        <f>COUNTIF(Builder!$K$11:$N$11,CN28)</f>
        <v>0</v>
      </c>
      <c r="CP28" s="68" t="str">
        <f>IF(CO28=1,Stats!$N43,"")</f>
        <v/>
      </c>
      <c r="CQ28" s="68" t="str">
        <f>IF(CO28=1,Stats!$O43,"")</f>
        <v/>
      </c>
      <c r="CR28" s="68" t="str">
        <f>IF(CO28=1,Stats!$P43,"")</f>
        <v/>
      </c>
      <c r="CS28" s="68" t="str">
        <f>IF(CO28=1,Stats!$Q43,"")</f>
        <v/>
      </c>
      <c r="CT28" s="68" t="str">
        <f>IF(CO28=1,Stats!$R43,"")</f>
        <v/>
      </c>
      <c r="CU28" s="68" t="str">
        <f>IF(CO28=1,Stats!$S43,"")</f>
        <v/>
      </c>
      <c r="CV28" s="68">
        <f t="shared" si="36"/>
        <v>0</v>
      </c>
      <c r="CW28">
        <f t="shared" si="37"/>
        <v>0</v>
      </c>
      <c r="CX28" s="68">
        <f>IF(CW28=0,MAX(CX$2:CX27)+1,0)</f>
        <v>26</v>
      </c>
      <c r="CY28" s="5" t="str">
        <f t="shared" si="38"/>
        <v>Long spears</v>
      </c>
      <c r="CZ28" s="5" t="str">
        <f t="shared" si="39"/>
        <v>Long spears</v>
      </c>
      <c r="DB28">
        <f t="shared" si="158"/>
        <v>26</v>
      </c>
      <c r="DC28" s="5" t="str">
        <f t="shared" si="159"/>
        <v>Long spears</v>
      </c>
      <c r="DD28" s="68">
        <f>COUNTIF(Builder!$K$12:$N$12,DC28)</f>
        <v>0</v>
      </c>
      <c r="DE28" s="68" t="str">
        <f>IF(DD28=1,Stats!$N43,"")</f>
        <v/>
      </c>
      <c r="DF28" s="68" t="str">
        <f>IF(DD28=1,Stats!$O43,"")</f>
        <v/>
      </c>
      <c r="DG28" s="68" t="str">
        <f>IF(DD28=1,Stats!$P43,"")</f>
        <v/>
      </c>
      <c r="DH28" s="68" t="str">
        <f>IF(DD28=1,Stats!$Q43,"")</f>
        <v/>
      </c>
      <c r="DI28" s="68" t="str">
        <f>IF(DD28=1,Stats!$R43,"")</f>
        <v/>
      </c>
      <c r="DJ28" s="68" t="str">
        <f>IF(DD28=1,Stats!$S43,"")</f>
        <v/>
      </c>
      <c r="DK28" s="68">
        <f t="shared" si="160"/>
        <v>0</v>
      </c>
      <c r="DL28">
        <f t="shared" si="161"/>
        <v>0</v>
      </c>
      <c r="DM28" s="68">
        <f>IF(DL28=0,MAX(DM$2:DM27)+1,0)</f>
        <v>26</v>
      </c>
      <c r="DN28" s="5" t="str">
        <f t="shared" si="162"/>
        <v>Long spears</v>
      </c>
      <c r="DO28" s="5" t="str">
        <f t="shared" si="45"/>
        <v>Long spears</v>
      </c>
      <c r="DQ28">
        <f t="shared" si="163"/>
        <v>26</v>
      </c>
      <c r="DR28" s="5" t="str">
        <f t="shared" si="164"/>
        <v>Long spears</v>
      </c>
      <c r="DS28" s="68">
        <f>COUNTIF(Builder!$K$13:$N$13,DR28)</f>
        <v>0</v>
      </c>
      <c r="DT28" s="68" t="str">
        <f>IF(DS28=1,Stats!$N43,"")</f>
        <v/>
      </c>
      <c r="DU28" s="68" t="str">
        <f>IF(DS28=1,Stats!$O43,"")</f>
        <v/>
      </c>
      <c r="DV28" s="68" t="str">
        <f>IF(DS28=1,Stats!$P43,"")</f>
        <v/>
      </c>
      <c r="DW28" s="68" t="str">
        <f>IF(DS28=1,Stats!$Q43,"")</f>
        <v/>
      </c>
      <c r="DX28" s="68" t="str">
        <f>IF(DS28=1,Stats!$R43,"")</f>
        <v/>
      </c>
      <c r="DY28" s="68" t="str">
        <f>IF(DS28=1,Stats!$S43,"")</f>
        <v/>
      </c>
      <c r="DZ28" s="68">
        <f t="shared" si="165"/>
        <v>0</v>
      </c>
      <c r="EA28">
        <f t="shared" si="166"/>
        <v>0</v>
      </c>
      <c r="EB28" s="68">
        <f>IF(EA28=0,MAX(EB$2:EB27)+1,0)</f>
        <v>26</v>
      </c>
      <c r="EC28" s="5" t="str">
        <f t="shared" si="167"/>
        <v>Long spears</v>
      </c>
      <c r="ED28" s="5" t="str">
        <f t="shared" si="51"/>
        <v>Long spears</v>
      </c>
      <c r="EF28">
        <f t="shared" si="52"/>
        <v>26</v>
      </c>
      <c r="EG28" s="5" t="str">
        <f t="shared" si="53"/>
        <v>Long spears</v>
      </c>
      <c r="EH28" s="68">
        <f>COUNTIF(Builder!$K$14:$N$14,EG28)</f>
        <v>0</v>
      </c>
      <c r="EI28" s="68" t="str">
        <f>IF(EH28=1,Stats!$N43,"")</f>
        <v/>
      </c>
      <c r="EJ28" s="68" t="str">
        <f>IF(EH28=1,Stats!$O43,"")</f>
        <v/>
      </c>
      <c r="EK28" s="68" t="str">
        <f>IF(EH28=1,Stats!$P43,"")</f>
        <v/>
      </c>
      <c r="EL28" s="68" t="str">
        <f>IF(EH28=1,Stats!$Q43,"")</f>
        <v/>
      </c>
      <c r="EM28" s="68" t="str">
        <f>IF(EH28=1,Stats!$R43,"")</f>
        <v/>
      </c>
      <c r="EN28" s="68" t="str">
        <f>IF(EH28=1,Stats!$S43,"")</f>
        <v/>
      </c>
      <c r="EO28" s="68">
        <f t="shared" si="54"/>
        <v>0</v>
      </c>
      <c r="EP28">
        <f t="shared" si="55"/>
        <v>0</v>
      </c>
      <c r="EQ28" s="68">
        <f>IF(EP28=0,MAX(EQ$2:EQ27)+1,0)</f>
        <v>26</v>
      </c>
      <c r="ER28" s="5" t="str">
        <f t="shared" si="56"/>
        <v>Long spears</v>
      </c>
      <c r="ES28" s="5" t="str">
        <f t="shared" si="57"/>
        <v>Long spears</v>
      </c>
      <c r="EU28">
        <f t="shared" si="58"/>
        <v>26</v>
      </c>
      <c r="EV28" s="5" t="str">
        <f t="shared" si="59"/>
        <v>Long spears</v>
      </c>
      <c r="EW28" s="68">
        <f>COUNTIF(Builder!$K$15:$N$15,EV28)</f>
        <v>0</v>
      </c>
      <c r="EX28" s="68" t="str">
        <f>IF(EW28=1,Stats!$N43,"")</f>
        <v/>
      </c>
      <c r="EY28" s="68" t="str">
        <f>IF(EW28=1,Stats!$O43,"")</f>
        <v/>
      </c>
      <c r="EZ28" s="68" t="str">
        <f>IF(EW28=1,Stats!$P43,"")</f>
        <v/>
      </c>
      <c r="FA28" s="68" t="str">
        <f>IF(EW28=1,Stats!$Q43,"")</f>
        <v/>
      </c>
      <c r="FB28" s="68" t="str">
        <f>IF(EW28=1,Stats!$R43,"")</f>
        <v/>
      </c>
      <c r="FC28" s="68" t="str">
        <f>IF(EW28=1,Stats!$S43,"")</f>
        <v/>
      </c>
      <c r="FD28" s="68">
        <f t="shared" si="60"/>
        <v>0</v>
      </c>
      <c r="FE28">
        <f t="shared" si="61"/>
        <v>0</v>
      </c>
      <c r="FF28" s="68">
        <f>IF(FE28=0,MAX(FF$2:FF27)+1,0)</f>
        <v>26</v>
      </c>
      <c r="FG28" s="5" t="str">
        <f t="shared" si="62"/>
        <v>Long spears</v>
      </c>
      <c r="FH28" s="5" t="str">
        <f t="shared" si="63"/>
        <v>Long spears</v>
      </c>
      <c r="FJ28">
        <f t="shared" si="64"/>
        <v>26</v>
      </c>
      <c r="FK28" s="5" t="str">
        <f t="shared" si="65"/>
        <v>Long spears</v>
      </c>
      <c r="FL28" s="68">
        <f>COUNTIF(Builder!$K$16:$N$16,FK28)</f>
        <v>0</v>
      </c>
      <c r="FM28" s="68" t="str">
        <f>IF(FL28=1,Stats!$N43,"")</f>
        <v/>
      </c>
      <c r="FN28" s="68" t="str">
        <f>IF(FL28=1,Stats!$O43,"")</f>
        <v/>
      </c>
      <c r="FO28" s="68" t="str">
        <f>IF(FL28=1,Stats!$P43,"")</f>
        <v/>
      </c>
      <c r="FP28" s="68" t="str">
        <f>IF(FL28=1,Stats!$Q43,"")</f>
        <v/>
      </c>
      <c r="FQ28" s="68" t="str">
        <f>IF(FL28=1,Stats!$R43,"")</f>
        <v/>
      </c>
      <c r="FR28" s="68" t="str">
        <f>IF(FL28=1,Stats!$S43,"")</f>
        <v/>
      </c>
      <c r="FS28" s="68">
        <f t="shared" si="66"/>
        <v>0</v>
      </c>
      <c r="FT28">
        <f t="shared" si="67"/>
        <v>0</v>
      </c>
      <c r="FU28" s="68">
        <f>IF(FT28=0,MAX(FU$2:FU27)+1,0)</f>
        <v>26</v>
      </c>
      <c r="FV28" s="5" t="str">
        <f t="shared" si="68"/>
        <v>Long spears</v>
      </c>
      <c r="FW28" s="5" t="str">
        <f t="shared" si="69"/>
        <v>Long spears</v>
      </c>
      <c r="FY28">
        <f t="shared" si="168"/>
        <v>26</v>
      </c>
      <c r="FZ28" s="5" t="str">
        <f t="shared" si="169"/>
        <v>Long spears</v>
      </c>
      <c r="GA28" s="68">
        <f>COUNTIF(Builder!$K$17:$N$17,FZ28)</f>
        <v>0</v>
      </c>
      <c r="GB28" s="68" t="str">
        <f>IF(GA28=1,Stats!$N43,"")</f>
        <v/>
      </c>
      <c r="GC28" s="68" t="str">
        <f>IF(GA28=1,Stats!$O43,"")</f>
        <v/>
      </c>
      <c r="GD28" s="68" t="str">
        <f>IF(GA28=1,Stats!$P43,"")</f>
        <v/>
      </c>
      <c r="GE28" s="68" t="str">
        <f>IF(GA28=1,Stats!$Q43,"")</f>
        <v/>
      </c>
      <c r="GF28" s="68" t="str">
        <f>IF(GA28=1,Stats!$R43,"")</f>
        <v/>
      </c>
      <c r="GG28" s="68" t="str">
        <f>IF(GA28=1,Stats!$S43,"")</f>
        <v/>
      </c>
      <c r="GH28" s="68">
        <f t="shared" si="170"/>
        <v>0</v>
      </c>
      <c r="GI28">
        <f t="shared" si="171"/>
        <v>0</v>
      </c>
      <c r="GJ28" s="68">
        <f>IF(GI28=0,MAX(GJ$2:GJ27)+1,0)</f>
        <v>26</v>
      </c>
      <c r="GK28" s="5" t="str">
        <f t="shared" si="172"/>
        <v>Long spears</v>
      </c>
      <c r="GL28" s="5" t="str">
        <f t="shared" si="75"/>
        <v>Long spears</v>
      </c>
      <c r="GN28">
        <f t="shared" si="76"/>
        <v>26</v>
      </c>
      <c r="GO28" s="5" t="str">
        <f t="shared" si="77"/>
        <v>Long spears</v>
      </c>
      <c r="GP28" s="68">
        <f>COUNTIF(Builder!$K$18:$N$18,GO28)</f>
        <v>0</v>
      </c>
      <c r="GQ28" s="68" t="str">
        <f>IF(GP28=1,Stats!$N43,"")</f>
        <v/>
      </c>
      <c r="GR28" s="68" t="str">
        <f>IF(GP28=1,Stats!$O43,"")</f>
        <v/>
      </c>
      <c r="GS28" s="68" t="str">
        <f>IF(GP28=1,Stats!$P43,"")</f>
        <v/>
      </c>
      <c r="GT28" s="68" t="str">
        <f>IF(GP28=1,Stats!$Q43,"")</f>
        <v/>
      </c>
      <c r="GU28" s="68" t="str">
        <f>IF(GP28=1,Stats!$R43,"")</f>
        <v/>
      </c>
      <c r="GV28" s="68" t="str">
        <f>IF(GP28=1,Stats!$S43,"")</f>
        <v/>
      </c>
      <c r="GW28" s="68">
        <f t="shared" si="78"/>
        <v>0</v>
      </c>
      <c r="GX28">
        <f t="shared" si="79"/>
        <v>0</v>
      </c>
      <c r="GY28" s="68">
        <f>IF(GX28=0,MAX(GY$2:GY27)+1,0)</f>
        <v>26</v>
      </c>
      <c r="GZ28" s="5" t="str">
        <f t="shared" si="80"/>
        <v>Long spears</v>
      </c>
      <c r="HA28" s="5" t="str">
        <f t="shared" si="81"/>
        <v>Long spears</v>
      </c>
      <c r="HC28">
        <f t="shared" si="82"/>
        <v>26</v>
      </c>
      <c r="HD28" s="5" t="str">
        <f t="shared" si="83"/>
        <v>Long spears</v>
      </c>
      <c r="HE28" s="68">
        <f>COUNTIF(Builder!$K$19:$N$19,HD28)</f>
        <v>0</v>
      </c>
      <c r="HF28" s="68" t="str">
        <f>IF(HE28=1,Stats!$N43,"")</f>
        <v/>
      </c>
      <c r="HG28" s="68" t="str">
        <f>IF(HE28=1,Stats!$O43,"")</f>
        <v/>
      </c>
      <c r="HH28" s="68" t="str">
        <f>IF(HE28=1,Stats!$P43,"")</f>
        <v/>
      </c>
      <c r="HI28" s="68" t="str">
        <f>IF(HE28=1,Stats!$Q43,"")</f>
        <v/>
      </c>
      <c r="HJ28" s="68" t="str">
        <f>IF(HE28=1,Stats!$R43,"")</f>
        <v/>
      </c>
      <c r="HK28" s="68" t="str">
        <f>IF(HE28=1,Stats!$S43,"")</f>
        <v/>
      </c>
      <c r="HL28" s="68">
        <f t="shared" si="84"/>
        <v>0</v>
      </c>
      <c r="HM28">
        <f t="shared" si="85"/>
        <v>0</v>
      </c>
      <c r="HN28" s="68">
        <f>IF(HM28=0,MAX(HN$2:HN27)+1,0)</f>
        <v>26</v>
      </c>
      <c r="HO28" s="5" t="str">
        <f t="shared" si="86"/>
        <v>Long spears</v>
      </c>
      <c r="HP28" s="5" t="str">
        <f t="shared" si="87"/>
        <v>Long spears</v>
      </c>
      <c r="HR28">
        <f t="shared" si="88"/>
        <v>26</v>
      </c>
      <c r="HS28" s="5" t="str">
        <f t="shared" si="89"/>
        <v>Long spears</v>
      </c>
      <c r="HT28" s="68">
        <f>COUNTIF(Builder!$K$20:$N$20,HS28)</f>
        <v>0</v>
      </c>
      <c r="HU28" s="68" t="str">
        <f>IF(HT28=1,Stats!$N43,"")</f>
        <v/>
      </c>
      <c r="HV28" s="68" t="str">
        <f>IF(HT28=1,Stats!$O43,"")</f>
        <v/>
      </c>
      <c r="HW28" s="68" t="str">
        <f>IF(HT28=1,Stats!$P43,"")</f>
        <v/>
      </c>
      <c r="HX28" s="68" t="str">
        <f>IF(HT28=1,Stats!$Q43,"")</f>
        <v/>
      </c>
      <c r="HY28" s="68" t="str">
        <f>IF(HT28=1,Stats!$R43,"")</f>
        <v/>
      </c>
      <c r="HZ28" s="68" t="str">
        <f>IF(HT28=1,Stats!$S43,"")</f>
        <v/>
      </c>
      <c r="IA28" s="68">
        <f t="shared" si="90"/>
        <v>0</v>
      </c>
      <c r="IB28">
        <f t="shared" si="91"/>
        <v>0</v>
      </c>
      <c r="IC28" s="68">
        <f>IF(IB28=0,MAX(IC$2:IC27)+1,0)</f>
        <v>26</v>
      </c>
      <c r="ID28" s="5" t="str">
        <f t="shared" si="92"/>
        <v>Long spears</v>
      </c>
      <c r="IE28" s="5" t="str">
        <f t="shared" si="93"/>
        <v>Long spears</v>
      </c>
      <c r="IG28">
        <f t="shared" si="94"/>
        <v>26</v>
      </c>
      <c r="IH28" s="5" t="str">
        <f t="shared" si="95"/>
        <v>Long spears</v>
      </c>
      <c r="II28" s="68">
        <f>COUNTIF(Builder!$K$21:$N$21,IH28)</f>
        <v>0</v>
      </c>
      <c r="IJ28" s="68" t="str">
        <f>IF(II28=1,Stats!$N43,"")</f>
        <v/>
      </c>
      <c r="IK28" s="68" t="str">
        <f>IF(II28=1,Stats!$O43,"")</f>
        <v/>
      </c>
      <c r="IL28" s="68" t="str">
        <f>IF(II28=1,Stats!$P43,"")</f>
        <v/>
      </c>
      <c r="IM28" s="68" t="str">
        <f>IF(II28=1,Stats!$Q43,"")</f>
        <v/>
      </c>
      <c r="IN28" s="68" t="str">
        <f>IF(II28=1,Stats!$R43,"")</f>
        <v/>
      </c>
      <c r="IO28" s="68" t="str">
        <f>IF(II28=1,Stats!$S43,"")</f>
        <v/>
      </c>
      <c r="IP28" s="68">
        <f t="shared" si="96"/>
        <v>0</v>
      </c>
      <c r="IQ28">
        <f t="shared" si="97"/>
        <v>0</v>
      </c>
      <c r="IR28" s="68">
        <f>IF(IQ28=0,MAX(IR$2:IR27)+1,0)</f>
        <v>26</v>
      </c>
      <c r="IS28" s="5" t="str">
        <f t="shared" si="98"/>
        <v>Long spears</v>
      </c>
      <c r="IT28" s="5" t="str">
        <f t="shared" si="99"/>
        <v>Long spears</v>
      </c>
      <c r="IV28">
        <f t="shared" si="100"/>
        <v>26</v>
      </c>
      <c r="IW28" s="5" t="str">
        <f t="shared" si="101"/>
        <v>Long spears</v>
      </c>
      <c r="IX28" s="68">
        <f>COUNTIF(Builder!$K$22:$N$22,IW28)</f>
        <v>0</v>
      </c>
      <c r="IY28" s="68" t="str">
        <f>IF(IX28=1,Stats!$N43,"")</f>
        <v/>
      </c>
      <c r="IZ28" s="68" t="str">
        <f>IF(IX28=1,Stats!$O43,"")</f>
        <v/>
      </c>
      <c r="JA28" s="68" t="str">
        <f>IF(IX28=1,Stats!$P43,"")</f>
        <v/>
      </c>
      <c r="JB28" s="68" t="str">
        <f>IF(IX28=1,Stats!$Q43,"")</f>
        <v/>
      </c>
      <c r="JC28" s="68" t="str">
        <f>IF(IX28=1,Stats!$R43,"")</f>
        <v/>
      </c>
      <c r="JD28" s="68" t="str">
        <f>IF(IX28=1,Stats!$S43,"")</f>
        <v/>
      </c>
      <c r="JE28" s="68">
        <f t="shared" si="102"/>
        <v>0</v>
      </c>
      <c r="JF28">
        <f t="shared" si="103"/>
        <v>0</v>
      </c>
      <c r="JG28" s="68">
        <f>IF(JF28=0,MAX(JG$2:JG27)+1,0)</f>
        <v>26</v>
      </c>
      <c r="JH28" s="5" t="str">
        <f t="shared" si="104"/>
        <v>Long spears</v>
      </c>
      <c r="JI28" s="5" t="str">
        <f t="shared" si="105"/>
        <v>Long spears</v>
      </c>
      <c r="JK28">
        <f t="shared" si="106"/>
        <v>26</v>
      </c>
      <c r="JL28" s="5" t="str">
        <f t="shared" si="107"/>
        <v>Long spears</v>
      </c>
      <c r="JM28" s="68">
        <f>COUNTIF(Builder!$K$23:$N$23,JL28)</f>
        <v>0</v>
      </c>
      <c r="JN28" s="68" t="str">
        <f>IF(JM28=1,Stats!$N43,"")</f>
        <v/>
      </c>
      <c r="JO28" s="68" t="str">
        <f>IF(JM28=1,Stats!$O43,"")</f>
        <v/>
      </c>
      <c r="JP28" s="68" t="str">
        <f>IF(JM28=1,Stats!$P43,"")</f>
        <v/>
      </c>
      <c r="JQ28" s="68" t="str">
        <f>IF(JM28=1,Stats!$Q43,"")</f>
        <v/>
      </c>
      <c r="JR28" s="68" t="str">
        <f>IF(JM28=1,Stats!$R43,"")</f>
        <v/>
      </c>
      <c r="JS28" s="68" t="str">
        <f>IF(JM28=1,Stats!$S43,"")</f>
        <v/>
      </c>
      <c r="JT28" s="68">
        <f t="shared" si="108"/>
        <v>0</v>
      </c>
      <c r="JU28">
        <f t="shared" si="109"/>
        <v>0</v>
      </c>
      <c r="JV28" s="68">
        <f>IF(JU28=0,MAX(JV$2:JV27)+1,0)</f>
        <v>26</v>
      </c>
      <c r="JW28" s="5" t="str">
        <f t="shared" si="110"/>
        <v>Long spears</v>
      </c>
      <c r="JX28" s="5" t="str">
        <f t="shared" si="111"/>
        <v>Long spears</v>
      </c>
      <c r="JZ28">
        <f t="shared" si="112"/>
        <v>26</v>
      </c>
      <c r="KA28" s="5" t="str">
        <f t="shared" si="113"/>
        <v>Long spears</v>
      </c>
      <c r="KB28" s="68">
        <f>COUNTIF(Builder!$K$24:$N$24,KA28)</f>
        <v>0</v>
      </c>
      <c r="KC28" s="68" t="str">
        <f>IF(KB28=1,Stats!$N43,"")</f>
        <v/>
      </c>
      <c r="KD28" s="68" t="str">
        <f>IF(KB28=1,Stats!$O43,"")</f>
        <v/>
      </c>
      <c r="KE28" s="68" t="str">
        <f>IF(KB28=1,Stats!$P43,"")</f>
        <v/>
      </c>
      <c r="KF28" s="68" t="str">
        <f>IF(KB28=1,Stats!$Q43,"")</f>
        <v/>
      </c>
      <c r="KG28" s="68" t="str">
        <f>IF(KB28=1,Stats!$R43,"")</f>
        <v/>
      </c>
      <c r="KH28" s="68" t="str">
        <f>IF(KB28=1,Stats!$S43,"")</f>
        <v/>
      </c>
      <c r="KI28" s="68">
        <f t="shared" si="114"/>
        <v>0</v>
      </c>
      <c r="KJ28">
        <f t="shared" si="115"/>
        <v>0</v>
      </c>
      <c r="KK28" s="68">
        <f>IF(KJ28=0,MAX(KK$2:KK27)+1,0)</f>
        <v>26</v>
      </c>
      <c r="KL28" s="5" t="str">
        <f t="shared" si="116"/>
        <v>Long spears</v>
      </c>
      <c r="KM28" s="5" t="str">
        <f t="shared" si="117"/>
        <v>Long spears</v>
      </c>
      <c r="KO28">
        <f t="shared" si="118"/>
        <v>26</v>
      </c>
      <c r="KP28" s="5" t="str">
        <f t="shared" si="119"/>
        <v>Long spears</v>
      </c>
      <c r="KQ28" s="68">
        <f>COUNTIF(Builder!$K$25:$N$25,KP28)</f>
        <v>0</v>
      </c>
      <c r="KR28" s="68" t="str">
        <f>IF(KQ28=1,Stats!$N43,"")</f>
        <v/>
      </c>
      <c r="KS28" s="68" t="str">
        <f>IF(KQ28=1,Stats!$O43,"")</f>
        <v/>
      </c>
      <c r="KT28" s="68" t="str">
        <f>IF(KQ28=1,Stats!$P43,"")</f>
        <v/>
      </c>
      <c r="KU28" s="68" t="str">
        <f>IF(KQ28=1,Stats!$Q43,"")</f>
        <v/>
      </c>
      <c r="KV28" s="68" t="str">
        <f>IF(KQ28=1,Stats!$R43,"")</f>
        <v/>
      </c>
      <c r="KW28" s="68" t="str">
        <f>IF(KQ28=1,Stats!$S43,"")</f>
        <v/>
      </c>
      <c r="KX28" s="68">
        <f t="shared" si="120"/>
        <v>0</v>
      </c>
      <c r="KY28">
        <f t="shared" si="121"/>
        <v>0</v>
      </c>
      <c r="KZ28" s="68">
        <f>IF(KY28=0,MAX(KZ$2:KZ27)+1,0)</f>
        <v>26</v>
      </c>
      <c r="LA28" s="5" t="str">
        <f t="shared" si="122"/>
        <v>Long spears</v>
      </c>
      <c r="LB28" s="5" t="str">
        <f t="shared" si="123"/>
        <v>Long spears</v>
      </c>
      <c r="LD28">
        <f t="shared" si="124"/>
        <v>26</v>
      </c>
      <c r="LE28" s="5" t="str">
        <f t="shared" si="125"/>
        <v>Long spears</v>
      </c>
      <c r="LF28" s="68">
        <f>COUNTIF(Builder!$K$26:$N$26,LE28)</f>
        <v>0</v>
      </c>
      <c r="LG28" s="68" t="str">
        <f>IF(LF28=1,Stats!$N43,"")</f>
        <v/>
      </c>
      <c r="LH28" s="68" t="str">
        <f>IF(LF28=1,Stats!$O43,"")</f>
        <v/>
      </c>
      <c r="LI28" s="68" t="str">
        <f>IF(LF28=1,Stats!$P43,"")</f>
        <v/>
      </c>
      <c r="LJ28" s="68" t="str">
        <f>IF(LF28=1,Stats!$Q43,"")</f>
        <v/>
      </c>
      <c r="LK28" s="68" t="str">
        <f>IF(LF28=1,Stats!$R43,"")</f>
        <v/>
      </c>
      <c r="LL28" s="68" t="str">
        <f>IF(LF28=1,Stats!$S43,"")</f>
        <v/>
      </c>
      <c r="LM28" s="68">
        <f t="shared" si="126"/>
        <v>0</v>
      </c>
      <c r="LN28">
        <f t="shared" si="127"/>
        <v>0</v>
      </c>
      <c r="LO28" s="68">
        <f>IF(LN28=0,MAX(LO$2:LO27)+1,0)</f>
        <v>26</v>
      </c>
      <c r="LP28" s="5" t="str">
        <f t="shared" si="128"/>
        <v>Long spears</v>
      </c>
      <c r="LQ28" s="5" t="str">
        <f t="shared" si="129"/>
        <v>Long spears</v>
      </c>
      <c r="LS28">
        <f t="shared" si="130"/>
        <v>26</v>
      </c>
      <c r="LT28" s="5" t="str">
        <f t="shared" si="131"/>
        <v>Long spears</v>
      </c>
      <c r="LU28" s="68">
        <f>COUNTIF(Builder!$K$27:$N$27,LT28)</f>
        <v>0</v>
      </c>
      <c r="LV28" s="68" t="str">
        <f>IF(LU28=1,Stats!$N43,"")</f>
        <v/>
      </c>
      <c r="LW28" s="68" t="str">
        <f>IF(LU28=1,Stats!$O43,"")</f>
        <v/>
      </c>
      <c r="LX28" s="68" t="str">
        <f>IF(LU28=1,Stats!$P43,"")</f>
        <v/>
      </c>
      <c r="LY28" s="68" t="str">
        <f>IF(LU28=1,Stats!$Q43,"")</f>
        <v/>
      </c>
      <c r="LZ28" s="68" t="str">
        <f>IF(LU28=1,Stats!$R43,"")</f>
        <v/>
      </c>
      <c r="MA28" s="68" t="str">
        <f>IF(LU28=1,Stats!$S43,"")</f>
        <v/>
      </c>
      <c r="MB28" s="68">
        <f t="shared" si="132"/>
        <v>0</v>
      </c>
      <c r="MC28">
        <f t="shared" si="133"/>
        <v>0</v>
      </c>
      <c r="MD28" s="68">
        <f>IF(MC28=0,MAX(MD$2:MD27)+1,0)</f>
        <v>26</v>
      </c>
      <c r="ME28" s="5" t="str">
        <f t="shared" si="134"/>
        <v>Long spears</v>
      </c>
      <c r="MF28" s="5" t="str">
        <f t="shared" si="135"/>
        <v>Long spears</v>
      </c>
      <c r="MH28">
        <f t="shared" si="136"/>
        <v>26</v>
      </c>
      <c r="MI28" s="5" t="str">
        <f t="shared" si="137"/>
        <v>Long spears</v>
      </c>
      <c r="MJ28" s="68">
        <f>COUNTIF(Builder!$K$28:$N$28,MI28)</f>
        <v>0</v>
      </c>
      <c r="MK28" s="68" t="str">
        <f>IF(MJ28=1,Stats!$N43,"")</f>
        <v/>
      </c>
      <c r="ML28" s="68" t="str">
        <f>IF(MJ28=1,Stats!$O43,"")</f>
        <v/>
      </c>
      <c r="MM28" s="68" t="str">
        <f>IF(MJ28=1,Stats!$P43,"")</f>
        <v/>
      </c>
      <c r="MN28" s="68" t="str">
        <f>IF(MJ28=1,Stats!$Q43,"")</f>
        <v/>
      </c>
      <c r="MO28" s="68" t="str">
        <f>IF(MJ28=1,Stats!$R43,"")</f>
        <v/>
      </c>
      <c r="MP28" s="68" t="str">
        <f>IF(MJ28=1,Stats!$S43,"")</f>
        <v/>
      </c>
      <c r="MQ28" s="68">
        <f t="shared" si="138"/>
        <v>0</v>
      </c>
      <c r="MR28">
        <f t="shared" si="139"/>
        <v>0</v>
      </c>
      <c r="MS28" s="68">
        <f>IF(MR28=0,MAX(MS$2:MS27)+1,0)</f>
        <v>26</v>
      </c>
      <c r="MT28" s="5" t="str">
        <f t="shared" si="140"/>
        <v>Long spears</v>
      </c>
      <c r="MU28" s="5" t="str">
        <f t="shared" si="141"/>
        <v>Long spears</v>
      </c>
      <c r="MW28">
        <f t="shared" si="142"/>
        <v>26</v>
      </c>
      <c r="MX28" s="5" t="str">
        <f t="shared" si="143"/>
        <v>Long spears</v>
      </c>
      <c r="MY28" s="68">
        <f>COUNTIF(Builder!$K$29:$N$29,MX28)</f>
        <v>0</v>
      </c>
      <c r="MZ28" s="68" t="str">
        <f>IF(MY28=1,Stats!$N43,"")</f>
        <v/>
      </c>
      <c r="NA28" s="68" t="str">
        <f>IF(MY28=1,Stats!$O43,"")</f>
        <v/>
      </c>
      <c r="NB28" s="68" t="str">
        <f>IF(MY28=1,Stats!$P43,"")</f>
        <v/>
      </c>
      <c r="NC28" s="68" t="str">
        <f>IF(MY28=1,Stats!$Q43,"")</f>
        <v/>
      </c>
      <c r="ND28" s="68" t="str">
        <f>IF(MY28=1,Stats!$R43,"")</f>
        <v/>
      </c>
      <c r="NE28" s="68" t="str">
        <f>IF(MY28=1,Stats!$S43,"")</f>
        <v/>
      </c>
      <c r="NF28" s="68">
        <f t="shared" si="144"/>
        <v>0</v>
      </c>
      <c r="NG28">
        <f t="shared" si="145"/>
        <v>0</v>
      </c>
      <c r="NH28" s="68">
        <f>IF(NG28=0,MAX(NH$2:NH27)+1,0)</f>
        <v>26</v>
      </c>
      <c r="NI28" s="5" t="str">
        <f t="shared" si="146"/>
        <v>Long spears</v>
      </c>
      <c r="NJ28" s="5" t="str">
        <f t="shared" si="147"/>
        <v>Long spears</v>
      </c>
    </row>
    <row r="29" spans="1:374" ht="15" x14ac:dyDescent="0.3">
      <c r="A29">
        <v>27</v>
      </c>
      <c r="B29" s="5" t="s">
        <v>211</v>
      </c>
      <c r="C29" s="68">
        <f>COUNTIF(Builder!$K$5:$N$5,B29)</f>
        <v>0</v>
      </c>
      <c r="D29" s="68" t="str">
        <f>IF(C29=1,Stats!$N44,"")</f>
        <v/>
      </c>
      <c r="E29" s="68" t="str">
        <f>IF(C29=1,Stats!$O44,"")</f>
        <v/>
      </c>
      <c r="F29" s="68" t="str">
        <f>IF(C29=1,Stats!$P44,"")</f>
        <v/>
      </c>
      <c r="G29" s="68" t="str">
        <f>IF(C29=1,Stats!$Q44,"")</f>
        <v/>
      </c>
      <c r="H29" s="68" t="str">
        <f>IF(C29=1,Stats!$R44,"")</f>
        <v/>
      </c>
      <c r="I29" s="68" t="str">
        <f>IF(C29=1,Stats!$S44,"")</f>
        <v/>
      </c>
      <c r="J29" s="68">
        <f t="shared" si="0"/>
        <v>0</v>
      </c>
      <c r="K29">
        <f t="shared" si="1"/>
        <v>0</v>
      </c>
      <c r="L29" s="68">
        <f>IF(K29=0,MAX($L$2:L28)+1,0)</f>
        <v>27</v>
      </c>
      <c r="M29" s="5" t="str">
        <f t="shared" si="2"/>
        <v>Malodorous</v>
      </c>
      <c r="N29" s="5" t="str">
        <f t="shared" si="3"/>
        <v>Malodorous</v>
      </c>
      <c r="O29" s="5"/>
      <c r="P29">
        <f t="shared" si="4"/>
        <v>27</v>
      </c>
      <c r="Q29" s="5" t="str">
        <f t="shared" si="5"/>
        <v>Malodorous</v>
      </c>
      <c r="R29" s="68">
        <f>COUNTIF(Builder!$K$6:$N$6,Q29)</f>
        <v>0</v>
      </c>
      <c r="S29" s="68" t="str">
        <f>IF(R29=1,Stats!$N44,"")</f>
        <v/>
      </c>
      <c r="T29" s="68" t="str">
        <f>IF(R29=1,Stats!$O44,"")</f>
        <v/>
      </c>
      <c r="U29" s="68" t="str">
        <f>IF(R29=1,Stats!$P44,"")</f>
        <v/>
      </c>
      <c r="V29" s="68" t="str">
        <f>IF(R29=1,Stats!$Q44,"")</f>
        <v/>
      </c>
      <c r="W29" s="68" t="str">
        <f>IF(R29=1,Stats!$R44,"")</f>
        <v/>
      </c>
      <c r="X29" s="68" t="str">
        <f>IF(R29=1,Stats!$S44,"")</f>
        <v/>
      </c>
      <c r="Y29" s="68">
        <f t="shared" si="6"/>
        <v>0</v>
      </c>
      <c r="Z29">
        <f t="shared" si="7"/>
        <v>0</v>
      </c>
      <c r="AA29" s="68">
        <f>IF(Z29=0,MAX($AA$2:AA28)+1,0)</f>
        <v>27</v>
      </c>
      <c r="AB29" s="5" t="str">
        <f t="shared" si="8"/>
        <v>Malodorous</v>
      </c>
      <c r="AC29" s="5" t="str">
        <f t="shared" si="9"/>
        <v>Malodorous</v>
      </c>
      <c r="AD29" s="5"/>
      <c r="AE29">
        <f t="shared" si="10"/>
        <v>27</v>
      </c>
      <c r="AF29" s="5" t="str">
        <f t="shared" si="11"/>
        <v>Malodorous</v>
      </c>
      <c r="AG29" s="68">
        <f>COUNTIF(Builder!$K$7:$N$7,AF29)</f>
        <v>0</v>
      </c>
      <c r="AH29" s="68" t="str">
        <f>IF(AG29=1,Stats!$N44,"")</f>
        <v/>
      </c>
      <c r="AI29" s="68" t="str">
        <f>IF(AG29=1,Stats!$O44,"")</f>
        <v/>
      </c>
      <c r="AJ29" s="68" t="str">
        <f>IF(AG29=1,Stats!$P44,"")</f>
        <v/>
      </c>
      <c r="AK29" s="68" t="str">
        <f>IF(AG29=1,Stats!$Q44,"")</f>
        <v/>
      </c>
      <c r="AL29" s="68" t="str">
        <f>IF(AG29=1,Stats!$R44,"")</f>
        <v/>
      </c>
      <c r="AM29" s="68" t="str">
        <f>IF(AG29=1,Stats!$S44,"")</f>
        <v/>
      </c>
      <c r="AN29" s="68">
        <f t="shared" si="12"/>
        <v>0</v>
      </c>
      <c r="AO29">
        <f t="shared" si="13"/>
        <v>0</v>
      </c>
      <c r="AP29" s="68">
        <f>IF(AO29=0,MAX($AP$2:AP28)+1,0)</f>
        <v>27</v>
      </c>
      <c r="AQ29" s="5" t="str">
        <f t="shared" si="14"/>
        <v>Malodorous</v>
      </c>
      <c r="AR29" s="5" t="str">
        <f t="shared" si="15"/>
        <v>Malodorous</v>
      </c>
      <c r="AS29" s="5"/>
      <c r="AT29">
        <f t="shared" si="16"/>
        <v>27</v>
      </c>
      <c r="AU29" s="5" t="str">
        <f t="shared" si="17"/>
        <v>Malodorous</v>
      </c>
      <c r="AV29" s="68">
        <f>COUNTIF(Builder!$K$8:$N$8,AU29)</f>
        <v>0</v>
      </c>
      <c r="AW29" s="68" t="str">
        <f>IF(AV29=1,Stats!$N44,"")</f>
        <v/>
      </c>
      <c r="AX29" s="68" t="str">
        <f>IF(AV29=1,Stats!$O44,"")</f>
        <v/>
      </c>
      <c r="AY29" s="68" t="str">
        <f>IF(AV29=1,Stats!$P44,"")</f>
        <v/>
      </c>
      <c r="AZ29" s="68" t="str">
        <f>IF(AV29=1,Stats!$Q44,"")</f>
        <v/>
      </c>
      <c r="BA29" s="68" t="str">
        <f>IF(AV29=1,Stats!$R44,"")</f>
        <v/>
      </c>
      <c r="BB29" s="68" t="str">
        <f>IF(AV29=1,Stats!$S44,"")</f>
        <v/>
      </c>
      <c r="BC29" s="68">
        <f t="shared" si="18"/>
        <v>0</v>
      </c>
      <c r="BD29">
        <f t="shared" si="19"/>
        <v>0</v>
      </c>
      <c r="BE29" s="68">
        <f>IF(BD29=0,MAX($BE$2:BE28)+1,0)</f>
        <v>27</v>
      </c>
      <c r="BF29" s="5" t="str">
        <f t="shared" si="20"/>
        <v>Malodorous</v>
      </c>
      <c r="BG29" s="5" t="str">
        <f t="shared" si="21"/>
        <v>Malodorous</v>
      </c>
      <c r="BH29" s="5"/>
      <c r="BI29">
        <f t="shared" si="148"/>
        <v>27</v>
      </c>
      <c r="BJ29" s="5" t="str">
        <f t="shared" si="149"/>
        <v>Malodorous</v>
      </c>
      <c r="BK29" s="68">
        <f>COUNTIF(Builder!$K$9:$N$9,BJ29)</f>
        <v>0</v>
      </c>
      <c r="BL29" s="68" t="str">
        <f>IF(BK29=1,Stats!$N44,"")</f>
        <v/>
      </c>
      <c r="BM29" s="68" t="str">
        <f>IF(BK29=1,Stats!$O44,"")</f>
        <v/>
      </c>
      <c r="BN29" s="68" t="str">
        <f>IF(BK29=1,Stats!$P44,"")</f>
        <v/>
      </c>
      <c r="BO29" s="68" t="str">
        <f>IF(BK29=1,Stats!$Q44,"")</f>
        <v/>
      </c>
      <c r="BP29" s="68" t="str">
        <f>IF(BK29=1,Stats!$R44,"")</f>
        <v/>
      </c>
      <c r="BQ29" s="68" t="str">
        <f>IF(BK29=1,Stats!$S44,"")</f>
        <v/>
      </c>
      <c r="BR29" s="68">
        <f t="shared" si="150"/>
        <v>0</v>
      </c>
      <c r="BS29">
        <f t="shared" si="151"/>
        <v>0</v>
      </c>
      <c r="BT29" s="68">
        <f>IF(BS29=0,MAX(BT$2:BT28)+1,0)</f>
        <v>27</v>
      </c>
      <c r="BU29" s="5" t="str">
        <f t="shared" si="152"/>
        <v>Malodorous</v>
      </c>
      <c r="BV29" s="5" t="str">
        <f t="shared" si="27"/>
        <v>Malodorous</v>
      </c>
      <c r="BX29">
        <f t="shared" si="153"/>
        <v>27</v>
      </c>
      <c r="BY29" s="5" t="str">
        <f t="shared" si="154"/>
        <v>Malodorous</v>
      </c>
      <c r="BZ29" s="68">
        <f>COUNTIF(Builder!$K$10:$N$10,BY29)</f>
        <v>0</v>
      </c>
      <c r="CA29" s="68" t="str">
        <f>IF(BZ29=1,Stats!$N44,"")</f>
        <v/>
      </c>
      <c r="CB29" s="68" t="str">
        <f>IF(BZ29=1,Stats!$O44,"")</f>
        <v/>
      </c>
      <c r="CC29" s="68" t="str">
        <f>IF(BZ29=1,Stats!$P44,"")</f>
        <v/>
      </c>
      <c r="CD29" s="68" t="str">
        <f>IF(BZ29=1,Stats!$Q44,"")</f>
        <v/>
      </c>
      <c r="CE29" s="68" t="str">
        <f>IF(BZ29=1,Stats!$R44,"")</f>
        <v/>
      </c>
      <c r="CF29" s="68" t="str">
        <f>IF(BZ29=1,Stats!$S44,"")</f>
        <v/>
      </c>
      <c r="CG29" s="68">
        <f t="shared" si="155"/>
        <v>0</v>
      </c>
      <c r="CH29">
        <f t="shared" si="156"/>
        <v>0</v>
      </c>
      <c r="CI29" s="68">
        <f>IF(CH29=0,MAX(CI$2:CI28)+1,0)</f>
        <v>27</v>
      </c>
      <c r="CJ29" s="5" t="str">
        <f t="shared" si="157"/>
        <v>Malodorous</v>
      </c>
      <c r="CK29" s="5" t="str">
        <f t="shared" si="33"/>
        <v>Malodorous</v>
      </c>
      <c r="CM29">
        <f t="shared" si="34"/>
        <v>27</v>
      </c>
      <c r="CN29" s="5" t="str">
        <f t="shared" si="35"/>
        <v>Malodorous</v>
      </c>
      <c r="CO29" s="68">
        <f>COUNTIF(Builder!$K$11:$N$11,CN29)</f>
        <v>0</v>
      </c>
      <c r="CP29" s="68" t="str">
        <f>IF(CO29=1,Stats!$N44,"")</f>
        <v/>
      </c>
      <c r="CQ29" s="68" t="str">
        <f>IF(CO29=1,Stats!$O44,"")</f>
        <v/>
      </c>
      <c r="CR29" s="68" t="str">
        <f>IF(CO29=1,Stats!$P44,"")</f>
        <v/>
      </c>
      <c r="CS29" s="68" t="str">
        <f>IF(CO29=1,Stats!$Q44,"")</f>
        <v/>
      </c>
      <c r="CT29" s="68" t="str">
        <f>IF(CO29=1,Stats!$R44,"")</f>
        <v/>
      </c>
      <c r="CU29" s="68" t="str">
        <f>IF(CO29=1,Stats!$S44,"")</f>
        <v/>
      </c>
      <c r="CV29" s="68">
        <f t="shared" si="36"/>
        <v>0</v>
      </c>
      <c r="CW29">
        <f t="shared" si="37"/>
        <v>0</v>
      </c>
      <c r="CX29" s="68">
        <f>IF(CW29=0,MAX(CX$2:CX28)+1,0)</f>
        <v>27</v>
      </c>
      <c r="CY29" s="5" t="str">
        <f t="shared" si="38"/>
        <v>Malodorous</v>
      </c>
      <c r="CZ29" s="5" t="str">
        <f t="shared" si="39"/>
        <v>Malodorous</v>
      </c>
      <c r="DB29">
        <f t="shared" si="158"/>
        <v>27</v>
      </c>
      <c r="DC29" s="5" t="str">
        <f t="shared" si="159"/>
        <v>Malodorous</v>
      </c>
      <c r="DD29" s="68">
        <f>COUNTIF(Builder!$K$12:$N$12,DC29)</f>
        <v>0</v>
      </c>
      <c r="DE29" s="68" t="str">
        <f>IF(DD29=1,Stats!$N44,"")</f>
        <v/>
      </c>
      <c r="DF29" s="68" t="str">
        <f>IF(DD29=1,Stats!$O44,"")</f>
        <v/>
      </c>
      <c r="DG29" s="68" t="str">
        <f>IF(DD29=1,Stats!$P44,"")</f>
        <v/>
      </c>
      <c r="DH29" s="68" t="str">
        <f>IF(DD29=1,Stats!$Q44,"")</f>
        <v/>
      </c>
      <c r="DI29" s="68" t="str">
        <f>IF(DD29=1,Stats!$R44,"")</f>
        <v/>
      </c>
      <c r="DJ29" s="68" t="str">
        <f>IF(DD29=1,Stats!$S44,"")</f>
        <v/>
      </c>
      <c r="DK29" s="68">
        <f t="shared" si="160"/>
        <v>0</v>
      </c>
      <c r="DL29">
        <f t="shared" si="161"/>
        <v>0</v>
      </c>
      <c r="DM29" s="68">
        <f>IF(DL29=0,MAX(DM$2:DM28)+1,0)</f>
        <v>27</v>
      </c>
      <c r="DN29" s="5" t="str">
        <f t="shared" si="162"/>
        <v>Malodorous</v>
      </c>
      <c r="DO29" s="5" t="str">
        <f t="shared" si="45"/>
        <v>Malodorous</v>
      </c>
      <c r="DQ29">
        <f t="shared" si="163"/>
        <v>27</v>
      </c>
      <c r="DR29" s="5" t="str">
        <f t="shared" si="164"/>
        <v>Malodorous</v>
      </c>
      <c r="DS29" s="68">
        <f>COUNTIF(Builder!$K$13:$N$13,DR29)</f>
        <v>0</v>
      </c>
      <c r="DT29" s="68" t="str">
        <f>IF(DS29=1,Stats!$N44,"")</f>
        <v/>
      </c>
      <c r="DU29" s="68" t="str">
        <f>IF(DS29=1,Stats!$O44,"")</f>
        <v/>
      </c>
      <c r="DV29" s="68" t="str">
        <f>IF(DS29=1,Stats!$P44,"")</f>
        <v/>
      </c>
      <c r="DW29" s="68" t="str">
        <f>IF(DS29=1,Stats!$Q44,"")</f>
        <v/>
      </c>
      <c r="DX29" s="68" t="str">
        <f>IF(DS29=1,Stats!$R44,"")</f>
        <v/>
      </c>
      <c r="DY29" s="68" t="str">
        <f>IF(DS29=1,Stats!$S44,"")</f>
        <v/>
      </c>
      <c r="DZ29" s="68">
        <f t="shared" si="165"/>
        <v>0</v>
      </c>
      <c r="EA29">
        <f t="shared" si="166"/>
        <v>0</v>
      </c>
      <c r="EB29" s="68">
        <f>IF(EA29=0,MAX(EB$2:EB28)+1,0)</f>
        <v>27</v>
      </c>
      <c r="EC29" s="5" t="str">
        <f t="shared" si="167"/>
        <v>Malodorous</v>
      </c>
      <c r="ED29" s="5" t="str">
        <f t="shared" si="51"/>
        <v>Malodorous</v>
      </c>
      <c r="EF29">
        <f t="shared" si="52"/>
        <v>27</v>
      </c>
      <c r="EG29" s="5" t="str">
        <f t="shared" si="53"/>
        <v>Malodorous</v>
      </c>
      <c r="EH29" s="68">
        <f>COUNTIF(Builder!$K$14:$N$14,EG29)</f>
        <v>0</v>
      </c>
      <c r="EI29" s="68" t="str">
        <f>IF(EH29=1,Stats!$N44,"")</f>
        <v/>
      </c>
      <c r="EJ29" s="68" t="str">
        <f>IF(EH29=1,Stats!$O44,"")</f>
        <v/>
      </c>
      <c r="EK29" s="68" t="str">
        <f>IF(EH29=1,Stats!$P44,"")</f>
        <v/>
      </c>
      <c r="EL29" s="68" t="str">
        <f>IF(EH29=1,Stats!$Q44,"")</f>
        <v/>
      </c>
      <c r="EM29" s="68" t="str">
        <f>IF(EH29=1,Stats!$R44,"")</f>
        <v/>
      </c>
      <c r="EN29" s="68" t="str">
        <f>IF(EH29=1,Stats!$S44,"")</f>
        <v/>
      </c>
      <c r="EO29" s="68">
        <f t="shared" si="54"/>
        <v>0</v>
      </c>
      <c r="EP29">
        <f t="shared" si="55"/>
        <v>0</v>
      </c>
      <c r="EQ29" s="68">
        <f>IF(EP29=0,MAX(EQ$2:EQ28)+1,0)</f>
        <v>27</v>
      </c>
      <c r="ER29" s="5" t="str">
        <f t="shared" si="56"/>
        <v>Malodorous</v>
      </c>
      <c r="ES29" s="5" t="str">
        <f t="shared" si="57"/>
        <v>Malodorous</v>
      </c>
      <c r="EU29">
        <f t="shared" si="58"/>
        <v>27</v>
      </c>
      <c r="EV29" s="5" t="str">
        <f t="shared" si="59"/>
        <v>Malodorous</v>
      </c>
      <c r="EW29" s="68">
        <f>COUNTIF(Builder!$K$15:$N$15,EV29)</f>
        <v>0</v>
      </c>
      <c r="EX29" s="68" t="str">
        <f>IF(EW29=1,Stats!$N44,"")</f>
        <v/>
      </c>
      <c r="EY29" s="68" t="str">
        <f>IF(EW29=1,Stats!$O44,"")</f>
        <v/>
      </c>
      <c r="EZ29" s="68" t="str">
        <f>IF(EW29=1,Stats!$P44,"")</f>
        <v/>
      </c>
      <c r="FA29" s="68" t="str">
        <f>IF(EW29=1,Stats!$Q44,"")</f>
        <v/>
      </c>
      <c r="FB29" s="68" t="str">
        <f>IF(EW29=1,Stats!$R44,"")</f>
        <v/>
      </c>
      <c r="FC29" s="68" t="str">
        <f>IF(EW29=1,Stats!$S44,"")</f>
        <v/>
      </c>
      <c r="FD29" s="68">
        <f t="shared" si="60"/>
        <v>0</v>
      </c>
      <c r="FE29">
        <f t="shared" si="61"/>
        <v>0</v>
      </c>
      <c r="FF29" s="68">
        <f>IF(FE29=0,MAX(FF$2:FF28)+1,0)</f>
        <v>27</v>
      </c>
      <c r="FG29" s="5" t="str">
        <f t="shared" si="62"/>
        <v>Malodorous</v>
      </c>
      <c r="FH29" s="5" t="str">
        <f t="shared" si="63"/>
        <v>Malodorous</v>
      </c>
      <c r="FJ29">
        <f t="shared" si="64"/>
        <v>27</v>
      </c>
      <c r="FK29" s="5" t="str">
        <f t="shared" si="65"/>
        <v>Malodorous</v>
      </c>
      <c r="FL29" s="68">
        <f>COUNTIF(Builder!$K$16:$N$16,FK29)</f>
        <v>0</v>
      </c>
      <c r="FM29" s="68" t="str">
        <f>IF(FL29=1,Stats!$N44,"")</f>
        <v/>
      </c>
      <c r="FN29" s="68" t="str">
        <f>IF(FL29=1,Stats!$O44,"")</f>
        <v/>
      </c>
      <c r="FO29" s="68" t="str">
        <f>IF(FL29=1,Stats!$P44,"")</f>
        <v/>
      </c>
      <c r="FP29" s="68" t="str">
        <f>IF(FL29=1,Stats!$Q44,"")</f>
        <v/>
      </c>
      <c r="FQ29" s="68" t="str">
        <f>IF(FL29=1,Stats!$R44,"")</f>
        <v/>
      </c>
      <c r="FR29" s="68" t="str">
        <f>IF(FL29=1,Stats!$S44,"")</f>
        <v/>
      </c>
      <c r="FS29" s="68">
        <f t="shared" si="66"/>
        <v>0</v>
      </c>
      <c r="FT29">
        <f t="shared" si="67"/>
        <v>0</v>
      </c>
      <c r="FU29" s="68">
        <f>IF(FT29=0,MAX(FU$2:FU28)+1,0)</f>
        <v>27</v>
      </c>
      <c r="FV29" s="5" t="str">
        <f t="shared" si="68"/>
        <v>Malodorous</v>
      </c>
      <c r="FW29" s="5" t="str">
        <f t="shared" si="69"/>
        <v>Malodorous</v>
      </c>
      <c r="FY29">
        <f t="shared" si="168"/>
        <v>27</v>
      </c>
      <c r="FZ29" s="5" t="str">
        <f t="shared" si="169"/>
        <v>Malodorous</v>
      </c>
      <c r="GA29" s="68">
        <f>COUNTIF(Builder!$K$17:$N$17,FZ29)</f>
        <v>0</v>
      </c>
      <c r="GB29" s="68" t="str">
        <f>IF(GA29=1,Stats!$N44,"")</f>
        <v/>
      </c>
      <c r="GC29" s="68" t="str">
        <f>IF(GA29=1,Stats!$O44,"")</f>
        <v/>
      </c>
      <c r="GD29" s="68" t="str">
        <f>IF(GA29=1,Stats!$P44,"")</f>
        <v/>
      </c>
      <c r="GE29" s="68" t="str">
        <f>IF(GA29=1,Stats!$Q44,"")</f>
        <v/>
      </c>
      <c r="GF29" s="68" t="str">
        <f>IF(GA29=1,Stats!$R44,"")</f>
        <v/>
      </c>
      <c r="GG29" s="68" t="str">
        <f>IF(GA29=1,Stats!$S44,"")</f>
        <v/>
      </c>
      <c r="GH29" s="68">
        <f t="shared" si="170"/>
        <v>0</v>
      </c>
      <c r="GI29">
        <f t="shared" si="171"/>
        <v>0</v>
      </c>
      <c r="GJ29" s="68">
        <f>IF(GI29=0,MAX(GJ$2:GJ28)+1,0)</f>
        <v>27</v>
      </c>
      <c r="GK29" s="5" t="str">
        <f t="shared" si="172"/>
        <v>Malodorous</v>
      </c>
      <c r="GL29" s="5" t="str">
        <f t="shared" si="75"/>
        <v>Malodorous</v>
      </c>
      <c r="GN29">
        <f t="shared" si="76"/>
        <v>27</v>
      </c>
      <c r="GO29" s="5" t="str">
        <f t="shared" si="77"/>
        <v>Malodorous</v>
      </c>
      <c r="GP29" s="68">
        <f>COUNTIF(Builder!$K$18:$N$18,GO29)</f>
        <v>0</v>
      </c>
      <c r="GQ29" s="68" t="str">
        <f>IF(GP29=1,Stats!$N44,"")</f>
        <v/>
      </c>
      <c r="GR29" s="68" t="str">
        <f>IF(GP29=1,Stats!$O44,"")</f>
        <v/>
      </c>
      <c r="GS29" s="68" t="str">
        <f>IF(GP29=1,Stats!$P44,"")</f>
        <v/>
      </c>
      <c r="GT29" s="68" t="str">
        <f>IF(GP29=1,Stats!$Q44,"")</f>
        <v/>
      </c>
      <c r="GU29" s="68" t="str">
        <f>IF(GP29=1,Stats!$R44,"")</f>
        <v/>
      </c>
      <c r="GV29" s="68" t="str">
        <f>IF(GP29=1,Stats!$S44,"")</f>
        <v/>
      </c>
      <c r="GW29" s="68">
        <f t="shared" si="78"/>
        <v>0</v>
      </c>
      <c r="GX29">
        <f t="shared" si="79"/>
        <v>0</v>
      </c>
      <c r="GY29" s="68">
        <f>IF(GX29=0,MAX(GY$2:GY28)+1,0)</f>
        <v>27</v>
      </c>
      <c r="GZ29" s="5" t="str">
        <f t="shared" si="80"/>
        <v>Malodorous</v>
      </c>
      <c r="HA29" s="5" t="str">
        <f t="shared" si="81"/>
        <v>Malodorous</v>
      </c>
      <c r="HC29">
        <f t="shared" si="82"/>
        <v>27</v>
      </c>
      <c r="HD29" s="5" t="str">
        <f t="shared" si="83"/>
        <v>Malodorous</v>
      </c>
      <c r="HE29" s="68">
        <f>COUNTIF(Builder!$K$19:$N$19,HD29)</f>
        <v>0</v>
      </c>
      <c r="HF29" s="68" t="str">
        <f>IF(HE29=1,Stats!$N44,"")</f>
        <v/>
      </c>
      <c r="HG29" s="68" t="str">
        <f>IF(HE29=1,Stats!$O44,"")</f>
        <v/>
      </c>
      <c r="HH29" s="68" t="str">
        <f>IF(HE29=1,Stats!$P44,"")</f>
        <v/>
      </c>
      <c r="HI29" s="68" t="str">
        <f>IF(HE29=1,Stats!$Q44,"")</f>
        <v/>
      </c>
      <c r="HJ29" s="68" t="str">
        <f>IF(HE29=1,Stats!$R44,"")</f>
        <v/>
      </c>
      <c r="HK29" s="68" t="str">
        <f>IF(HE29=1,Stats!$S44,"")</f>
        <v/>
      </c>
      <c r="HL29" s="68">
        <f t="shared" si="84"/>
        <v>0</v>
      </c>
      <c r="HM29">
        <f t="shared" si="85"/>
        <v>0</v>
      </c>
      <c r="HN29" s="68">
        <f>IF(HM29=0,MAX(HN$2:HN28)+1,0)</f>
        <v>27</v>
      </c>
      <c r="HO29" s="5" t="str">
        <f t="shared" si="86"/>
        <v>Malodorous</v>
      </c>
      <c r="HP29" s="5" t="str">
        <f t="shared" si="87"/>
        <v>Malodorous</v>
      </c>
      <c r="HR29">
        <f t="shared" si="88"/>
        <v>27</v>
      </c>
      <c r="HS29" s="5" t="str">
        <f t="shared" si="89"/>
        <v>Malodorous</v>
      </c>
      <c r="HT29" s="68">
        <f>COUNTIF(Builder!$K$20:$N$20,HS29)</f>
        <v>0</v>
      </c>
      <c r="HU29" s="68" t="str">
        <f>IF(HT29=1,Stats!$N44,"")</f>
        <v/>
      </c>
      <c r="HV29" s="68" t="str">
        <f>IF(HT29=1,Stats!$O44,"")</f>
        <v/>
      </c>
      <c r="HW29" s="68" t="str">
        <f>IF(HT29=1,Stats!$P44,"")</f>
        <v/>
      </c>
      <c r="HX29" s="68" t="str">
        <f>IF(HT29=1,Stats!$Q44,"")</f>
        <v/>
      </c>
      <c r="HY29" s="68" t="str">
        <f>IF(HT29=1,Stats!$R44,"")</f>
        <v/>
      </c>
      <c r="HZ29" s="68" t="str">
        <f>IF(HT29=1,Stats!$S44,"")</f>
        <v/>
      </c>
      <c r="IA29" s="68">
        <f t="shared" si="90"/>
        <v>0</v>
      </c>
      <c r="IB29">
        <f t="shared" si="91"/>
        <v>0</v>
      </c>
      <c r="IC29" s="68">
        <f>IF(IB29=0,MAX(IC$2:IC28)+1,0)</f>
        <v>27</v>
      </c>
      <c r="ID29" s="5" t="str">
        <f t="shared" si="92"/>
        <v>Malodorous</v>
      </c>
      <c r="IE29" s="5" t="str">
        <f t="shared" si="93"/>
        <v>Malodorous</v>
      </c>
      <c r="IG29">
        <f t="shared" si="94"/>
        <v>27</v>
      </c>
      <c r="IH29" s="5" t="str">
        <f t="shared" si="95"/>
        <v>Malodorous</v>
      </c>
      <c r="II29" s="68">
        <f>COUNTIF(Builder!$K$21:$N$21,IH29)</f>
        <v>0</v>
      </c>
      <c r="IJ29" s="68" t="str">
        <f>IF(II29=1,Stats!$N44,"")</f>
        <v/>
      </c>
      <c r="IK29" s="68" t="str">
        <f>IF(II29=1,Stats!$O44,"")</f>
        <v/>
      </c>
      <c r="IL29" s="68" t="str">
        <f>IF(II29=1,Stats!$P44,"")</f>
        <v/>
      </c>
      <c r="IM29" s="68" t="str">
        <f>IF(II29=1,Stats!$Q44,"")</f>
        <v/>
      </c>
      <c r="IN29" s="68" t="str">
        <f>IF(II29=1,Stats!$R44,"")</f>
        <v/>
      </c>
      <c r="IO29" s="68" t="str">
        <f>IF(II29=1,Stats!$S44,"")</f>
        <v/>
      </c>
      <c r="IP29" s="68">
        <f t="shared" si="96"/>
        <v>0</v>
      </c>
      <c r="IQ29">
        <f t="shared" si="97"/>
        <v>0</v>
      </c>
      <c r="IR29" s="68">
        <f>IF(IQ29=0,MAX(IR$2:IR28)+1,0)</f>
        <v>27</v>
      </c>
      <c r="IS29" s="5" t="str">
        <f t="shared" si="98"/>
        <v>Malodorous</v>
      </c>
      <c r="IT29" s="5" t="str">
        <f t="shared" si="99"/>
        <v>Malodorous</v>
      </c>
      <c r="IV29">
        <f t="shared" si="100"/>
        <v>27</v>
      </c>
      <c r="IW29" s="5" t="str">
        <f t="shared" si="101"/>
        <v>Malodorous</v>
      </c>
      <c r="IX29" s="68">
        <f>COUNTIF(Builder!$K$22:$N$22,IW29)</f>
        <v>0</v>
      </c>
      <c r="IY29" s="68" t="str">
        <f>IF(IX29=1,Stats!$N44,"")</f>
        <v/>
      </c>
      <c r="IZ29" s="68" t="str">
        <f>IF(IX29=1,Stats!$O44,"")</f>
        <v/>
      </c>
      <c r="JA29" s="68" t="str">
        <f>IF(IX29=1,Stats!$P44,"")</f>
        <v/>
      </c>
      <c r="JB29" s="68" t="str">
        <f>IF(IX29=1,Stats!$Q44,"")</f>
        <v/>
      </c>
      <c r="JC29" s="68" t="str">
        <f>IF(IX29=1,Stats!$R44,"")</f>
        <v/>
      </c>
      <c r="JD29" s="68" t="str">
        <f>IF(IX29=1,Stats!$S44,"")</f>
        <v/>
      </c>
      <c r="JE29" s="68">
        <f t="shared" si="102"/>
        <v>0</v>
      </c>
      <c r="JF29">
        <f t="shared" si="103"/>
        <v>0</v>
      </c>
      <c r="JG29" s="68">
        <f>IF(JF29=0,MAX(JG$2:JG28)+1,0)</f>
        <v>27</v>
      </c>
      <c r="JH29" s="5" t="str">
        <f t="shared" si="104"/>
        <v>Malodorous</v>
      </c>
      <c r="JI29" s="5" t="str">
        <f t="shared" si="105"/>
        <v>Malodorous</v>
      </c>
      <c r="JK29">
        <f t="shared" si="106"/>
        <v>27</v>
      </c>
      <c r="JL29" s="5" t="str">
        <f t="shared" si="107"/>
        <v>Malodorous</v>
      </c>
      <c r="JM29" s="68">
        <f>COUNTIF(Builder!$K$23:$N$23,JL29)</f>
        <v>0</v>
      </c>
      <c r="JN29" s="68" t="str">
        <f>IF(JM29=1,Stats!$N44,"")</f>
        <v/>
      </c>
      <c r="JO29" s="68" t="str">
        <f>IF(JM29=1,Stats!$O44,"")</f>
        <v/>
      </c>
      <c r="JP29" s="68" t="str">
        <f>IF(JM29=1,Stats!$P44,"")</f>
        <v/>
      </c>
      <c r="JQ29" s="68" t="str">
        <f>IF(JM29=1,Stats!$Q44,"")</f>
        <v/>
      </c>
      <c r="JR29" s="68" t="str">
        <f>IF(JM29=1,Stats!$R44,"")</f>
        <v/>
      </c>
      <c r="JS29" s="68" t="str">
        <f>IF(JM29=1,Stats!$S44,"")</f>
        <v/>
      </c>
      <c r="JT29" s="68">
        <f t="shared" si="108"/>
        <v>0</v>
      </c>
      <c r="JU29">
        <f t="shared" si="109"/>
        <v>0</v>
      </c>
      <c r="JV29" s="68">
        <f>IF(JU29=0,MAX(JV$2:JV28)+1,0)</f>
        <v>27</v>
      </c>
      <c r="JW29" s="5" t="str">
        <f t="shared" si="110"/>
        <v>Malodorous</v>
      </c>
      <c r="JX29" s="5" t="str">
        <f t="shared" si="111"/>
        <v>Malodorous</v>
      </c>
      <c r="JZ29">
        <f t="shared" si="112"/>
        <v>27</v>
      </c>
      <c r="KA29" s="5" t="str">
        <f t="shared" si="113"/>
        <v>Malodorous</v>
      </c>
      <c r="KB29" s="68">
        <f>COUNTIF(Builder!$K$24:$N$24,KA29)</f>
        <v>0</v>
      </c>
      <c r="KC29" s="68" t="str">
        <f>IF(KB29=1,Stats!$N44,"")</f>
        <v/>
      </c>
      <c r="KD29" s="68" t="str">
        <f>IF(KB29=1,Stats!$O44,"")</f>
        <v/>
      </c>
      <c r="KE29" s="68" t="str">
        <f>IF(KB29=1,Stats!$P44,"")</f>
        <v/>
      </c>
      <c r="KF29" s="68" t="str">
        <f>IF(KB29=1,Stats!$Q44,"")</f>
        <v/>
      </c>
      <c r="KG29" s="68" t="str">
        <f>IF(KB29=1,Stats!$R44,"")</f>
        <v/>
      </c>
      <c r="KH29" s="68" t="str">
        <f>IF(KB29=1,Stats!$S44,"")</f>
        <v/>
      </c>
      <c r="KI29" s="68">
        <f t="shared" si="114"/>
        <v>0</v>
      </c>
      <c r="KJ29">
        <f t="shared" si="115"/>
        <v>0</v>
      </c>
      <c r="KK29" s="68">
        <f>IF(KJ29=0,MAX(KK$2:KK28)+1,0)</f>
        <v>27</v>
      </c>
      <c r="KL29" s="5" t="str">
        <f t="shared" si="116"/>
        <v>Malodorous</v>
      </c>
      <c r="KM29" s="5" t="str">
        <f t="shared" si="117"/>
        <v>Malodorous</v>
      </c>
      <c r="KO29">
        <f t="shared" si="118"/>
        <v>27</v>
      </c>
      <c r="KP29" s="5" t="str">
        <f t="shared" si="119"/>
        <v>Malodorous</v>
      </c>
      <c r="KQ29" s="68">
        <f>COUNTIF(Builder!$K$25:$N$25,KP29)</f>
        <v>0</v>
      </c>
      <c r="KR29" s="68" t="str">
        <f>IF(KQ29=1,Stats!$N44,"")</f>
        <v/>
      </c>
      <c r="KS29" s="68" t="str">
        <f>IF(KQ29=1,Stats!$O44,"")</f>
        <v/>
      </c>
      <c r="KT29" s="68" t="str">
        <f>IF(KQ29=1,Stats!$P44,"")</f>
        <v/>
      </c>
      <c r="KU29" s="68" t="str">
        <f>IF(KQ29=1,Stats!$Q44,"")</f>
        <v/>
      </c>
      <c r="KV29" s="68" t="str">
        <f>IF(KQ29=1,Stats!$R44,"")</f>
        <v/>
      </c>
      <c r="KW29" s="68" t="str">
        <f>IF(KQ29=1,Stats!$S44,"")</f>
        <v/>
      </c>
      <c r="KX29" s="68">
        <f t="shared" si="120"/>
        <v>0</v>
      </c>
      <c r="KY29">
        <f t="shared" si="121"/>
        <v>0</v>
      </c>
      <c r="KZ29" s="68">
        <f>IF(KY29=0,MAX(KZ$2:KZ28)+1,0)</f>
        <v>27</v>
      </c>
      <c r="LA29" s="5" t="str">
        <f t="shared" si="122"/>
        <v>Malodorous</v>
      </c>
      <c r="LB29" s="5" t="str">
        <f t="shared" si="123"/>
        <v>Malodorous</v>
      </c>
      <c r="LD29">
        <f t="shared" si="124"/>
        <v>27</v>
      </c>
      <c r="LE29" s="5" t="str">
        <f t="shared" si="125"/>
        <v>Malodorous</v>
      </c>
      <c r="LF29" s="68">
        <f>COUNTIF(Builder!$K$26:$N$26,LE29)</f>
        <v>0</v>
      </c>
      <c r="LG29" s="68" t="str">
        <f>IF(LF29=1,Stats!$N44,"")</f>
        <v/>
      </c>
      <c r="LH29" s="68" t="str">
        <f>IF(LF29=1,Stats!$O44,"")</f>
        <v/>
      </c>
      <c r="LI29" s="68" t="str">
        <f>IF(LF29=1,Stats!$P44,"")</f>
        <v/>
      </c>
      <c r="LJ29" s="68" t="str">
        <f>IF(LF29=1,Stats!$Q44,"")</f>
        <v/>
      </c>
      <c r="LK29" s="68" t="str">
        <f>IF(LF29=1,Stats!$R44,"")</f>
        <v/>
      </c>
      <c r="LL29" s="68" t="str">
        <f>IF(LF29=1,Stats!$S44,"")</f>
        <v/>
      </c>
      <c r="LM29" s="68">
        <f t="shared" si="126"/>
        <v>0</v>
      </c>
      <c r="LN29">
        <f t="shared" si="127"/>
        <v>0</v>
      </c>
      <c r="LO29" s="68">
        <f>IF(LN29=0,MAX(LO$2:LO28)+1,0)</f>
        <v>27</v>
      </c>
      <c r="LP29" s="5" t="str">
        <f t="shared" si="128"/>
        <v>Malodorous</v>
      </c>
      <c r="LQ29" s="5" t="str">
        <f t="shared" si="129"/>
        <v>Malodorous</v>
      </c>
      <c r="LS29">
        <f t="shared" si="130"/>
        <v>27</v>
      </c>
      <c r="LT29" s="5" t="str">
        <f t="shared" si="131"/>
        <v>Malodorous</v>
      </c>
      <c r="LU29" s="68">
        <f>COUNTIF(Builder!$K$27:$N$27,LT29)</f>
        <v>0</v>
      </c>
      <c r="LV29" s="68" t="str">
        <f>IF(LU29=1,Stats!$N44,"")</f>
        <v/>
      </c>
      <c r="LW29" s="68" t="str">
        <f>IF(LU29=1,Stats!$O44,"")</f>
        <v/>
      </c>
      <c r="LX29" s="68" t="str">
        <f>IF(LU29=1,Stats!$P44,"")</f>
        <v/>
      </c>
      <c r="LY29" s="68" t="str">
        <f>IF(LU29=1,Stats!$Q44,"")</f>
        <v/>
      </c>
      <c r="LZ29" s="68" t="str">
        <f>IF(LU29=1,Stats!$R44,"")</f>
        <v/>
      </c>
      <c r="MA29" s="68" t="str">
        <f>IF(LU29=1,Stats!$S44,"")</f>
        <v/>
      </c>
      <c r="MB29" s="68">
        <f t="shared" si="132"/>
        <v>0</v>
      </c>
      <c r="MC29">
        <f t="shared" si="133"/>
        <v>0</v>
      </c>
      <c r="MD29" s="68">
        <f>IF(MC29=0,MAX(MD$2:MD28)+1,0)</f>
        <v>27</v>
      </c>
      <c r="ME29" s="5" t="str">
        <f t="shared" si="134"/>
        <v>Malodorous</v>
      </c>
      <c r="MF29" s="5" t="str">
        <f t="shared" si="135"/>
        <v>Malodorous</v>
      </c>
      <c r="MH29">
        <f t="shared" si="136"/>
        <v>27</v>
      </c>
      <c r="MI29" s="5" t="str">
        <f t="shared" si="137"/>
        <v>Malodorous</v>
      </c>
      <c r="MJ29" s="68">
        <f>COUNTIF(Builder!$K$28:$N$28,MI29)</f>
        <v>0</v>
      </c>
      <c r="MK29" s="68" t="str">
        <f>IF(MJ29=1,Stats!$N44,"")</f>
        <v/>
      </c>
      <c r="ML29" s="68" t="str">
        <f>IF(MJ29=1,Stats!$O44,"")</f>
        <v/>
      </c>
      <c r="MM29" s="68" t="str">
        <f>IF(MJ29=1,Stats!$P44,"")</f>
        <v/>
      </c>
      <c r="MN29" s="68" t="str">
        <f>IF(MJ29=1,Stats!$Q44,"")</f>
        <v/>
      </c>
      <c r="MO29" s="68" t="str">
        <f>IF(MJ29=1,Stats!$R44,"")</f>
        <v/>
      </c>
      <c r="MP29" s="68" t="str">
        <f>IF(MJ29=1,Stats!$S44,"")</f>
        <v/>
      </c>
      <c r="MQ29" s="68">
        <f t="shared" si="138"/>
        <v>0</v>
      </c>
      <c r="MR29">
        <f t="shared" si="139"/>
        <v>0</v>
      </c>
      <c r="MS29" s="68">
        <f>IF(MR29=0,MAX(MS$2:MS28)+1,0)</f>
        <v>27</v>
      </c>
      <c r="MT29" s="5" t="str">
        <f t="shared" si="140"/>
        <v>Malodorous</v>
      </c>
      <c r="MU29" s="5" t="str">
        <f t="shared" si="141"/>
        <v>Malodorous</v>
      </c>
      <c r="MW29">
        <f t="shared" si="142"/>
        <v>27</v>
      </c>
      <c r="MX29" s="5" t="str">
        <f t="shared" si="143"/>
        <v>Malodorous</v>
      </c>
      <c r="MY29" s="68">
        <f>COUNTIF(Builder!$K$29:$N$29,MX29)</f>
        <v>0</v>
      </c>
      <c r="MZ29" s="68" t="str">
        <f>IF(MY29=1,Stats!$N44,"")</f>
        <v/>
      </c>
      <c r="NA29" s="68" t="str">
        <f>IF(MY29=1,Stats!$O44,"")</f>
        <v/>
      </c>
      <c r="NB29" s="68" t="str">
        <f>IF(MY29=1,Stats!$P44,"")</f>
        <v/>
      </c>
      <c r="NC29" s="68" t="str">
        <f>IF(MY29=1,Stats!$Q44,"")</f>
        <v/>
      </c>
      <c r="ND29" s="68" t="str">
        <f>IF(MY29=1,Stats!$R44,"")</f>
        <v/>
      </c>
      <c r="NE29" s="68" t="str">
        <f>IF(MY29=1,Stats!$S44,"")</f>
        <v/>
      </c>
      <c r="NF29" s="68">
        <f t="shared" si="144"/>
        <v>0</v>
      </c>
      <c r="NG29">
        <f t="shared" si="145"/>
        <v>0</v>
      </c>
      <c r="NH29" s="68">
        <f>IF(NG29=0,MAX(NH$2:NH28)+1,0)</f>
        <v>27</v>
      </c>
      <c r="NI29" s="5" t="str">
        <f t="shared" si="146"/>
        <v>Malodorous</v>
      </c>
      <c r="NJ29" s="5" t="str">
        <f t="shared" si="147"/>
        <v>Malodorous</v>
      </c>
    </row>
    <row r="30" spans="1:374" ht="15" x14ac:dyDescent="0.3">
      <c r="A30">
        <v>28</v>
      </c>
      <c r="B30" s="5" t="s">
        <v>34</v>
      </c>
      <c r="C30" s="68">
        <f>COUNTIF(Builder!$K$5:$N$5,B30)</f>
        <v>0</v>
      </c>
      <c r="D30" s="68" t="str">
        <f>IF(C30=1,Stats!$N45,"")</f>
        <v/>
      </c>
      <c r="E30" s="68" t="str">
        <f>IF(C30=1,Stats!$O45,"")</f>
        <v/>
      </c>
      <c r="F30" s="68" t="str">
        <f>IF(C30=1,Stats!$P45,"")</f>
        <v/>
      </c>
      <c r="G30" s="68" t="str">
        <f>IF(C30=1,Stats!$Q45,"")</f>
        <v/>
      </c>
      <c r="H30" s="68" t="str">
        <f>IF(C30=1,Stats!$R45,"")</f>
        <v/>
      </c>
      <c r="I30" s="68" t="str">
        <f>IF(C30=1,Stats!$S45,"")</f>
        <v/>
      </c>
      <c r="J30" s="68">
        <f t="shared" si="0"/>
        <v>0</v>
      </c>
      <c r="K30">
        <f t="shared" si="1"/>
        <v>0</v>
      </c>
      <c r="L30" s="68">
        <f>IF(K30=0,MAX($L$2:L29)+1,0)</f>
        <v>28</v>
      </c>
      <c r="M30" s="5" t="str">
        <f t="shared" si="2"/>
        <v>Militia</v>
      </c>
      <c r="N30" s="5" t="str">
        <f t="shared" si="3"/>
        <v>Militia</v>
      </c>
      <c r="O30" s="5"/>
      <c r="P30">
        <f t="shared" si="4"/>
        <v>28</v>
      </c>
      <c r="Q30" s="5" t="str">
        <f t="shared" si="5"/>
        <v>Militia</v>
      </c>
      <c r="R30" s="68">
        <f>COUNTIF(Builder!$K$6:$N$6,Q30)</f>
        <v>0</v>
      </c>
      <c r="S30" s="68" t="str">
        <f>IF(R30=1,Stats!$N45,"")</f>
        <v/>
      </c>
      <c r="T30" s="68" t="str">
        <f>IF(R30=1,Stats!$O45,"")</f>
        <v/>
      </c>
      <c r="U30" s="68" t="str">
        <f>IF(R30=1,Stats!$P45,"")</f>
        <v/>
      </c>
      <c r="V30" s="68" t="str">
        <f>IF(R30=1,Stats!$Q45,"")</f>
        <v/>
      </c>
      <c r="W30" s="68" t="str">
        <f>IF(R30=1,Stats!$R45,"")</f>
        <v/>
      </c>
      <c r="X30" s="68" t="str">
        <f>IF(R30=1,Stats!$S45,"")</f>
        <v/>
      </c>
      <c r="Y30" s="68">
        <f t="shared" si="6"/>
        <v>0</v>
      </c>
      <c r="Z30">
        <f t="shared" si="7"/>
        <v>0</v>
      </c>
      <c r="AA30" s="68">
        <f>IF(Z30=0,MAX($AA$2:AA29)+1,0)</f>
        <v>28</v>
      </c>
      <c r="AB30" s="5" t="str">
        <f t="shared" si="8"/>
        <v>Militia</v>
      </c>
      <c r="AC30" s="5" t="str">
        <f t="shared" si="9"/>
        <v>Militia</v>
      </c>
      <c r="AD30" s="5"/>
      <c r="AE30">
        <f t="shared" si="10"/>
        <v>28</v>
      </c>
      <c r="AF30" s="5" t="str">
        <f t="shared" si="11"/>
        <v>Militia</v>
      </c>
      <c r="AG30" s="68">
        <f>COUNTIF(Builder!$K$7:$N$7,AF30)</f>
        <v>0</v>
      </c>
      <c r="AH30" s="68" t="str">
        <f>IF(AG30=1,Stats!$N45,"")</f>
        <v/>
      </c>
      <c r="AI30" s="68" t="str">
        <f>IF(AG30=1,Stats!$O45,"")</f>
        <v/>
      </c>
      <c r="AJ30" s="68" t="str">
        <f>IF(AG30=1,Stats!$P45,"")</f>
        <v/>
      </c>
      <c r="AK30" s="68" t="str">
        <f>IF(AG30=1,Stats!$Q45,"")</f>
        <v/>
      </c>
      <c r="AL30" s="68" t="str">
        <f>IF(AG30=1,Stats!$R45,"")</f>
        <v/>
      </c>
      <c r="AM30" s="68" t="str">
        <f>IF(AG30=1,Stats!$S45,"")</f>
        <v/>
      </c>
      <c r="AN30" s="68">
        <f t="shared" si="12"/>
        <v>0</v>
      </c>
      <c r="AO30">
        <f t="shared" si="13"/>
        <v>0</v>
      </c>
      <c r="AP30" s="68">
        <f>IF(AO30=0,MAX($AP$2:AP29)+1,0)</f>
        <v>28</v>
      </c>
      <c r="AQ30" s="5" t="str">
        <f t="shared" si="14"/>
        <v>Militia</v>
      </c>
      <c r="AR30" s="5" t="str">
        <f t="shared" si="15"/>
        <v>Militia</v>
      </c>
      <c r="AS30" s="5"/>
      <c r="AT30">
        <f t="shared" si="16"/>
        <v>28</v>
      </c>
      <c r="AU30" s="5" t="str">
        <f t="shared" si="17"/>
        <v>Militia</v>
      </c>
      <c r="AV30" s="68">
        <f>COUNTIF(Builder!$K$8:$N$8,AU30)</f>
        <v>0</v>
      </c>
      <c r="AW30" s="68" t="str">
        <f>IF(AV30=1,Stats!$N45,"")</f>
        <v/>
      </c>
      <c r="AX30" s="68" t="str">
        <f>IF(AV30=1,Stats!$O45,"")</f>
        <v/>
      </c>
      <c r="AY30" s="68" t="str">
        <f>IF(AV30=1,Stats!$P45,"")</f>
        <v/>
      </c>
      <c r="AZ30" s="68" t="str">
        <f>IF(AV30=1,Stats!$Q45,"")</f>
        <v/>
      </c>
      <c r="BA30" s="68" t="str">
        <f>IF(AV30=1,Stats!$R45,"")</f>
        <v/>
      </c>
      <c r="BB30" s="68" t="str">
        <f>IF(AV30=1,Stats!$S45,"")</f>
        <v/>
      </c>
      <c r="BC30" s="68">
        <f t="shared" si="18"/>
        <v>0</v>
      </c>
      <c r="BD30">
        <f t="shared" si="19"/>
        <v>0</v>
      </c>
      <c r="BE30" s="68">
        <f>IF(BD30=0,MAX($BE$2:BE29)+1,0)</f>
        <v>28</v>
      </c>
      <c r="BF30" s="5" t="str">
        <f t="shared" si="20"/>
        <v>Militia</v>
      </c>
      <c r="BG30" s="5" t="str">
        <f t="shared" si="21"/>
        <v>Militia</v>
      </c>
      <c r="BH30" s="5"/>
      <c r="BI30">
        <f t="shared" si="148"/>
        <v>28</v>
      </c>
      <c r="BJ30" s="5" t="str">
        <f t="shared" si="149"/>
        <v>Militia</v>
      </c>
      <c r="BK30" s="68">
        <f>COUNTIF(Builder!$K$9:$N$9,BJ30)</f>
        <v>0</v>
      </c>
      <c r="BL30" s="68" t="str">
        <f>IF(BK30=1,Stats!$N45,"")</f>
        <v/>
      </c>
      <c r="BM30" s="68" t="str">
        <f>IF(BK30=1,Stats!$O45,"")</f>
        <v/>
      </c>
      <c r="BN30" s="68" t="str">
        <f>IF(BK30=1,Stats!$P45,"")</f>
        <v/>
      </c>
      <c r="BO30" s="68" t="str">
        <f>IF(BK30=1,Stats!$Q45,"")</f>
        <v/>
      </c>
      <c r="BP30" s="68" t="str">
        <f>IF(BK30=1,Stats!$R45,"")</f>
        <v/>
      </c>
      <c r="BQ30" s="68" t="str">
        <f>IF(BK30=1,Stats!$S45,"")</f>
        <v/>
      </c>
      <c r="BR30" s="68">
        <f t="shared" si="150"/>
        <v>0</v>
      </c>
      <c r="BS30">
        <f t="shared" si="151"/>
        <v>0</v>
      </c>
      <c r="BT30" s="68">
        <f>IF(BS30=0,MAX(BT$2:BT29)+1,0)</f>
        <v>28</v>
      </c>
      <c r="BU30" s="5" t="str">
        <f t="shared" si="152"/>
        <v>Militia</v>
      </c>
      <c r="BV30" s="5" t="str">
        <f t="shared" si="27"/>
        <v>Militia</v>
      </c>
      <c r="BX30">
        <f t="shared" si="153"/>
        <v>28</v>
      </c>
      <c r="BY30" s="5" t="str">
        <f t="shared" si="154"/>
        <v>Militia</v>
      </c>
      <c r="BZ30" s="68">
        <f>COUNTIF(Builder!$K$10:$N$10,BY30)</f>
        <v>0</v>
      </c>
      <c r="CA30" s="68" t="str">
        <f>IF(BZ30=1,Stats!$N45,"")</f>
        <v/>
      </c>
      <c r="CB30" s="68" t="str">
        <f>IF(BZ30=1,Stats!$O45,"")</f>
        <v/>
      </c>
      <c r="CC30" s="68" t="str">
        <f>IF(BZ30=1,Stats!$P45,"")</f>
        <v/>
      </c>
      <c r="CD30" s="68" t="str">
        <f>IF(BZ30=1,Stats!$Q45,"")</f>
        <v/>
      </c>
      <c r="CE30" s="68" t="str">
        <f>IF(BZ30=1,Stats!$R45,"")</f>
        <v/>
      </c>
      <c r="CF30" s="68" t="str">
        <f>IF(BZ30=1,Stats!$S45,"")</f>
        <v/>
      </c>
      <c r="CG30" s="68">
        <f t="shared" si="155"/>
        <v>0</v>
      </c>
      <c r="CH30">
        <f t="shared" si="156"/>
        <v>0</v>
      </c>
      <c r="CI30" s="68">
        <f>IF(CH30=0,MAX(CI$2:CI29)+1,0)</f>
        <v>28</v>
      </c>
      <c r="CJ30" s="5" t="str">
        <f t="shared" si="157"/>
        <v>Militia</v>
      </c>
      <c r="CK30" s="5" t="str">
        <f t="shared" si="33"/>
        <v>Militia</v>
      </c>
      <c r="CM30">
        <f t="shared" si="34"/>
        <v>28</v>
      </c>
      <c r="CN30" s="5" t="str">
        <f t="shared" si="35"/>
        <v>Militia</v>
      </c>
      <c r="CO30" s="68">
        <f>COUNTIF(Builder!$K$11:$N$11,CN30)</f>
        <v>0</v>
      </c>
      <c r="CP30" s="68" t="str">
        <f>IF(CO30=1,Stats!$N45,"")</f>
        <v/>
      </c>
      <c r="CQ30" s="68" t="str">
        <f>IF(CO30=1,Stats!$O45,"")</f>
        <v/>
      </c>
      <c r="CR30" s="68" t="str">
        <f>IF(CO30=1,Stats!$P45,"")</f>
        <v/>
      </c>
      <c r="CS30" s="68" t="str">
        <f>IF(CO30=1,Stats!$Q45,"")</f>
        <v/>
      </c>
      <c r="CT30" s="68" t="str">
        <f>IF(CO30=1,Stats!$R45,"")</f>
        <v/>
      </c>
      <c r="CU30" s="68" t="str">
        <f>IF(CO30=1,Stats!$S45,"")</f>
        <v/>
      </c>
      <c r="CV30" s="68">
        <f t="shared" si="36"/>
        <v>0</v>
      </c>
      <c r="CW30">
        <f t="shared" si="37"/>
        <v>0</v>
      </c>
      <c r="CX30" s="68">
        <f>IF(CW30=0,MAX(CX$2:CX29)+1,0)</f>
        <v>28</v>
      </c>
      <c r="CY30" s="5" t="str">
        <f t="shared" si="38"/>
        <v>Militia</v>
      </c>
      <c r="CZ30" s="5" t="str">
        <f t="shared" si="39"/>
        <v>Militia</v>
      </c>
      <c r="DB30">
        <f t="shared" si="158"/>
        <v>28</v>
      </c>
      <c r="DC30" s="5" t="str">
        <f t="shared" si="159"/>
        <v>Militia</v>
      </c>
      <c r="DD30" s="68">
        <f>COUNTIF(Builder!$K$12:$N$12,DC30)</f>
        <v>0</v>
      </c>
      <c r="DE30" s="68" t="str">
        <f>IF(DD30=1,Stats!$N45,"")</f>
        <v/>
      </c>
      <c r="DF30" s="68" t="str">
        <f>IF(DD30=1,Stats!$O45,"")</f>
        <v/>
      </c>
      <c r="DG30" s="68" t="str">
        <f>IF(DD30=1,Stats!$P45,"")</f>
        <v/>
      </c>
      <c r="DH30" s="68" t="str">
        <f>IF(DD30=1,Stats!$Q45,"")</f>
        <v/>
      </c>
      <c r="DI30" s="68" t="str">
        <f>IF(DD30=1,Stats!$R45,"")</f>
        <v/>
      </c>
      <c r="DJ30" s="68" t="str">
        <f>IF(DD30=1,Stats!$S45,"")</f>
        <v/>
      </c>
      <c r="DK30" s="68">
        <f t="shared" si="160"/>
        <v>0</v>
      </c>
      <c r="DL30">
        <f t="shared" si="161"/>
        <v>0</v>
      </c>
      <c r="DM30" s="68">
        <f>IF(DL30=0,MAX(DM$2:DM29)+1,0)</f>
        <v>28</v>
      </c>
      <c r="DN30" s="5" t="str">
        <f t="shared" si="162"/>
        <v>Militia</v>
      </c>
      <c r="DO30" s="5" t="str">
        <f t="shared" si="45"/>
        <v>Militia</v>
      </c>
      <c r="DQ30">
        <f t="shared" si="163"/>
        <v>28</v>
      </c>
      <c r="DR30" s="5" t="str">
        <f t="shared" si="164"/>
        <v>Militia</v>
      </c>
      <c r="DS30" s="68">
        <f>COUNTIF(Builder!$K$13:$N$13,DR30)</f>
        <v>0</v>
      </c>
      <c r="DT30" s="68" t="str">
        <f>IF(DS30=1,Stats!$N45,"")</f>
        <v/>
      </c>
      <c r="DU30" s="68" t="str">
        <f>IF(DS30=1,Stats!$O45,"")</f>
        <v/>
      </c>
      <c r="DV30" s="68" t="str">
        <f>IF(DS30=1,Stats!$P45,"")</f>
        <v/>
      </c>
      <c r="DW30" s="68" t="str">
        <f>IF(DS30=1,Stats!$Q45,"")</f>
        <v/>
      </c>
      <c r="DX30" s="68" t="str">
        <f>IF(DS30=1,Stats!$R45,"")</f>
        <v/>
      </c>
      <c r="DY30" s="68" t="str">
        <f>IF(DS30=1,Stats!$S45,"")</f>
        <v/>
      </c>
      <c r="DZ30" s="68">
        <f t="shared" si="165"/>
        <v>0</v>
      </c>
      <c r="EA30">
        <f t="shared" si="166"/>
        <v>0</v>
      </c>
      <c r="EB30" s="68">
        <f>IF(EA30=0,MAX(EB$2:EB29)+1,0)</f>
        <v>28</v>
      </c>
      <c r="EC30" s="5" t="str">
        <f t="shared" si="167"/>
        <v>Militia</v>
      </c>
      <c r="ED30" s="5" t="str">
        <f t="shared" si="51"/>
        <v>Militia</v>
      </c>
      <c r="EF30">
        <f t="shared" si="52"/>
        <v>28</v>
      </c>
      <c r="EG30" s="5" t="str">
        <f t="shared" si="53"/>
        <v>Militia</v>
      </c>
      <c r="EH30" s="68">
        <f>COUNTIF(Builder!$K$14:$N$14,EG30)</f>
        <v>0</v>
      </c>
      <c r="EI30" s="68" t="str">
        <f>IF(EH30=1,Stats!$N45,"")</f>
        <v/>
      </c>
      <c r="EJ30" s="68" t="str">
        <f>IF(EH30=1,Stats!$O45,"")</f>
        <v/>
      </c>
      <c r="EK30" s="68" t="str">
        <f>IF(EH30=1,Stats!$P45,"")</f>
        <v/>
      </c>
      <c r="EL30" s="68" t="str">
        <f>IF(EH30=1,Stats!$Q45,"")</f>
        <v/>
      </c>
      <c r="EM30" s="68" t="str">
        <f>IF(EH30=1,Stats!$R45,"")</f>
        <v/>
      </c>
      <c r="EN30" s="68" t="str">
        <f>IF(EH30=1,Stats!$S45,"")</f>
        <v/>
      </c>
      <c r="EO30" s="68">
        <f t="shared" si="54"/>
        <v>0</v>
      </c>
      <c r="EP30">
        <f t="shared" si="55"/>
        <v>0</v>
      </c>
      <c r="EQ30" s="68">
        <f>IF(EP30=0,MAX(EQ$2:EQ29)+1,0)</f>
        <v>28</v>
      </c>
      <c r="ER30" s="5" t="str">
        <f t="shared" si="56"/>
        <v>Militia</v>
      </c>
      <c r="ES30" s="5" t="str">
        <f t="shared" si="57"/>
        <v>Militia</v>
      </c>
      <c r="EU30">
        <f t="shared" si="58"/>
        <v>28</v>
      </c>
      <c r="EV30" s="5" t="str">
        <f t="shared" si="59"/>
        <v>Militia</v>
      </c>
      <c r="EW30" s="68">
        <f>COUNTIF(Builder!$K$15:$N$15,EV30)</f>
        <v>0</v>
      </c>
      <c r="EX30" s="68" t="str">
        <f>IF(EW30=1,Stats!$N45,"")</f>
        <v/>
      </c>
      <c r="EY30" s="68" t="str">
        <f>IF(EW30=1,Stats!$O45,"")</f>
        <v/>
      </c>
      <c r="EZ30" s="68" t="str">
        <f>IF(EW30=1,Stats!$P45,"")</f>
        <v/>
      </c>
      <c r="FA30" s="68" t="str">
        <f>IF(EW30=1,Stats!$Q45,"")</f>
        <v/>
      </c>
      <c r="FB30" s="68" t="str">
        <f>IF(EW30=1,Stats!$R45,"")</f>
        <v/>
      </c>
      <c r="FC30" s="68" t="str">
        <f>IF(EW30=1,Stats!$S45,"")</f>
        <v/>
      </c>
      <c r="FD30" s="68">
        <f t="shared" si="60"/>
        <v>0</v>
      </c>
      <c r="FE30">
        <f t="shared" si="61"/>
        <v>0</v>
      </c>
      <c r="FF30" s="68">
        <f>IF(FE30=0,MAX(FF$2:FF29)+1,0)</f>
        <v>28</v>
      </c>
      <c r="FG30" s="5" t="str">
        <f t="shared" si="62"/>
        <v>Militia</v>
      </c>
      <c r="FH30" s="5" t="str">
        <f t="shared" si="63"/>
        <v>Militia</v>
      </c>
      <c r="FJ30">
        <f t="shared" si="64"/>
        <v>28</v>
      </c>
      <c r="FK30" s="5" t="str">
        <f t="shared" si="65"/>
        <v>Militia</v>
      </c>
      <c r="FL30" s="68">
        <f>COUNTIF(Builder!$K$16:$N$16,FK30)</f>
        <v>0</v>
      </c>
      <c r="FM30" s="68" t="str">
        <f>IF(FL30=1,Stats!$N45,"")</f>
        <v/>
      </c>
      <c r="FN30" s="68" t="str">
        <f>IF(FL30=1,Stats!$O45,"")</f>
        <v/>
      </c>
      <c r="FO30" s="68" t="str">
        <f>IF(FL30=1,Stats!$P45,"")</f>
        <v/>
      </c>
      <c r="FP30" s="68" t="str">
        <f>IF(FL30=1,Stats!$Q45,"")</f>
        <v/>
      </c>
      <c r="FQ30" s="68" t="str">
        <f>IF(FL30=1,Stats!$R45,"")</f>
        <v/>
      </c>
      <c r="FR30" s="68" t="str">
        <f>IF(FL30=1,Stats!$S45,"")</f>
        <v/>
      </c>
      <c r="FS30" s="68">
        <f t="shared" si="66"/>
        <v>0</v>
      </c>
      <c r="FT30">
        <f t="shared" si="67"/>
        <v>0</v>
      </c>
      <c r="FU30" s="68">
        <f>IF(FT30=0,MAX(FU$2:FU29)+1,0)</f>
        <v>28</v>
      </c>
      <c r="FV30" s="5" t="str">
        <f t="shared" si="68"/>
        <v>Militia</v>
      </c>
      <c r="FW30" s="5" t="str">
        <f t="shared" si="69"/>
        <v>Militia</v>
      </c>
      <c r="FY30">
        <f t="shared" si="168"/>
        <v>28</v>
      </c>
      <c r="FZ30" s="5" t="str">
        <f t="shared" si="169"/>
        <v>Militia</v>
      </c>
      <c r="GA30" s="68">
        <f>COUNTIF(Builder!$K$17:$N$17,FZ30)</f>
        <v>0</v>
      </c>
      <c r="GB30" s="68" t="str">
        <f>IF(GA30=1,Stats!$N45,"")</f>
        <v/>
      </c>
      <c r="GC30" s="68" t="str">
        <f>IF(GA30=1,Stats!$O45,"")</f>
        <v/>
      </c>
      <c r="GD30" s="68" t="str">
        <f>IF(GA30=1,Stats!$P45,"")</f>
        <v/>
      </c>
      <c r="GE30" s="68" t="str">
        <f>IF(GA30=1,Stats!$Q45,"")</f>
        <v/>
      </c>
      <c r="GF30" s="68" t="str">
        <f>IF(GA30=1,Stats!$R45,"")</f>
        <v/>
      </c>
      <c r="GG30" s="68" t="str">
        <f>IF(GA30=1,Stats!$S45,"")</f>
        <v/>
      </c>
      <c r="GH30" s="68">
        <f t="shared" si="170"/>
        <v>0</v>
      </c>
      <c r="GI30">
        <f t="shared" si="171"/>
        <v>0</v>
      </c>
      <c r="GJ30" s="68">
        <f>IF(GI30=0,MAX(GJ$2:GJ29)+1,0)</f>
        <v>28</v>
      </c>
      <c r="GK30" s="5" t="str">
        <f t="shared" si="172"/>
        <v>Militia</v>
      </c>
      <c r="GL30" s="5" t="str">
        <f t="shared" si="75"/>
        <v>Militia</v>
      </c>
      <c r="GN30">
        <f t="shared" si="76"/>
        <v>28</v>
      </c>
      <c r="GO30" s="5" t="str">
        <f t="shared" si="77"/>
        <v>Militia</v>
      </c>
      <c r="GP30" s="68">
        <f>COUNTIF(Builder!$K$18:$N$18,GO30)</f>
        <v>0</v>
      </c>
      <c r="GQ30" s="68" t="str">
        <f>IF(GP30=1,Stats!$N45,"")</f>
        <v/>
      </c>
      <c r="GR30" s="68" t="str">
        <f>IF(GP30=1,Stats!$O45,"")</f>
        <v/>
      </c>
      <c r="GS30" s="68" t="str">
        <f>IF(GP30=1,Stats!$P45,"")</f>
        <v/>
      </c>
      <c r="GT30" s="68" t="str">
        <f>IF(GP30=1,Stats!$Q45,"")</f>
        <v/>
      </c>
      <c r="GU30" s="68" t="str">
        <f>IF(GP30=1,Stats!$R45,"")</f>
        <v/>
      </c>
      <c r="GV30" s="68" t="str">
        <f>IF(GP30=1,Stats!$S45,"")</f>
        <v/>
      </c>
      <c r="GW30" s="68">
        <f t="shared" si="78"/>
        <v>0</v>
      </c>
      <c r="GX30">
        <f t="shared" si="79"/>
        <v>0</v>
      </c>
      <c r="GY30" s="68">
        <f>IF(GX30=0,MAX(GY$2:GY29)+1,0)</f>
        <v>28</v>
      </c>
      <c r="GZ30" s="5" t="str">
        <f t="shared" si="80"/>
        <v>Militia</v>
      </c>
      <c r="HA30" s="5" t="str">
        <f t="shared" si="81"/>
        <v>Militia</v>
      </c>
      <c r="HC30">
        <f t="shared" si="82"/>
        <v>28</v>
      </c>
      <c r="HD30" s="5" t="str">
        <f t="shared" si="83"/>
        <v>Militia</v>
      </c>
      <c r="HE30" s="68">
        <f>COUNTIF(Builder!$K$19:$N$19,HD30)</f>
        <v>0</v>
      </c>
      <c r="HF30" s="68" t="str">
        <f>IF(HE30=1,Stats!$N45,"")</f>
        <v/>
      </c>
      <c r="HG30" s="68" t="str">
        <f>IF(HE30=1,Stats!$O45,"")</f>
        <v/>
      </c>
      <c r="HH30" s="68" t="str">
        <f>IF(HE30=1,Stats!$P45,"")</f>
        <v/>
      </c>
      <c r="HI30" s="68" t="str">
        <f>IF(HE30=1,Stats!$Q45,"")</f>
        <v/>
      </c>
      <c r="HJ30" s="68" t="str">
        <f>IF(HE30=1,Stats!$R45,"")</f>
        <v/>
      </c>
      <c r="HK30" s="68" t="str">
        <f>IF(HE30=1,Stats!$S45,"")</f>
        <v/>
      </c>
      <c r="HL30" s="68">
        <f t="shared" si="84"/>
        <v>0</v>
      </c>
      <c r="HM30">
        <f t="shared" si="85"/>
        <v>0</v>
      </c>
      <c r="HN30" s="68">
        <f>IF(HM30=0,MAX(HN$2:HN29)+1,0)</f>
        <v>28</v>
      </c>
      <c r="HO30" s="5" t="str">
        <f t="shared" si="86"/>
        <v>Militia</v>
      </c>
      <c r="HP30" s="5" t="str">
        <f t="shared" si="87"/>
        <v>Militia</v>
      </c>
      <c r="HR30">
        <f t="shared" si="88"/>
        <v>28</v>
      </c>
      <c r="HS30" s="5" t="str">
        <f t="shared" si="89"/>
        <v>Militia</v>
      </c>
      <c r="HT30" s="68">
        <f>COUNTIF(Builder!$K$20:$N$20,HS30)</f>
        <v>0</v>
      </c>
      <c r="HU30" s="68" t="str">
        <f>IF(HT30=1,Stats!$N45,"")</f>
        <v/>
      </c>
      <c r="HV30" s="68" t="str">
        <f>IF(HT30=1,Stats!$O45,"")</f>
        <v/>
      </c>
      <c r="HW30" s="68" t="str">
        <f>IF(HT30=1,Stats!$P45,"")</f>
        <v/>
      </c>
      <c r="HX30" s="68" t="str">
        <f>IF(HT30=1,Stats!$Q45,"")</f>
        <v/>
      </c>
      <c r="HY30" s="68" t="str">
        <f>IF(HT30=1,Stats!$R45,"")</f>
        <v/>
      </c>
      <c r="HZ30" s="68" t="str">
        <f>IF(HT30=1,Stats!$S45,"")</f>
        <v/>
      </c>
      <c r="IA30" s="68">
        <f t="shared" si="90"/>
        <v>0</v>
      </c>
      <c r="IB30">
        <f t="shared" si="91"/>
        <v>0</v>
      </c>
      <c r="IC30" s="68">
        <f>IF(IB30=0,MAX(IC$2:IC29)+1,0)</f>
        <v>28</v>
      </c>
      <c r="ID30" s="5" t="str">
        <f t="shared" si="92"/>
        <v>Militia</v>
      </c>
      <c r="IE30" s="5" t="str">
        <f t="shared" si="93"/>
        <v>Militia</v>
      </c>
      <c r="IG30">
        <f t="shared" si="94"/>
        <v>28</v>
      </c>
      <c r="IH30" s="5" t="str">
        <f t="shared" si="95"/>
        <v>Militia</v>
      </c>
      <c r="II30" s="68">
        <f>COUNTIF(Builder!$K$21:$N$21,IH30)</f>
        <v>0</v>
      </c>
      <c r="IJ30" s="68" t="str">
        <f>IF(II30=1,Stats!$N45,"")</f>
        <v/>
      </c>
      <c r="IK30" s="68" t="str">
        <f>IF(II30=1,Stats!$O45,"")</f>
        <v/>
      </c>
      <c r="IL30" s="68" t="str">
        <f>IF(II30=1,Stats!$P45,"")</f>
        <v/>
      </c>
      <c r="IM30" s="68" t="str">
        <f>IF(II30=1,Stats!$Q45,"")</f>
        <v/>
      </c>
      <c r="IN30" s="68" t="str">
        <f>IF(II30=1,Stats!$R45,"")</f>
        <v/>
      </c>
      <c r="IO30" s="68" t="str">
        <f>IF(II30=1,Stats!$S45,"")</f>
        <v/>
      </c>
      <c r="IP30" s="68">
        <f t="shared" si="96"/>
        <v>0</v>
      </c>
      <c r="IQ30">
        <f t="shared" si="97"/>
        <v>0</v>
      </c>
      <c r="IR30" s="68">
        <f>IF(IQ30=0,MAX(IR$2:IR29)+1,0)</f>
        <v>28</v>
      </c>
      <c r="IS30" s="5" t="str">
        <f t="shared" si="98"/>
        <v>Militia</v>
      </c>
      <c r="IT30" s="5" t="str">
        <f t="shared" si="99"/>
        <v>Militia</v>
      </c>
      <c r="IV30">
        <f t="shared" si="100"/>
        <v>28</v>
      </c>
      <c r="IW30" s="5" t="str">
        <f t="shared" si="101"/>
        <v>Militia</v>
      </c>
      <c r="IX30" s="68">
        <f>COUNTIF(Builder!$K$22:$N$22,IW30)</f>
        <v>0</v>
      </c>
      <c r="IY30" s="68" t="str">
        <f>IF(IX30=1,Stats!$N45,"")</f>
        <v/>
      </c>
      <c r="IZ30" s="68" t="str">
        <f>IF(IX30=1,Stats!$O45,"")</f>
        <v/>
      </c>
      <c r="JA30" s="68" t="str">
        <f>IF(IX30=1,Stats!$P45,"")</f>
        <v/>
      </c>
      <c r="JB30" s="68" t="str">
        <f>IF(IX30=1,Stats!$Q45,"")</f>
        <v/>
      </c>
      <c r="JC30" s="68" t="str">
        <f>IF(IX30=1,Stats!$R45,"")</f>
        <v/>
      </c>
      <c r="JD30" s="68" t="str">
        <f>IF(IX30=1,Stats!$S45,"")</f>
        <v/>
      </c>
      <c r="JE30" s="68">
        <f t="shared" si="102"/>
        <v>0</v>
      </c>
      <c r="JF30">
        <f t="shared" si="103"/>
        <v>0</v>
      </c>
      <c r="JG30" s="68">
        <f>IF(JF30=0,MAX(JG$2:JG29)+1,0)</f>
        <v>28</v>
      </c>
      <c r="JH30" s="5" t="str">
        <f t="shared" si="104"/>
        <v>Militia</v>
      </c>
      <c r="JI30" s="5" t="str">
        <f t="shared" si="105"/>
        <v>Militia</v>
      </c>
      <c r="JK30">
        <f t="shared" si="106"/>
        <v>28</v>
      </c>
      <c r="JL30" s="5" t="str">
        <f t="shared" si="107"/>
        <v>Militia</v>
      </c>
      <c r="JM30" s="68">
        <f>COUNTIF(Builder!$K$23:$N$23,JL30)</f>
        <v>0</v>
      </c>
      <c r="JN30" s="68" t="str">
        <f>IF(JM30=1,Stats!$N45,"")</f>
        <v/>
      </c>
      <c r="JO30" s="68" t="str">
        <f>IF(JM30=1,Stats!$O45,"")</f>
        <v/>
      </c>
      <c r="JP30" s="68" t="str">
        <f>IF(JM30=1,Stats!$P45,"")</f>
        <v/>
      </c>
      <c r="JQ30" s="68" t="str">
        <f>IF(JM30=1,Stats!$Q45,"")</f>
        <v/>
      </c>
      <c r="JR30" s="68" t="str">
        <f>IF(JM30=1,Stats!$R45,"")</f>
        <v/>
      </c>
      <c r="JS30" s="68" t="str">
        <f>IF(JM30=1,Stats!$S45,"")</f>
        <v/>
      </c>
      <c r="JT30" s="68">
        <f t="shared" si="108"/>
        <v>0</v>
      </c>
      <c r="JU30">
        <f t="shared" si="109"/>
        <v>0</v>
      </c>
      <c r="JV30" s="68">
        <f>IF(JU30=0,MAX(JV$2:JV29)+1,0)</f>
        <v>28</v>
      </c>
      <c r="JW30" s="5" t="str">
        <f t="shared" si="110"/>
        <v>Militia</v>
      </c>
      <c r="JX30" s="5" t="str">
        <f t="shared" si="111"/>
        <v>Militia</v>
      </c>
      <c r="JZ30">
        <f t="shared" si="112"/>
        <v>28</v>
      </c>
      <c r="KA30" s="5" t="str">
        <f t="shared" si="113"/>
        <v>Militia</v>
      </c>
      <c r="KB30" s="68">
        <f>COUNTIF(Builder!$K$24:$N$24,KA30)</f>
        <v>0</v>
      </c>
      <c r="KC30" s="68" t="str">
        <f>IF(KB30=1,Stats!$N45,"")</f>
        <v/>
      </c>
      <c r="KD30" s="68" t="str">
        <f>IF(KB30=1,Stats!$O45,"")</f>
        <v/>
      </c>
      <c r="KE30" s="68" t="str">
        <f>IF(KB30=1,Stats!$P45,"")</f>
        <v/>
      </c>
      <c r="KF30" s="68" t="str">
        <f>IF(KB30=1,Stats!$Q45,"")</f>
        <v/>
      </c>
      <c r="KG30" s="68" t="str">
        <f>IF(KB30=1,Stats!$R45,"")</f>
        <v/>
      </c>
      <c r="KH30" s="68" t="str">
        <f>IF(KB30=1,Stats!$S45,"")</f>
        <v/>
      </c>
      <c r="KI30" s="68">
        <f t="shared" si="114"/>
        <v>0</v>
      </c>
      <c r="KJ30">
        <f t="shared" si="115"/>
        <v>0</v>
      </c>
      <c r="KK30" s="68">
        <f>IF(KJ30=0,MAX(KK$2:KK29)+1,0)</f>
        <v>28</v>
      </c>
      <c r="KL30" s="5" t="str">
        <f t="shared" si="116"/>
        <v>Militia</v>
      </c>
      <c r="KM30" s="5" t="str">
        <f t="shared" si="117"/>
        <v>Militia</v>
      </c>
      <c r="KO30">
        <f t="shared" si="118"/>
        <v>28</v>
      </c>
      <c r="KP30" s="5" t="str">
        <f t="shared" si="119"/>
        <v>Militia</v>
      </c>
      <c r="KQ30" s="68">
        <f>COUNTIF(Builder!$K$25:$N$25,KP30)</f>
        <v>0</v>
      </c>
      <c r="KR30" s="68" t="str">
        <f>IF(KQ30=1,Stats!$N45,"")</f>
        <v/>
      </c>
      <c r="KS30" s="68" t="str">
        <f>IF(KQ30=1,Stats!$O45,"")</f>
        <v/>
      </c>
      <c r="KT30" s="68" t="str">
        <f>IF(KQ30=1,Stats!$P45,"")</f>
        <v/>
      </c>
      <c r="KU30" s="68" t="str">
        <f>IF(KQ30=1,Stats!$Q45,"")</f>
        <v/>
      </c>
      <c r="KV30" s="68" t="str">
        <f>IF(KQ30=1,Stats!$R45,"")</f>
        <v/>
      </c>
      <c r="KW30" s="68" t="str">
        <f>IF(KQ30=1,Stats!$S45,"")</f>
        <v/>
      </c>
      <c r="KX30" s="68">
        <f t="shared" si="120"/>
        <v>0</v>
      </c>
      <c r="KY30">
        <f t="shared" si="121"/>
        <v>0</v>
      </c>
      <c r="KZ30" s="68">
        <f>IF(KY30=0,MAX(KZ$2:KZ29)+1,0)</f>
        <v>28</v>
      </c>
      <c r="LA30" s="5" t="str">
        <f t="shared" si="122"/>
        <v>Militia</v>
      </c>
      <c r="LB30" s="5" t="str">
        <f t="shared" si="123"/>
        <v>Militia</v>
      </c>
      <c r="LD30">
        <f t="shared" si="124"/>
        <v>28</v>
      </c>
      <c r="LE30" s="5" t="str">
        <f t="shared" si="125"/>
        <v>Militia</v>
      </c>
      <c r="LF30" s="68">
        <f>COUNTIF(Builder!$K$26:$N$26,LE30)</f>
        <v>0</v>
      </c>
      <c r="LG30" s="68" t="str">
        <f>IF(LF30=1,Stats!$N45,"")</f>
        <v/>
      </c>
      <c r="LH30" s="68" t="str">
        <f>IF(LF30=1,Stats!$O45,"")</f>
        <v/>
      </c>
      <c r="LI30" s="68" t="str">
        <f>IF(LF30=1,Stats!$P45,"")</f>
        <v/>
      </c>
      <c r="LJ30" s="68" t="str">
        <f>IF(LF30=1,Stats!$Q45,"")</f>
        <v/>
      </c>
      <c r="LK30" s="68" t="str">
        <f>IF(LF30=1,Stats!$R45,"")</f>
        <v/>
      </c>
      <c r="LL30" s="68" t="str">
        <f>IF(LF30=1,Stats!$S45,"")</f>
        <v/>
      </c>
      <c r="LM30" s="68">
        <f t="shared" si="126"/>
        <v>0</v>
      </c>
      <c r="LN30">
        <f t="shared" si="127"/>
        <v>0</v>
      </c>
      <c r="LO30" s="68">
        <f>IF(LN30=0,MAX(LO$2:LO29)+1,0)</f>
        <v>28</v>
      </c>
      <c r="LP30" s="5" t="str">
        <f t="shared" si="128"/>
        <v>Militia</v>
      </c>
      <c r="LQ30" s="5" t="str">
        <f t="shared" si="129"/>
        <v>Militia</v>
      </c>
      <c r="LS30">
        <f t="shared" si="130"/>
        <v>28</v>
      </c>
      <c r="LT30" s="5" t="str">
        <f t="shared" si="131"/>
        <v>Militia</v>
      </c>
      <c r="LU30" s="68">
        <f>COUNTIF(Builder!$K$27:$N$27,LT30)</f>
        <v>0</v>
      </c>
      <c r="LV30" s="68" t="str">
        <f>IF(LU30=1,Stats!$N45,"")</f>
        <v/>
      </c>
      <c r="LW30" s="68" t="str">
        <f>IF(LU30=1,Stats!$O45,"")</f>
        <v/>
      </c>
      <c r="LX30" s="68" t="str">
        <f>IF(LU30=1,Stats!$P45,"")</f>
        <v/>
      </c>
      <c r="LY30" s="68" t="str">
        <f>IF(LU30=1,Stats!$Q45,"")</f>
        <v/>
      </c>
      <c r="LZ30" s="68" t="str">
        <f>IF(LU30=1,Stats!$R45,"")</f>
        <v/>
      </c>
      <c r="MA30" s="68" t="str">
        <f>IF(LU30=1,Stats!$S45,"")</f>
        <v/>
      </c>
      <c r="MB30" s="68">
        <f t="shared" si="132"/>
        <v>0</v>
      </c>
      <c r="MC30">
        <f t="shared" si="133"/>
        <v>0</v>
      </c>
      <c r="MD30" s="68">
        <f>IF(MC30=0,MAX(MD$2:MD29)+1,0)</f>
        <v>28</v>
      </c>
      <c r="ME30" s="5" t="str">
        <f t="shared" si="134"/>
        <v>Militia</v>
      </c>
      <c r="MF30" s="5" t="str">
        <f t="shared" si="135"/>
        <v>Militia</v>
      </c>
      <c r="MH30">
        <f t="shared" si="136"/>
        <v>28</v>
      </c>
      <c r="MI30" s="5" t="str">
        <f t="shared" si="137"/>
        <v>Militia</v>
      </c>
      <c r="MJ30" s="68">
        <f>COUNTIF(Builder!$K$28:$N$28,MI30)</f>
        <v>0</v>
      </c>
      <c r="MK30" s="68" t="str">
        <f>IF(MJ30=1,Stats!$N45,"")</f>
        <v/>
      </c>
      <c r="ML30" s="68" t="str">
        <f>IF(MJ30=1,Stats!$O45,"")</f>
        <v/>
      </c>
      <c r="MM30" s="68" t="str">
        <f>IF(MJ30=1,Stats!$P45,"")</f>
        <v/>
      </c>
      <c r="MN30" s="68" t="str">
        <f>IF(MJ30=1,Stats!$Q45,"")</f>
        <v/>
      </c>
      <c r="MO30" s="68" t="str">
        <f>IF(MJ30=1,Stats!$R45,"")</f>
        <v/>
      </c>
      <c r="MP30" s="68" t="str">
        <f>IF(MJ30=1,Stats!$S45,"")</f>
        <v/>
      </c>
      <c r="MQ30" s="68">
        <f t="shared" si="138"/>
        <v>0</v>
      </c>
      <c r="MR30">
        <f t="shared" si="139"/>
        <v>0</v>
      </c>
      <c r="MS30" s="68">
        <f>IF(MR30=0,MAX(MS$2:MS29)+1,0)</f>
        <v>28</v>
      </c>
      <c r="MT30" s="5" t="str">
        <f t="shared" si="140"/>
        <v>Militia</v>
      </c>
      <c r="MU30" s="5" t="str">
        <f t="shared" si="141"/>
        <v>Militia</v>
      </c>
      <c r="MW30">
        <f t="shared" si="142"/>
        <v>28</v>
      </c>
      <c r="MX30" s="5" t="str">
        <f t="shared" si="143"/>
        <v>Militia</v>
      </c>
      <c r="MY30" s="68">
        <f>COUNTIF(Builder!$K$29:$N$29,MX30)</f>
        <v>0</v>
      </c>
      <c r="MZ30" s="68" t="str">
        <f>IF(MY30=1,Stats!$N45,"")</f>
        <v/>
      </c>
      <c r="NA30" s="68" t="str">
        <f>IF(MY30=1,Stats!$O45,"")</f>
        <v/>
      </c>
      <c r="NB30" s="68" t="str">
        <f>IF(MY30=1,Stats!$P45,"")</f>
        <v/>
      </c>
      <c r="NC30" s="68" t="str">
        <f>IF(MY30=1,Stats!$Q45,"")</f>
        <v/>
      </c>
      <c r="ND30" s="68" t="str">
        <f>IF(MY30=1,Stats!$R45,"")</f>
        <v/>
      </c>
      <c r="NE30" s="68" t="str">
        <f>IF(MY30=1,Stats!$S45,"")</f>
        <v/>
      </c>
      <c r="NF30" s="68">
        <f t="shared" si="144"/>
        <v>0</v>
      </c>
      <c r="NG30">
        <f t="shared" si="145"/>
        <v>0</v>
      </c>
      <c r="NH30" s="68">
        <f>IF(NG30=0,MAX(NH$2:NH29)+1,0)</f>
        <v>28</v>
      </c>
      <c r="NI30" s="5" t="str">
        <f t="shared" si="146"/>
        <v>Militia</v>
      </c>
      <c r="NJ30" s="5" t="str">
        <f t="shared" si="147"/>
        <v>Militia</v>
      </c>
    </row>
    <row r="31" spans="1:374" ht="15" x14ac:dyDescent="0.3">
      <c r="A31">
        <v>29</v>
      </c>
      <c r="B31" s="5" t="s">
        <v>90</v>
      </c>
      <c r="C31" s="68">
        <f>COUNTIF(Builder!$K$5:$N$5,B31)</f>
        <v>0</v>
      </c>
      <c r="D31" s="68" t="str">
        <f>IF(C31=1,Stats!$N46,"")</f>
        <v/>
      </c>
      <c r="E31" s="68" t="str">
        <f>IF(C31=1,Stats!$O46,"")</f>
        <v/>
      </c>
      <c r="F31" s="68" t="str">
        <f>IF(C31=1,Stats!$P46,"")</f>
        <v/>
      </c>
      <c r="G31" s="68" t="str">
        <f>IF(C31=1,Stats!$Q46,"")</f>
        <v/>
      </c>
      <c r="H31" s="68" t="str">
        <f>IF(C31=1,Stats!$R46,"")</f>
        <v/>
      </c>
      <c r="I31" s="68" t="str">
        <f>IF(C31=1,Stats!$S46,"")</f>
        <v/>
      </c>
      <c r="J31" s="68">
        <f t="shared" si="0"/>
        <v>0</v>
      </c>
      <c r="K31">
        <f t="shared" si="1"/>
        <v>0</v>
      </c>
      <c r="L31" s="68">
        <f>IF(K31=0,MAX($L$2:L30)+1,0)</f>
        <v>29</v>
      </c>
      <c r="M31" s="5" t="str">
        <f t="shared" si="2"/>
        <v>Mindless</v>
      </c>
      <c r="N31" s="5" t="str">
        <f t="shared" si="3"/>
        <v>Mindless</v>
      </c>
      <c r="O31" s="5"/>
      <c r="P31">
        <f t="shared" si="4"/>
        <v>29</v>
      </c>
      <c r="Q31" s="5" t="str">
        <f t="shared" si="5"/>
        <v>Mindless</v>
      </c>
      <c r="R31" s="68">
        <f>COUNTIF(Builder!$K$6:$N$6,Q31)</f>
        <v>0</v>
      </c>
      <c r="S31" s="68" t="str">
        <f>IF(R31=1,Stats!$N46,"")</f>
        <v/>
      </c>
      <c r="T31" s="68" t="str">
        <f>IF(R31=1,Stats!$O46,"")</f>
        <v/>
      </c>
      <c r="U31" s="68" t="str">
        <f>IF(R31=1,Stats!$P46,"")</f>
        <v/>
      </c>
      <c r="V31" s="68" t="str">
        <f>IF(R31=1,Stats!$Q46,"")</f>
        <v/>
      </c>
      <c r="W31" s="68" t="str">
        <f>IF(R31=1,Stats!$R46,"")</f>
        <v/>
      </c>
      <c r="X31" s="68" t="str">
        <f>IF(R31=1,Stats!$S46,"")</f>
        <v/>
      </c>
      <c r="Y31" s="68">
        <f t="shared" si="6"/>
        <v>0</v>
      </c>
      <c r="Z31">
        <f t="shared" si="7"/>
        <v>0</v>
      </c>
      <c r="AA31" s="68">
        <f>IF(Z31=0,MAX($AA$2:AA30)+1,0)</f>
        <v>29</v>
      </c>
      <c r="AB31" s="5" t="str">
        <f t="shared" si="8"/>
        <v>Mindless</v>
      </c>
      <c r="AC31" s="5" t="str">
        <f t="shared" si="9"/>
        <v>Mindless</v>
      </c>
      <c r="AD31" s="5"/>
      <c r="AE31">
        <f t="shared" si="10"/>
        <v>29</v>
      </c>
      <c r="AF31" s="5" t="str">
        <f t="shared" si="11"/>
        <v>Mindless</v>
      </c>
      <c r="AG31" s="68">
        <f>COUNTIF(Builder!$K$7:$N$7,AF31)</f>
        <v>0</v>
      </c>
      <c r="AH31" s="68" t="str">
        <f>IF(AG31=1,Stats!$N46,"")</f>
        <v/>
      </c>
      <c r="AI31" s="68" t="str">
        <f>IF(AG31=1,Stats!$O46,"")</f>
        <v/>
      </c>
      <c r="AJ31" s="68" t="str">
        <f>IF(AG31=1,Stats!$P46,"")</f>
        <v/>
      </c>
      <c r="AK31" s="68" t="str">
        <f>IF(AG31=1,Stats!$Q46,"")</f>
        <v/>
      </c>
      <c r="AL31" s="68" t="str">
        <f>IF(AG31=1,Stats!$R46,"")</f>
        <v/>
      </c>
      <c r="AM31" s="68" t="str">
        <f>IF(AG31=1,Stats!$S46,"")</f>
        <v/>
      </c>
      <c r="AN31" s="68">
        <f t="shared" si="12"/>
        <v>0</v>
      </c>
      <c r="AO31">
        <f t="shared" si="13"/>
        <v>0</v>
      </c>
      <c r="AP31" s="68">
        <f>IF(AO31=0,MAX($AP$2:AP30)+1,0)</f>
        <v>29</v>
      </c>
      <c r="AQ31" s="5" t="str">
        <f t="shared" si="14"/>
        <v>Mindless</v>
      </c>
      <c r="AR31" s="5" t="str">
        <f t="shared" si="15"/>
        <v>Mindless</v>
      </c>
      <c r="AS31" s="5"/>
      <c r="AT31">
        <f t="shared" si="16"/>
        <v>29</v>
      </c>
      <c r="AU31" s="5" t="str">
        <f t="shared" si="17"/>
        <v>Mindless</v>
      </c>
      <c r="AV31" s="68">
        <f>COUNTIF(Builder!$K$8:$N$8,AU31)</f>
        <v>0</v>
      </c>
      <c r="AW31" s="68" t="str">
        <f>IF(AV31=1,Stats!$N46,"")</f>
        <v/>
      </c>
      <c r="AX31" s="68" t="str">
        <f>IF(AV31=1,Stats!$O46,"")</f>
        <v/>
      </c>
      <c r="AY31" s="68" t="str">
        <f>IF(AV31=1,Stats!$P46,"")</f>
        <v/>
      </c>
      <c r="AZ31" s="68" t="str">
        <f>IF(AV31=1,Stats!$Q46,"")</f>
        <v/>
      </c>
      <c r="BA31" s="68" t="str">
        <f>IF(AV31=1,Stats!$R46,"")</f>
        <v/>
      </c>
      <c r="BB31" s="68" t="str">
        <f>IF(AV31=1,Stats!$S46,"")</f>
        <v/>
      </c>
      <c r="BC31" s="68">
        <f t="shared" si="18"/>
        <v>0</v>
      </c>
      <c r="BD31">
        <f t="shared" si="19"/>
        <v>0</v>
      </c>
      <c r="BE31" s="68">
        <f>IF(BD31=0,MAX($BE$2:BE30)+1,0)</f>
        <v>29</v>
      </c>
      <c r="BF31" s="5" t="str">
        <f t="shared" si="20"/>
        <v>Mindless</v>
      </c>
      <c r="BG31" s="5" t="str">
        <f t="shared" si="21"/>
        <v>Mindless</v>
      </c>
      <c r="BH31" s="5"/>
      <c r="BI31">
        <f t="shared" si="148"/>
        <v>29</v>
      </c>
      <c r="BJ31" s="5" t="str">
        <f t="shared" si="149"/>
        <v>Mindless</v>
      </c>
      <c r="BK31" s="68">
        <f>COUNTIF(Builder!$K$9:$N$9,BJ31)</f>
        <v>0</v>
      </c>
      <c r="BL31" s="68" t="str">
        <f>IF(BK31=1,Stats!$N46,"")</f>
        <v/>
      </c>
      <c r="BM31" s="68" t="str">
        <f>IF(BK31=1,Stats!$O46,"")</f>
        <v/>
      </c>
      <c r="BN31" s="68" t="str">
        <f>IF(BK31=1,Stats!$P46,"")</f>
        <v/>
      </c>
      <c r="BO31" s="68" t="str">
        <f>IF(BK31=1,Stats!$Q46,"")</f>
        <v/>
      </c>
      <c r="BP31" s="68" t="str">
        <f>IF(BK31=1,Stats!$R46,"")</f>
        <v/>
      </c>
      <c r="BQ31" s="68" t="str">
        <f>IF(BK31=1,Stats!$S46,"")</f>
        <v/>
      </c>
      <c r="BR31" s="68">
        <f t="shared" si="150"/>
        <v>0</v>
      </c>
      <c r="BS31">
        <f t="shared" si="151"/>
        <v>0</v>
      </c>
      <c r="BT31" s="68">
        <f>IF(BS31=0,MAX(BT$2:BT30)+1,0)</f>
        <v>29</v>
      </c>
      <c r="BU31" s="5" t="str">
        <f t="shared" si="152"/>
        <v>Mindless</v>
      </c>
      <c r="BV31" s="5" t="str">
        <f t="shared" si="27"/>
        <v>Mindless</v>
      </c>
      <c r="BX31">
        <f t="shared" si="153"/>
        <v>29</v>
      </c>
      <c r="BY31" s="5" t="str">
        <f t="shared" si="154"/>
        <v>Mindless</v>
      </c>
      <c r="BZ31" s="68">
        <f>COUNTIF(Builder!$K$10:$N$10,BY31)</f>
        <v>0</v>
      </c>
      <c r="CA31" s="68" t="str">
        <f>IF(BZ31=1,Stats!$N46,"")</f>
        <v/>
      </c>
      <c r="CB31" s="68" t="str">
        <f>IF(BZ31=1,Stats!$O46,"")</f>
        <v/>
      </c>
      <c r="CC31" s="68" t="str">
        <f>IF(BZ31=1,Stats!$P46,"")</f>
        <v/>
      </c>
      <c r="CD31" s="68" t="str">
        <f>IF(BZ31=1,Stats!$Q46,"")</f>
        <v/>
      </c>
      <c r="CE31" s="68" t="str">
        <f>IF(BZ31=1,Stats!$R46,"")</f>
        <v/>
      </c>
      <c r="CF31" s="68" t="str">
        <f>IF(BZ31=1,Stats!$S46,"")</f>
        <v/>
      </c>
      <c r="CG31" s="68">
        <f t="shared" si="155"/>
        <v>0</v>
      </c>
      <c r="CH31">
        <f t="shared" si="156"/>
        <v>0</v>
      </c>
      <c r="CI31" s="68">
        <f>IF(CH31=0,MAX(CI$2:CI30)+1,0)</f>
        <v>29</v>
      </c>
      <c r="CJ31" s="5" t="str">
        <f t="shared" si="157"/>
        <v>Mindless</v>
      </c>
      <c r="CK31" s="5" t="str">
        <f t="shared" si="33"/>
        <v>Mindless</v>
      </c>
      <c r="CM31">
        <f t="shared" si="34"/>
        <v>29</v>
      </c>
      <c r="CN31" s="5" t="str">
        <f t="shared" si="35"/>
        <v>Mindless</v>
      </c>
      <c r="CO31" s="68">
        <f>COUNTIF(Builder!$K$11:$N$11,CN31)</f>
        <v>0</v>
      </c>
      <c r="CP31" s="68" t="str">
        <f>IF(CO31=1,Stats!$N46,"")</f>
        <v/>
      </c>
      <c r="CQ31" s="68" t="str">
        <f>IF(CO31=1,Stats!$O46,"")</f>
        <v/>
      </c>
      <c r="CR31" s="68" t="str">
        <f>IF(CO31=1,Stats!$P46,"")</f>
        <v/>
      </c>
      <c r="CS31" s="68" t="str">
        <f>IF(CO31=1,Stats!$Q46,"")</f>
        <v/>
      </c>
      <c r="CT31" s="68" t="str">
        <f>IF(CO31=1,Stats!$R46,"")</f>
        <v/>
      </c>
      <c r="CU31" s="68" t="str">
        <f>IF(CO31=1,Stats!$S46,"")</f>
        <v/>
      </c>
      <c r="CV31" s="68">
        <f t="shared" si="36"/>
        <v>0</v>
      </c>
      <c r="CW31">
        <f t="shared" si="37"/>
        <v>0</v>
      </c>
      <c r="CX31" s="68">
        <f>IF(CW31=0,MAX(CX$2:CX30)+1,0)</f>
        <v>29</v>
      </c>
      <c r="CY31" s="5" t="str">
        <f t="shared" si="38"/>
        <v>Mindless</v>
      </c>
      <c r="CZ31" s="5" t="str">
        <f t="shared" si="39"/>
        <v>Mindless</v>
      </c>
      <c r="DB31">
        <f t="shared" si="158"/>
        <v>29</v>
      </c>
      <c r="DC31" s="5" t="str">
        <f t="shared" si="159"/>
        <v>Mindless</v>
      </c>
      <c r="DD31" s="68">
        <f>COUNTIF(Builder!$K$12:$N$12,DC31)</f>
        <v>0</v>
      </c>
      <c r="DE31" s="68" t="str">
        <f>IF(DD31=1,Stats!$N46,"")</f>
        <v/>
      </c>
      <c r="DF31" s="68" t="str">
        <f>IF(DD31=1,Stats!$O46,"")</f>
        <v/>
      </c>
      <c r="DG31" s="68" t="str">
        <f>IF(DD31=1,Stats!$P46,"")</f>
        <v/>
      </c>
      <c r="DH31" s="68" t="str">
        <f>IF(DD31=1,Stats!$Q46,"")</f>
        <v/>
      </c>
      <c r="DI31" s="68" t="str">
        <f>IF(DD31=1,Stats!$R46,"")</f>
        <v/>
      </c>
      <c r="DJ31" s="68" t="str">
        <f>IF(DD31=1,Stats!$S46,"")</f>
        <v/>
      </c>
      <c r="DK31" s="68">
        <f t="shared" si="160"/>
        <v>0</v>
      </c>
      <c r="DL31">
        <f t="shared" si="161"/>
        <v>0</v>
      </c>
      <c r="DM31" s="68">
        <f>IF(DL31=0,MAX(DM$2:DM30)+1,0)</f>
        <v>29</v>
      </c>
      <c r="DN31" s="5" t="str">
        <f t="shared" si="162"/>
        <v>Mindless</v>
      </c>
      <c r="DO31" s="5" t="str">
        <f t="shared" si="45"/>
        <v>Mindless</v>
      </c>
      <c r="DQ31">
        <f t="shared" si="163"/>
        <v>29</v>
      </c>
      <c r="DR31" s="5" t="str">
        <f t="shared" si="164"/>
        <v>Mindless</v>
      </c>
      <c r="DS31" s="68">
        <f>COUNTIF(Builder!$K$13:$N$13,DR31)</f>
        <v>0</v>
      </c>
      <c r="DT31" s="68" t="str">
        <f>IF(DS31=1,Stats!$N46,"")</f>
        <v/>
      </c>
      <c r="DU31" s="68" t="str">
        <f>IF(DS31=1,Stats!$O46,"")</f>
        <v/>
      </c>
      <c r="DV31" s="68" t="str">
        <f>IF(DS31=1,Stats!$P46,"")</f>
        <v/>
      </c>
      <c r="DW31" s="68" t="str">
        <f>IF(DS31=1,Stats!$Q46,"")</f>
        <v/>
      </c>
      <c r="DX31" s="68" t="str">
        <f>IF(DS31=1,Stats!$R46,"")</f>
        <v/>
      </c>
      <c r="DY31" s="68" t="str">
        <f>IF(DS31=1,Stats!$S46,"")</f>
        <v/>
      </c>
      <c r="DZ31" s="68">
        <f t="shared" si="165"/>
        <v>0</v>
      </c>
      <c r="EA31">
        <f t="shared" si="166"/>
        <v>0</v>
      </c>
      <c r="EB31" s="68">
        <f>IF(EA31=0,MAX(EB$2:EB30)+1,0)</f>
        <v>29</v>
      </c>
      <c r="EC31" s="5" t="str">
        <f t="shared" si="167"/>
        <v>Mindless</v>
      </c>
      <c r="ED31" s="5" t="str">
        <f t="shared" si="51"/>
        <v>Mindless</v>
      </c>
      <c r="EF31">
        <f t="shared" si="52"/>
        <v>29</v>
      </c>
      <c r="EG31" s="5" t="str">
        <f t="shared" si="53"/>
        <v>Mindless</v>
      </c>
      <c r="EH31" s="68">
        <f>COUNTIF(Builder!$K$14:$N$14,EG31)</f>
        <v>0</v>
      </c>
      <c r="EI31" s="68" t="str">
        <f>IF(EH31=1,Stats!$N46,"")</f>
        <v/>
      </c>
      <c r="EJ31" s="68" t="str">
        <f>IF(EH31=1,Stats!$O46,"")</f>
        <v/>
      </c>
      <c r="EK31" s="68" t="str">
        <f>IF(EH31=1,Stats!$P46,"")</f>
        <v/>
      </c>
      <c r="EL31" s="68" t="str">
        <f>IF(EH31=1,Stats!$Q46,"")</f>
        <v/>
      </c>
      <c r="EM31" s="68" t="str">
        <f>IF(EH31=1,Stats!$R46,"")</f>
        <v/>
      </c>
      <c r="EN31" s="68" t="str">
        <f>IF(EH31=1,Stats!$S46,"")</f>
        <v/>
      </c>
      <c r="EO31" s="68">
        <f t="shared" si="54"/>
        <v>0</v>
      </c>
      <c r="EP31">
        <f t="shared" si="55"/>
        <v>0</v>
      </c>
      <c r="EQ31" s="68">
        <f>IF(EP31=0,MAX(EQ$2:EQ30)+1,0)</f>
        <v>29</v>
      </c>
      <c r="ER31" s="5" t="str">
        <f t="shared" si="56"/>
        <v>Mindless</v>
      </c>
      <c r="ES31" s="5" t="str">
        <f t="shared" si="57"/>
        <v>Mindless</v>
      </c>
      <c r="EU31">
        <f t="shared" si="58"/>
        <v>29</v>
      </c>
      <c r="EV31" s="5" t="str">
        <f t="shared" si="59"/>
        <v>Mindless</v>
      </c>
      <c r="EW31" s="68">
        <f>COUNTIF(Builder!$K$15:$N$15,EV31)</f>
        <v>0</v>
      </c>
      <c r="EX31" s="68" t="str">
        <f>IF(EW31=1,Stats!$N46,"")</f>
        <v/>
      </c>
      <c r="EY31" s="68" t="str">
        <f>IF(EW31=1,Stats!$O46,"")</f>
        <v/>
      </c>
      <c r="EZ31" s="68" t="str">
        <f>IF(EW31=1,Stats!$P46,"")</f>
        <v/>
      </c>
      <c r="FA31" s="68" t="str">
        <f>IF(EW31=1,Stats!$Q46,"")</f>
        <v/>
      </c>
      <c r="FB31" s="68" t="str">
        <f>IF(EW31=1,Stats!$R46,"")</f>
        <v/>
      </c>
      <c r="FC31" s="68" t="str">
        <f>IF(EW31=1,Stats!$S46,"")</f>
        <v/>
      </c>
      <c r="FD31" s="68">
        <f t="shared" si="60"/>
        <v>0</v>
      </c>
      <c r="FE31">
        <f t="shared" si="61"/>
        <v>0</v>
      </c>
      <c r="FF31" s="68">
        <f>IF(FE31=0,MAX(FF$2:FF30)+1,0)</f>
        <v>29</v>
      </c>
      <c r="FG31" s="5" t="str">
        <f t="shared" si="62"/>
        <v>Mindless</v>
      </c>
      <c r="FH31" s="5" t="str">
        <f t="shared" si="63"/>
        <v>Mindless</v>
      </c>
      <c r="FJ31">
        <f t="shared" si="64"/>
        <v>29</v>
      </c>
      <c r="FK31" s="5" t="str">
        <f t="shared" si="65"/>
        <v>Mindless</v>
      </c>
      <c r="FL31" s="68">
        <f>COUNTIF(Builder!$K$16:$N$16,FK31)</f>
        <v>0</v>
      </c>
      <c r="FM31" s="68" t="str">
        <f>IF(FL31=1,Stats!$N46,"")</f>
        <v/>
      </c>
      <c r="FN31" s="68" t="str">
        <f>IF(FL31=1,Stats!$O46,"")</f>
        <v/>
      </c>
      <c r="FO31" s="68" t="str">
        <f>IF(FL31=1,Stats!$P46,"")</f>
        <v/>
      </c>
      <c r="FP31" s="68" t="str">
        <f>IF(FL31=1,Stats!$Q46,"")</f>
        <v/>
      </c>
      <c r="FQ31" s="68" t="str">
        <f>IF(FL31=1,Stats!$R46,"")</f>
        <v/>
      </c>
      <c r="FR31" s="68" t="str">
        <f>IF(FL31=1,Stats!$S46,"")</f>
        <v/>
      </c>
      <c r="FS31" s="68">
        <f t="shared" si="66"/>
        <v>0</v>
      </c>
      <c r="FT31">
        <f t="shared" si="67"/>
        <v>0</v>
      </c>
      <c r="FU31" s="68">
        <f>IF(FT31=0,MAX(FU$2:FU30)+1,0)</f>
        <v>29</v>
      </c>
      <c r="FV31" s="5" t="str">
        <f t="shared" si="68"/>
        <v>Mindless</v>
      </c>
      <c r="FW31" s="5" t="str">
        <f t="shared" si="69"/>
        <v>Mindless</v>
      </c>
      <c r="FY31">
        <f t="shared" si="168"/>
        <v>29</v>
      </c>
      <c r="FZ31" s="5" t="str">
        <f t="shared" si="169"/>
        <v>Mindless</v>
      </c>
      <c r="GA31" s="68">
        <f>COUNTIF(Builder!$K$17:$N$17,FZ31)</f>
        <v>0</v>
      </c>
      <c r="GB31" s="68" t="str">
        <f>IF(GA31=1,Stats!$N46,"")</f>
        <v/>
      </c>
      <c r="GC31" s="68" t="str">
        <f>IF(GA31=1,Stats!$O46,"")</f>
        <v/>
      </c>
      <c r="GD31" s="68" t="str">
        <f>IF(GA31=1,Stats!$P46,"")</f>
        <v/>
      </c>
      <c r="GE31" s="68" t="str">
        <f>IF(GA31=1,Stats!$Q46,"")</f>
        <v/>
      </c>
      <c r="GF31" s="68" t="str">
        <f>IF(GA31=1,Stats!$R46,"")</f>
        <v/>
      </c>
      <c r="GG31" s="68" t="str">
        <f>IF(GA31=1,Stats!$S46,"")</f>
        <v/>
      </c>
      <c r="GH31" s="68">
        <f t="shared" si="170"/>
        <v>0</v>
      </c>
      <c r="GI31">
        <f t="shared" si="171"/>
        <v>0</v>
      </c>
      <c r="GJ31" s="68">
        <f>IF(GI31=0,MAX(GJ$2:GJ30)+1,0)</f>
        <v>29</v>
      </c>
      <c r="GK31" s="5" t="str">
        <f t="shared" si="172"/>
        <v>Mindless</v>
      </c>
      <c r="GL31" s="5" t="str">
        <f t="shared" si="75"/>
        <v>Mindless</v>
      </c>
      <c r="GN31">
        <f t="shared" si="76"/>
        <v>29</v>
      </c>
      <c r="GO31" s="5" t="str">
        <f t="shared" si="77"/>
        <v>Mindless</v>
      </c>
      <c r="GP31" s="68">
        <f>COUNTIF(Builder!$K$18:$N$18,GO31)</f>
        <v>0</v>
      </c>
      <c r="GQ31" s="68" t="str">
        <f>IF(GP31=1,Stats!$N46,"")</f>
        <v/>
      </c>
      <c r="GR31" s="68" t="str">
        <f>IF(GP31=1,Stats!$O46,"")</f>
        <v/>
      </c>
      <c r="GS31" s="68" t="str">
        <f>IF(GP31=1,Stats!$P46,"")</f>
        <v/>
      </c>
      <c r="GT31" s="68" t="str">
        <f>IF(GP31=1,Stats!$Q46,"")</f>
        <v/>
      </c>
      <c r="GU31" s="68" t="str">
        <f>IF(GP31=1,Stats!$R46,"")</f>
        <v/>
      </c>
      <c r="GV31" s="68" t="str">
        <f>IF(GP31=1,Stats!$S46,"")</f>
        <v/>
      </c>
      <c r="GW31" s="68">
        <f t="shared" si="78"/>
        <v>0</v>
      </c>
      <c r="GX31">
        <f t="shared" si="79"/>
        <v>0</v>
      </c>
      <c r="GY31" s="68">
        <f>IF(GX31=0,MAX(GY$2:GY30)+1,0)</f>
        <v>29</v>
      </c>
      <c r="GZ31" s="5" t="str">
        <f t="shared" si="80"/>
        <v>Mindless</v>
      </c>
      <c r="HA31" s="5" t="str">
        <f t="shared" si="81"/>
        <v>Mindless</v>
      </c>
      <c r="HC31">
        <f t="shared" si="82"/>
        <v>29</v>
      </c>
      <c r="HD31" s="5" t="str">
        <f t="shared" si="83"/>
        <v>Mindless</v>
      </c>
      <c r="HE31" s="68">
        <f>COUNTIF(Builder!$K$19:$N$19,HD31)</f>
        <v>0</v>
      </c>
      <c r="HF31" s="68" t="str">
        <f>IF(HE31=1,Stats!$N46,"")</f>
        <v/>
      </c>
      <c r="HG31" s="68" t="str">
        <f>IF(HE31=1,Stats!$O46,"")</f>
        <v/>
      </c>
      <c r="HH31" s="68" t="str">
        <f>IF(HE31=1,Stats!$P46,"")</f>
        <v/>
      </c>
      <c r="HI31" s="68" t="str">
        <f>IF(HE31=1,Stats!$Q46,"")</f>
        <v/>
      </c>
      <c r="HJ31" s="68" t="str">
        <f>IF(HE31=1,Stats!$R46,"")</f>
        <v/>
      </c>
      <c r="HK31" s="68" t="str">
        <f>IF(HE31=1,Stats!$S46,"")</f>
        <v/>
      </c>
      <c r="HL31" s="68">
        <f t="shared" si="84"/>
        <v>0</v>
      </c>
      <c r="HM31">
        <f t="shared" si="85"/>
        <v>0</v>
      </c>
      <c r="HN31" s="68">
        <f>IF(HM31=0,MAX(HN$2:HN30)+1,0)</f>
        <v>29</v>
      </c>
      <c r="HO31" s="5" t="str">
        <f t="shared" si="86"/>
        <v>Mindless</v>
      </c>
      <c r="HP31" s="5" t="str">
        <f t="shared" si="87"/>
        <v>Mindless</v>
      </c>
      <c r="HR31">
        <f t="shared" si="88"/>
        <v>29</v>
      </c>
      <c r="HS31" s="5" t="str">
        <f t="shared" si="89"/>
        <v>Mindless</v>
      </c>
      <c r="HT31" s="68">
        <f>COUNTIF(Builder!$K$20:$N$20,HS31)</f>
        <v>0</v>
      </c>
      <c r="HU31" s="68" t="str">
        <f>IF(HT31=1,Stats!$N46,"")</f>
        <v/>
      </c>
      <c r="HV31" s="68" t="str">
        <f>IF(HT31=1,Stats!$O46,"")</f>
        <v/>
      </c>
      <c r="HW31" s="68" t="str">
        <f>IF(HT31=1,Stats!$P46,"")</f>
        <v/>
      </c>
      <c r="HX31" s="68" t="str">
        <f>IF(HT31=1,Stats!$Q46,"")</f>
        <v/>
      </c>
      <c r="HY31" s="68" t="str">
        <f>IF(HT31=1,Stats!$R46,"")</f>
        <v/>
      </c>
      <c r="HZ31" s="68" t="str">
        <f>IF(HT31=1,Stats!$S46,"")</f>
        <v/>
      </c>
      <c r="IA31" s="68">
        <f t="shared" si="90"/>
        <v>0</v>
      </c>
      <c r="IB31">
        <f t="shared" si="91"/>
        <v>0</v>
      </c>
      <c r="IC31" s="68">
        <f>IF(IB31=0,MAX(IC$2:IC30)+1,0)</f>
        <v>29</v>
      </c>
      <c r="ID31" s="5" t="str">
        <f t="shared" si="92"/>
        <v>Mindless</v>
      </c>
      <c r="IE31" s="5" t="str">
        <f t="shared" si="93"/>
        <v>Mindless</v>
      </c>
      <c r="IG31">
        <f t="shared" si="94"/>
        <v>29</v>
      </c>
      <c r="IH31" s="5" t="str">
        <f t="shared" si="95"/>
        <v>Mindless</v>
      </c>
      <c r="II31" s="68">
        <f>COUNTIF(Builder!$K$21:$N$21,IH31)</f>
        <v>0</v>
      </c>
      <c r="IJ31" s="68" t="str">
        <f>IF(II31=1,Stats!$N46,"")</f>
        <v/>
      </c>
      <c r="IK31" s="68" t="str">
        <f>IF(II31=1,Stats!$O46,"")</f>
        <v/>
      </c>
      <c r="IL31" s="68" t="str">
        <f>IF(II31=1,Stats!$P46,"")</f>
        <v/>
      </c>
      <c r="IM31" s="68" t="str">
        <f>IF(II31=1,Stats!$Q46,"")</f>
        <v/>
      </c>
      <c r="IN31" s="68" t="str">
        <f>IF(II31=1,Stats!$R46,"")</f>
        <v/>
      </c>
      <c r="IO31" s="68" t="str">
        <f>IF(II31=1,Stats!$S46,"")</f>
        <v/>
      </c>
      <c r="IP31" s="68">
        <f t="shared" si="96"/>
        <v>0</v>
      </c>
      <c r="IQ31">
        <f t="shared" si="97"/>
        <v>0</v>
      </c>
      <c r="IR31" s="68">
        <f>IF(IQ31=0,MAX(IR$2:IR30)+1,0)</f>
        <v>29</v>
      </c>
      <c r="IS31" s="5" t="str">
        <f t="shared" si="98"/>
        <v>Mindless</v>
      </c>
      <c r="IT31" s="5" t="str">
        <f t="shared" si="99"/>
        <v>Mindless</v>
      </c>
      <c r="IV31">
        <f t="shared" si="100"/>
        <v>29</v>
      </c>
      <c r="IW31" s="5" t="str">
        <f t="shared" si="101"/>
        <v>Mindless</v>
      </c>
      <c r="IX31" s="68">
        <f>COUNTIF(Builder!$K$22:$N$22,IW31)</f>
        <v>0</v>
      </c>
      <c r="IY31" s="68" t="str">
        <f>IF(IX31=1,Stats!$N46,"")</f>
        <v/>
      </c>
      <c r="IZ31" s="68" t="str">
        <f>IF(IX31=1,Stats!$O46,"")</f>
        <v/>
      </c>
      <c r="JA31" s="68" t="str">
        <f>IF(IX31=1,Stats!$P46,"")</f>
        <v/>
      </c>
      <c r="JB31" s="68" t="str">
        <f>IF(IX31=1,Stats!$Q46,"")</f>
        <v/>
      </c>
      <c r="JC31" s="68" t="str">
        <f>IF(IX31=1,Stats!$R46,"")</f>
        <v/>
      </c>
      <c r="JD31" s="68" t="str">
        <f>IF(IX31=1,Stats!$S46,"")</f>
        <v/>
      </c>
      <c r="JE31" s="68">
        <f t="shared" si="102"/>
        <v>0</v>
      </c>
      <c r="JF31">
        <f t="shared" si="103"/>
        <v>0</v>
      </c>
      <c r="JG31" s="68">
        <f>IF(JF31=0,MAX(JG$2:JG30)+1,0)</f>
        <v>29</v>
      </c>
      <c r="JH31" s="5" t="str">
        <f t="shared" si="104"/>
        <v>Mindless</v>
      </c>
      <c r="JI31" s="5" t="str">
        <f t="shared" si="105"/>
        <v>Mindless</v>
      </c>
      <c r="JK31">
        <f t="shared" si="106"/>
        <v>29</v>
      </c>
      <c r="JL31" s="5" t="str">
        <f t="shared" si="107"/>
        <v>Mindless</v>
      </c>
      <c r="JM31" s="68">
        <f>COUNTIF(Builder!$K$23:$N$23,JL31)</f>
        <v>0</v>
      </c>
      <c r="JN31" s="68" t="str">
        <f>IF(JM31=1,Stats!$N46,"")</f>
        <v/>
      </c>
      <c r="JO31" s="68" t="str">
        <f>IF(JM31=1,Stats!$O46,"")</f>
        <v/>
      </c>
      <c r="JP31" s="68" t="str">
        <f>IF(JM31=1,Stats!$P46,"")</f>
        <v/>
      </c>
      <c r="JQ31" s="68" t="str">
        <f>IF(JM31=1,Stats!$Q46,"")</f>
        <v/>
      </c>
      <c r="JR31" s="68" t="str">
        <f>IF(JM31=1,Stats!$R46,"")</f>
        <v/>
      </c>
      <c r="JS31" s="68" t="str">
        <f>IF(JM31=1,Stats!$S46,"")</f>
        <v/>
      </c>
      <c r="JT31" s="68">
        <f t="shared" si="108"/>
        <v>0</v>
      </c>
      <c r="JU31">
        <f t="shared" si="109"/>
        <v>0</v>
      </c>
      <c r="JV31" s="68">
        <f>IF(JU31=0,MAX(JV$2:JV30)+1,0)</f>
        <v>29</v>
      </c>
      <c r="JW31" s="5" t="str">
        <f t="shared" si="110"/>
        <v>Mindless</v>
      </c>
      <c r="JX31" s="5" t="str">
        <f t="shared" si="111"/>
        <v>Mindless</v>
      </c>
      <c r="JZ31">
        <f t="shared" si="112"/>
        <v>29</v>
      </c>
      <c r="KA31" s="5" t="str">
        <f t="shared" si="113"/>
        <v>Mindless</v>
      </c>
      <c r="KB31" s="68">
        <f>COUNTIF(Builder!$K$24:$N$24,KA31)</f>
        <v>0</v>
      </c>
      <c r="KC31" s="68" t="str">
        <f>IF(KB31=1,Stats!$N46,"")</f>
        <v/>
      </c>
      <c r="KD31" s="68" t="str">
        <f>IF(KB31=1,Stats!$O46,"")</f>
        <v/>
      </c>
      <c r="KE31" s="68" t="str">
        <f>IF(KB31=1,Stats!$P46,"")</f>
        <v/>
      </c>
      <c r="KF31" s="68" t="str">
        <f>IF(KB31=1,Stats!$Q46,"")</f>
        <v/>
      </c>
      <c r="KG31" s="68" t="str">
        <f>IF(KB31=1,Stats!$R46,"")</f>
        <v/>
      </c>
      <c r="KH31" s="68" t="str">
        <f>IF(KB31=1,Stats!$S46,"")</f>
        <v/>
      </c>
      <c r="KI31" s="68">
        <f t="shared" si="114"/>
        <v>0</v>
      </c>
      <c r="KJ31">
        <f t="shared" si="115"/>
        <v>0</v>
      </c>
      <c r="KK31" s="68">
        <f>IF(KJ31=0,MAX(KK$2:KK30)+1,0)</f>
        <v>29</v>
      </c>
      <c r="KL31" s="5" t="str">
        <f t="shared" si="116"/>
        <v>Mindless</v>
      </c>
      <c r="KM31" s="5" t="str">
        <f t="shared" si="117"/>
        <v>Mindless</v>
      </c>
      <c r="KO31">
        <f t="shared" si="118"/>
        <v>29</v>
      </c>
      <c r="KP31" s="5" t="str">
        <f t="shared" si="119"/>
        <v>Mindless</v>
      </c>
      <c r="KQ31" s="68">
        <f>COUNTIF(Builder!$K$25:$N$25,KP31)</f>
        <v>0</v>
      </c>
      <c r="KR31" s="68" t="str">
        <f>IF(KQ31=1,Stats!$N46,"")</f>
        <v/>
      </c>
      <c r="KS31" s="68" t="str">
        <f>IF(KQ31=1,Stats!$O46,"")</f>
        <v/>
      </c>
      <c r="KT31" s="68" t="str">
        <f>IF(KQ31=1,Stats!$P46,"")</f>
        <v/>
      </c>
      <c r="KU31" s="68" t="str">
        <f>IF(KQ31=1,Stats!$Q46,"")</f>
        <v/>
      </c>
      <c r="KV31" s="68" t="str">
        <f>IF(KQ31=1,Stats!$R46,"")</f>
        <v/>
      </c>
      <c r="KW31" s="68" t="str">
        <f>IF(KQ31=1,Stats!$S46,"")</f>
        <v/>
      </c>
      <c r="KX31" s="68">
        <f t="shared" si="120"/>
        <v>0</v>
      </c>
      <c r="KY31">
        <f t="shared" si="121"/>
        <v>0</v>
      </c>
      <c r="KZ31" s="68">
        <f>IF(KY31=0,MAX(KZ$2:KZ30)+1,0)</f>
        <v>29</v>
      </c>
      <c r="LA31" s="5" t="str">
        <f t="shared" si="122"/>
        <v>Mindless</v>
      </c>
      <c r="LB31" s="5" t="str">
        <f t="shared" si="123"/>
        <v>Mindless</v>
      </c>
      <c r="LD31">
        <f t="shared" si="124"/>
        <v>29</v>
      </c>
      <c r="LE31" s="5" t="str">
        <f t="shared" si="125"/>
        <v>Mindless</v>
      </c>
      <c r="LF31" s="68">
        <f>COUNTIF(Builder!$K$26:$N$26,LE31)</f>
        <v>0</v>
      </c>
      <c r="LG31" s="68" t="str">
        <f>IF(LF31=1,Stats!$N46,"")</f>
        <v/>
      </c>
      <c r="LH31" s="68" t="str">
        <f>IF(LF31=1,Stats!$O46,"")</f>
        <v/>
      </c>
      <c r="LI31" s="68" t="str">
        <f>IF(LF31=1,Stats!$P46,"")</f>
        <v/>
      </c>
      <c r="LJ31" s="68" t="str">
        <f>IF(LF31=1,Stats!$Q46,"")</f>
        <v/>
      </c>
      <c r="LK31" s="68" t="str">
        <f>IF(LF31=1,Stats!$R46,"")</f>
        <v/>
      </c>
      <c r="LL31" s="68" t="str">
        <f>IF(LF31=1,Stats!$S46,"")</f>
        <v/>
      </c>
      <c r="LM31" s="68">
        <f t="shared" si="126"/>
        <v>0</v>
      </c>
      <c r="LN31">
        <f t="shared" si="127"/>
        <v>0</v>
      </c>
      <c r="LO31" s="68">
        <f>IF(LN31=0,MAX(LO$2:LO30)+1,0)</f>
        <v>29</v>
      </c>
      <c r="LP31" s="5" t="str">
        <f t="shared" si="128"/>
        <v>Mindless</v>
      </c>
      <c r="LQ31" s="5" t="str">
        <f t="shared" si="129"/>
        <v>Mindless</v>
      </c>
      <c r="LS31">
        <f t="shared" si="130"/>
        <v>29</v>
      </c>
      <c r="LT31" s="5" t="str">
        <f t="shared" si="131"/>
        <v>Mindless</v>
      </c>
      <c r="LU31" s="68">
        <f>COUNTIF(Builder!$K$27:$N$27,LT31)</f>
        <v>0</v>
      </c>
      <c r="LV31" s="68" t="str">
        <f>IF(LU31=1,Stats!$N46,"")</f>
        <v/>
      </c>
      <c r="LW31" s="68" t="str">
        <f>IF(LU31=1,Stats!$O46,"")</f>
        <v/>
      </c>
      <c r="LX31" s="68" t="str">
        <f>IF(LU31=1,Stats!$P46,"")</f>
        <v/>
      </c>
      <c r="LY31" s="68" t="str">
        <f>IF(LU31=1,Stats!$Q46,"")</f>
        <v/>
      </c>
      <c r="LZ31" s="68" t="str">
        <f>IF(LU31=1,Stats!$R46,"")</f>
        <v/>
      </c>
      <c r="MA31" s="68" t="str">
        <f>IF(LU31=1,Stats!$S46,"")</f>
        <v/>
      </c>
      <c r="MB31" s="68">
        <f t="shared" si="132"/>
        <v>0</v>
      </c>
      <c r="MC31">
        <f t="shared" si="133"/>
        <v>0</v>
      </c>
      <c r="MD31" s="68">
        <f>IF(MC31=0,MAX(MD$2:MD30)+1,0)</f>
        <v>29</v>
      </c>
      <c r="ME31" s="5" t="str">
        <f t="shared" si="134"/>
        <v>Mindless</v>
      </c>
      <c r="MF31" s="5" t="str">
        <f t="shared" si="135"/>
        <v>Mindless</v>
      </c>
      <c r="MH31">
        <f t="shared" si="136"/>
        <v>29</v>
      </c>
      <c r="MI31" s="5" t="str">
        <f t="shared" si="137"/>
        <v>Mindless</v>
      </c>
      <c r="MJ31" s="68">
        <f>COUNTIF(Builder!$K$28:$N$28,MI31)</f>
        <v>0</v>
      </c>
      <c r="MK31" s="68" t="str">
        <f>IF(MJ31=1,Stats!$N46,"")</f>
        <v/>
      </c>
      <c r="ML31" s="68" t="str">
        <f>IF(MJ31=1,Stats!$O46,"")</f>
        <v/>
      </c>
      <c r="MM31" s="68" t="str">
        <f>IF(MJ31=1,Stats!$P46,"")</f>
        <v/>
      </c>
      <c r="MN31" s="68" t="str">
        <f>IF(MJ31=1,Stats!$Q46,"")</f>
        <v/>
      </c>
      <c r="MO31" s="68" t="str">
        <f>IF(MJ31=1,Stats!$R46,"")</f>
        <v/>
      </c>
      <c r="MP31" s="68" t="str">
        <f>IF(MJ31=1,Stats!$S46,"")</f>
        <v/>
      </c>
      <c r="MQ31" s="68">
        <f t="shared" si="138"/>
        <v>0</v>
      </c>
      <c r="MR31">
        <f t="shared" si="139"/>
        <v>0</v>
      </c>
      <c r="MS31" s="68">
        <f>IF(MR31=0,MAX(MS$2:MS30)+1,0)</f>
        <v>29</v>
      </c>
      <c r="MT31" s="5" t="str">
        <f t="shared" si="140"/>
        <v>Mindless</v>
      </c>
      <c r="MU31" s="5" t="str">
        <f t="shared" si="141"/>
        <v>Mindless</v>
      </c>
      <c r="MW31">
        <f t="shared" si="142"/>
        <v>29</v>
      </c>
      <c r="MX31" s="5" t="str">
        <f t="shared" si="143"/>
        <v>Mindless</v>
      </c>
      <c r="MY31" s="68">
        <f>COUNTIF(Builder!$K$29:$N$29,MX31)</f>
        <v>0</v>
      </c>
      <c r="MZ31" s="68" t="str">
        <f>IF(MY31=1,Stats!$N46,"")</f>
        <v/>
      </c>
      <c r="NA31" s="68" t="str">
        <f>IF(MY31=1,Stats!$O46,"")</f>
        <v/>
      </c>
      <c r="NB31" s="68" t="str">
        <f>IF(MY31=1,Stats!$P46,"")</f>
        <v/>
      </c>
      <c r="NC31" s="68" t="str">
        <f>IF(MY31=1,Stats!$Q46,"")</f>
        <v/>
      </c>
      <c r="ND31" s="68" t="str">
        <f>IF(MY31=1,Stats!$R46,"")</f>
        <v/>
      </c>
      <c r="NE31" s="68" t="str">
        <f>IF(MY31=1,Stats!$S46,"")</f>
        <v/>
      </c>
      <c r="NF31" s="68">
        <f t="shared" si="144"/>
        <v>0</v>
      </c>
      <c r="NG31">
        <f t="shared" si="145"/>
        <v>0</v>
      </c>
      <c r="NH31" s="68">
        <f>IF(NG31=0,MAX(NH$2:NH30)+1,0)</f>
        <v>29</v>
      </c>
      <c r="NI31" s="5" t="str">
        <f t="shared" si="146"/>
        <v>Mindless</v>
      </c>
      <c r="NJ31" s="5" t="str">
        <f t="shared" si="147"/>
        <v>Mindless</v>
      </c>
    </row>
    <row r="32" spans="1:374" ht="15" x14ac:dyDescent="0.3">
      <c r="A32">
        <v>30</v>
      </c>
      <c r="B32" s="5" t="s">
        <v>35</v>
      </c>
      <c r="C32" s="68">
        <f>COUNTIF(Builder!$K$5:$N$5,B32)</f>
        <v>0</v>
      </c>
      <c r="D32" s="68" t="str">
        <f>IF(C32=1,Stats!$N47,"")</f>
        <v/>
      </c>
      <c r="E32" s="68" t="str">
        <f>IF(C32=1,Stats!$O47,"")</f>
        <v/>
      </c>
      <c r="F32" s="68" t="str">
        <f>IF(C32=1,Stats!$P47,"")</f>
        <v/>
      </c>
      <c r="G32" s="68" t="str">
        <f>IF(C32=1,Stats!$Q47,"")</f>
        <v/>
      </c>
      <c r="H32" s="68" t="str">
        <f>IF(C32=1,Stats!$R47,"")</f>
        <v/>
      </c>
      <c r="I32" s="68" t="str">
        <f>IF(C32=1,Stats!$S47,"")</f>
        <v/>
      </c>
      <c r="J32" s="68">
        <f t="shared" si="0"/>
        <v>0</v>
      </c>
      <c r="K32">
        <f t="shared" si="1"/>
        <v>0</v>
      </c>
      <c r="L32" s="68">
        <f>IF(K32=0,MAX($L$2:L31)+1,0)</f>
        <v>30</v>
      </c>
      <c r="M32" s="5" t="str">
        <f t="shared" si="2"/>
        <v>Monstrous</v>
      </c>
      <c r="N32" s="5" t="str">
        <f t="shared" si="3"/>
        <v>Monstrous</v>
      </c>
      <c r="O32" s="5"/>
      <c r="P32">
        <f t="shared" si="4"/>
        <v>30</v>
      </c>
      <c r="Q32" s="5" t="str">
        <f t="shared" si="5"/>
        <v>Monstrous</v>
      </c>
      <c r="R32" s="68">
        <f>COUNTIF(Builder!$K$6:$N$6,Q32)</f>
        <v>0</v>
      </c>
      <c r="S32" s="68" t="str">
        <f>IF(R32=1,Stats!$N47,"")</f>
        <v/>
      </c>
      <c r="T32" s="68" t="str">
        <f>IF(R32=1,Stats!$O47,"")</f>
        <v/>
      </c>
      <c r="U32" s="68" t="str">
        <f>IF(R32=1,Stats!$P47,"")</f>
        <v/>
      </c>
      <c r="V32" s="68" t="str">
        <f>IF(R32=1,Stats!$Q47,"")</f>
        <v/>
      </c>
      <c r="W32" s="68" t="str">
        <f>IF(R32=1,Stats!$R47,"")</f>
        <v/>
      </c>
      <c r="X32" s="68" t="str">
        <f>IF(R32=1,Stats!$S47,"")</f>
        <v/>
      </c>
      <c r="Y32" s="68">
        <f t="shared" si="6"/>
        <v>0</v>
      </c>
      <c r="Z32">
        <f t="shared" si="7"/>
        <v>0</v>
      </c>
      <c r="AA32" s="68">
        <f>IF(Z32=0,MAX($AA$2:AA31)+1,0)</f>
        <v>30</v>
      </c>
      <c r="AB32" s="5" t="str">
        <f t="shared" si="8"/>
        <v>Monstrous</v>
      </c>
      <c r="AC32" s="5" t="str">
        <f t="shared" si="9"/>
        <v>Monstrous</v>
      </c>
      <c r="AD32" s="5"/>
      <c r="AE32">
        <f t="shared" si="10"/>
        <v>30</v>
      </c>
      <c r="AF32" s="5" t="str">
        <f t="shared" si="11"/>
        <v>Monstrous</v>
      </c>
      <c r="AG32" s="68">
        <f>COUNTIF(Builder!$K$7:$N$7,AF32)</f>
        <v>0</v>
      </c>
      <c r="AH32" s="68" t="str">
        <f>IF(AG32=1,Stats!$N47,"")</f>
        <v/>
      </c>
      <c r="AI32" s="68" t="str">
        <f>IF(AG32=1,Stats!$O47,"")</f>
        <v/>
      </c>
      <c r="AJ32" s="68" t="str">
        <f>IF(AG32=1,Stats!$P47,"")</f>
        <v/>
      </c>
      <c r="AK32" s="68" t="str">
        <f>IF(AG32=1,Stats!$Q47,"")</f>
        <v/>
      </c>
      <c r="AL32" s="68" t="str">
        <f>IF(AG32=1,Stats!$R47,"")</f>
        <v/>
      </c>
      <c r="AM32" s="68" t="str">
        <f>IF(AG32=1,Stats!$S47,"")</f>
        <v/>
      </c>
      <c r="AN32" s="68">
        <f t="shared" si="12"/>
        <v>0</v>
      </c>
      <c r="AO32">
        <f t="shared" si="13"/>
        <v>0</v>
      </c>
      <c r="AP32" s="68">
        <f>IF(AO32=0,MAX($AP$2:AP31)+1,0)</f>
        <v>30</v>
      </c>
      <c r="AQ32" s="5" t="str">
        <f t="shared" si="14"/>
        <v>Monstrous</v>
      </c>
      <c r="AR32" s="5" t="str">
        <f t="shared" si="15"/>
        <v>Monstrous</v>
      </c>
      <c r="AS32" s="5"/>
      <c r="AT32">
        <f t="shared" si="16"/>
        <v>30</v>
      </c>
      <c r="AU32" s="5" t="str">
        <f t="shared" si="17"/>
        <v>Monstrous</v>
      </c>
      <c r="AV32" s="68">
        <f>COUNTIF(Builder!$K$8:$N$8,AU32)</f>
        <v>0</v>
      </c>
      <c r="AW32" s="68" t="str">
        <f>IF(AV32=1,Stats!$N47,"")</f>
        <v/>
      </c>
      <c r="AX32" s="68" t="str">
        <f>IF(AV32=1,Stats!$O47,"")</f>
        <v/>
      </c>
      <c r="AY32" s="68" t="str">
        <f>IF(AV32=1,Stats!$P47,"")</f>
        <v/>
      </c>
      <c r="AZ32" s="68" t="str">
        <f>IF(AV32=1,Stats!$Q47,"")</f>
        <v/>
      </c>
      <c r="BA32" s="68" t="str">
        <f>IF(AV32=1,Stats!$R47,"")</f>
        <v/>
      </c>
      <c r="BB32" s="68" t="str">
        <f>IF(AV32=1,Stats!$S47,"")</f>
        <v/>
      </c>
      <c r="BC32" s="68">
        <f t="shared" si="18"/>
        <v>0</v>
      </c>
      <c r="BD32">
        <f t="shared" si="19"/>
        <v>0</v>
      </c>
      <c r="BE32" s="68">
        <f>IF(BD32=0,MAX($BE$2:BE31)+1,0)</f>
        <v>30</v>
      </c>
      <c r="BF32" s="5" t="str">
        <f t="shared" si="20"/>
        <v>Monstrous</v>
      </c>
      <c r="BG32" s="5" t="str">
        <f t="shared" si="21"/>
        <v>Monstrous</v>
      </c>
      <c r="BH32" s="5"/>
      <c r="BI32">
        <f t="shared" si="148"/>
        <v>30</v>
      </c>
      <c r="BJ32" s="5" t="str">
        <f t="shared" si="149"/>
        <v>Monstrous</v>
      </c>
      <c r="BK32" s="68">
        <f>COUNTIF(Builder!$K$9:$N$9,BJ32)</f>
        <v>0</v>
      </c>
      <c r="BL32" s="68" t="str">
        <f>IF(BK32=1,Stats!$N47,"")</f>
        <v/>
      </c>
      <c r="BM32" s="68" t="str">
        <f>IF(BK32=1,Stats!$O47,"")</f>
        <v/>
      </c>
      <c r="BN32" s="68" t="str">
        <f>IF(BK32=1,Stats!$P47,"")</f>
        <v/>
      </c>
      <c r="BO32" s="68" t="str">
        <f>IF(BK32=1,Stats!$Q47,"")</f>
        <v/>
      </c>
      <c r="BP32" s="68" t="str">
        <f>IF(BK32=1,Stats!$R47,"")</f>
        <v/>
      </c>
      <c r="BQ32" s="68" t="str">
        <f>IF(BK32=1,Stats!$S47,"")</f>
        <v/>
      </c>
      <c r="BR32" s="68">
        <f t="shared" si="150"/>
        <v>0</v>
      </c>
      <c r="BS32">
        <f t="shared" si="151"/>
        <v>0</v>
      </c>
      <c r="BT32" s="68">
        <f>IF(BS32=0,MAX(BT$2:BT31)+1,0)</f>
        <v>30</v>
      </c>
      <c r="BU32" s="5" t="str">
        <f t="shared" si="152"/>
        <v>Monstrous</v>
      </c>
      <c r="BV32" s="5" t="str">
        <f t="shared" si="27"/>
        <v>Monstrous</v>
      </c>
      <c r="BX32">
        <f t="shared" si="153"/>
        <v>30</v>
      </c>
      <c r="BY32" s="5" t="str">
        <f t="shared" si="154"/>
        <v>Monstrous</v>
      </c>
      <c r="BZ32" s="68">
        <f>COUNTIF(Builder!$K$10:$N$10,BY32)</f>
        <v>0</v>
      </c>
      <c r="CA32" s="68" t="str">
        <f>IF(BZ32=1,Stats!$N47,"")</f>
        <v/>
      </c>
      <c r="CB32" s="68" t="str">
        <f>IF(BZ32=1,Stats!$O47,"")</f>
        <v/>
      </c>
      <c r="CC32" s="68" t="str">
        <f>IF(BZ32=1,Stats!$P47,"")</f>
        <v/>
      </c>
      <c r="CD32" s="68" t="str">
        <f>IF(BZ32=1,Stats!$Q47,"")</f>
        <v/>
      </c>
      <c r="CE32" s="68" t="str">
        <f>IF(BZ32=1,Stats!$R47,"")</f>
        <v/>
      </c>
      <c r="CF32" s="68" t="str">
        <f>IF(BZ32=1,Stats!$S47,"")</f>
        <v/>
      </c>
      <c r="CG32" s="68">
        <f t="shared" si="155"/>
        <v>0</v>
      </c>
      <c r="CH32">
        <f t="shared" si="156"/>
        <v>0</v>
      </c>
      <c r="CI32" s="68">
        <f>IF(CH32=0,MAX(CI$2:CI31)+1,0)</f>
        <v>30</v>
      </c>
      <c r="CJ32" s="5" t="str">
        <f t="shared" si="157"/>
        <v>Monstrous</v>
      </c>
      <c r="CK32" s="5" t="str">
        <f t="shared" si="33"/>
        <v>Monstrous</v>
      </c>
      <c r="CM32">
        <f t="shared" si="34"/>
        <v>30</v>
      </c>
      <c r="CN32" s="5" t="str">
        <f t="shared" si="35"/>
        <v>Monstrous</v>
      </c>
      <c r="CO32" s="68">
        <f>COUNTIF(Builder!$K$11:$N$11,CN32)</f>
        <v>0</v>
      </c>
      <c r="CP32" s="68" t="str">
        <f>IF(CO32=1,Stats!$N47,"")</f>
        <v/>
      </c>
      <c r="CQ32" s="68" t="str">
        <f>IF(CO32=1,Stats!$O47,"")</f>
        <v/>
      </c>
      <c r="CR32" s="68" t="str">
        <f>IF(CO32=1,Stats!$P47,"")</f>
        <v/>
      </c>
      <c r="CS32" s="68" t="str">
        <f>IF(CO32=1,Stats!$Q47,"")</f>
        <v/>
      </c>
      <c r="CT32" s="68" t="str">
        <f>IF(CO32=1,Stats!$R47,"")</f>
        <v/>
      </c>
      <c r="CU32" s="68" t="str">
        <f>IF(CO32=1,Stats!$S47,"")</f>
        <v/>
      </c>
      <c r="CV32" s="68">
        <f t="shared" si="36"/>
        <v>0</v>
      </c>
      <c r="CW32">
        <f t="shared" si="37"/>
        <v>0</v>
      </c>
      <c r="CX32" s="68">
        <f>IF(CW32=0,MAX(CX$2:CX31)+1,0)</f>
        <v>30</v>
      </c>
      <c r="CY32" s="5" t="str">
        <f t="shared" si="38"/>
        <v>Monstrous</v>
      </c>
      <c r="CZ32" s="5" t="str">
        <f t="shared" si="39"/>
        <v>Monstrous</v>
      </c>
      <c r="DB32">
        <f t="shared" si="158"/>
        <v>30</v>
      </c>
      <c r="DC32" s="5" t="str">
        <f t="shared" si="159"/>
        <v>Monstrous</v>
      </c>
      <c r="DD32" s="68">
        <f>COUNTIF(Builder!$K$12:$N$12,DC32)</f>
        <v>0</v>
      </c>
      <c r="DE32" s="68" t="str">
        <f>IF(DD32=1,Stats!$N47,"")</f>
        <v/>
      </c>
      <c r="DF32" s="68" t="str">
        <f>IF(DD32=1,Stats!$O47,"")</f>
        <v/>
      </c>
      <c r="DG32" s="68" t="str">
        <f>IF(DD32=1,Stats!$P47,"")</f>
        <v/>
      </c>
      <c r="DH32" s="68" t="str">
        <f>IF(DD32=1,Stats!$Q47,"")</f>
        <v/>
      </c>
      <c r="DI32" s="68" t="str">
        <f>IF(DD32=1,Stats!$R47,"")</f>
        <v/>
      </c>
      <c r="DJ32" s="68" t="str">
        <f>IF(DD32=1,Stats!$S47,"")</f>
        <v/>
      </c>
      <c r="DK32" s="68">
        <f t="shared" si="160"/>
        <v>0</v>
      </c>
      <c r="DL32">
        <f t="shared" si="161"/>
        <v>0</v>
      </c>
      <c r="DM32" s="68">
        <f>IF(DL32=0,MAX(DM$2:DM31)+1,0)</f>
        <v>30</v>
      </c>
      <c r="DN32" s="5" t="str">
        <f t="shared" si="162"/>
        <v>Monstrous</v>
      </c>
      <c r="DO32" s="5" t="str">
        <f t="shared" si="45"/>
        <v>Monstrous</v>
      </c>
      <c r="DQ32">
        <f t="shared" si="163"/>
        <v>30</v>
      </c>
      <c r="DR32" s="5" t="str">
        <f t="shared" si="164"/>
        <v>Monstrous</v>
      </c>
      <c r="DS32" s="68">
        <f>COUNTIF(Builder!$K$13:$N$13,DR32)</f>
        <v>0</v>
      </c>
      <c r="DT32" s="68" t="str">
        <f>IF(DS32=1,Stats!$N47,"")</f>
        <v/>
      </c>
      <c r="DU32" s="68" t="str">
        <f>IF(DS32=1,Stats!$O47,"")</f>
        <v/>
      </c>
      <c r="DV32" s="68" t="str">
        <f>IF(DS32=1,Stats!$P47,"")</f>
        <v/>
      </c>
      <c r="DW32" s="68" t="str">
        <f>IF(DS32=1,Stats!$Q47,"")</f>
        <v/>
      </c>
      <c r="DX32" s="68" t="str">
        <f>IF(DS32=1,Stats!$R47,"")</f>
        <v/>
      </c>
      <c r="DY32" s="68" t="str">
        <f>IF(DS32=1,Stats!$S47,"")</f>
        <v/>
      </c>
      <c r="DZ32" s="68">
        <f t="shared" si="165"/>
        <v>0</v>
      </c>
      <c r="EA32">
        <f t="shared" si="166"/>
        <v>0</v>
      </c>
      <c r="EB32" s="68">
        <f>IF(EA32=0,MAX(EB$2:EB31)+1,0)</f>
        <v>30</v>
      </c>
      <c r="EC32" s="5" t="str">
        <f t="shared" si="167"/>
        <v>Monstrous</v>
      </c>
      <c r="ED32" s="5" t="str">
        <f t="shared" si="51"/>
        <v>Monstrous</v>
      </c>
      <c r="EF32">
        <f t="shared" si="52"/>
        <v>30</v>
      </c>
      <c r="EG32" s="5" t="str">
        <f t="shared" si="53"/>
        <v>Monstrous</v>
      </c>
      <c r="EH32" s="68">
        <f>COUNTIF(Builder!$K$14:$N$14,EG32)</f>
        <v>0</v>
      </c>
      <c r="EI32" s="68" t="str">
        <f>IF(EH32=1,Stats!$N47,"")</f>
        <v/>
      </c>
      <c r="EJ32" s="68" t="str">
        <f>IF(EH32=1,Stats!$O47,"")</f>
        <v/>
      </c>
      <c r="EK32" s="68" t="str">
        <f>IF(EH32=1,Stats!$P47,"")</f>
        <v/>
      </c>
      <c r="EL32" s="68" t="str">
        <f>IF(EH32=1,Stats!$Q47,"")</f>
        <v/>
      </c>
      <c r="EM32" s="68" t="str">
        <f>IF(EH32=1,Stats!$R47,"")</f>
        <v/>
      </c>
      <c r="EN32" s="68" t="str">
        <f>IF(EH32=1,Stats!$S47,"")</f>
        <v/>
      </c>
      <c r="EO32" s="68">
        <f t="shared" si="54"/>
        <v>0</v>
      </c>
      <c r="EP32">
        <f t="shared" si="55"/>
        <v>0</v>
      </c>
      <c r="EQ32" s="68">
        <f>IF(EP32=0,MAX(EQ$2:EQ31)+1,0)</f>
        <v>30</v>
      </c>
      <c r="ER32" s="5" t="str">
        <f t="shared" si="56"/>
        <v>Monstrous</v>
      </c>
      <c r="ES32" s="5" t="str">
        <f t="shared" si="57"/>
        <v>Monstrous</v>
      </c>
      <c r="EU32">
        <f t="shared" si="58"/>
        <v>30</v>
      </c>
      <c r="EV32" s="5" t="str">
        <f t="shared" si="59"/>
        <v>Monstrous</v>
      </c>
      <c r="EW32" s="68">
        <f>COUNTIF(Builder!$K$15:$N$15,EV32)</f>
        <v>0</v>
      </c>
      <c r="EX32" s="68" t="str">
        <f>IF(EW32=1,Stats!$N47,"")</f>
        <v/>
      </c>
      <c r="EY32" s="68" t="str">
        <f>IF(EW32=1,Stats!$O47,"")</f>
        <v/>
      </c>
      <c r="EZ32" s="68" t="str">
        <f>IF(EW32=1,Stats!$P47,"")</f>
        <v/>
      </c>
      <c r="FA32" s="68" t="str">
        <f>IF(EW32=1,Stats!$Q47,"")</f>
        <v/>
      </c>
      <c r="FB32" s="68" t="str">
        <f>IF(EW32=1,Stats!$R47,"")</f>
        <v/>
      </c>
      <c r="FC32" s="68" t="str">
        <f>IF(EW32=1,Stats!$S47,"")</f>
        <v/>
      </c>
      <c r="FD32" s="68">
        <f t="shared" si="60"/>
        <v>0</v>
      </c>
      <c r="FE32">
        <f t="shared" si="61"/>
        <v>0</v>
      </c>
      <c r="FF32" s="68">
        <f>IF(FE32=0,MAX(FF$2:FF31)+1,0)</f>
        <v>30</v>
      </c>
      <c r="FG32" s="5" t="str">
        <f t="shared" si="62"/>
        <v>Monstrous</v>
      </c>
      <c r="FH32" s="5" t="str">
        <f t="shared" si="63"/>
        <v>Monstrous</v>
      </c>
      <c r="FJ32">
        <f t="shared" si="64"/>
        <v>30</v>
      </c>
      <c r="FK32" s="5" t="str">
        <f t="shared" si="65"/>
        <v>Monstrous</v>
      </c>
      <c r="FL32" s="68">
        <f>COUNTIF(Builder!$K$16:$N$16,FK32)</f>
        <v>0</v>
      </c>
      <c r="FM32" s="68" t="str">
        <f>IF(FL32=1,Stats!$N47,"")</f>
        <v/>
      </c>
      <c r="FN32" s="68" t="str">
        <f>IF(FL32=1,Stats!$O47,"")</f>
        <v/>
      </c>
      <c r="FO32" s="68" t="str">
        <f>IF(FL32=1,Stats!$P47,"")</f>
        <v/>
      </c>
      <c r="FP32" s="68" t="str">
        <f>IF(FL32=1,Stats!$Q47,"")</f>
        <v/>
      </c>
      <c r="FQ32" s="68" t="str">
        <f>IF(FL32=1,Stats!$R47,"")</f>
        <v/>
      </c>
      <c r="FR32" s="68" t="str">
        <f>IF(FL32=1,Stats!$S47,"")</f>
        <v/>
      </c>
      <c r="FS32" s="68">
        <f t="shared" si="66"/>
        <v>0</v>
      </c>
      <c r="FT32">
        <f t="shared" si="67"/>
        <v>0</v>
      </c>
      <c r="FU32" s="68">
        <f>IF(FT32=0,MAX(FU$2:FU31)+1,0)</f>
        <v>30</v>
      </c>
      <c r="FV32" s="5" t="str">
        <f t="shared" si="68"/>
        <v>Monstrous</v>
      </c>
      <c r="FW32" s="5" t="str">
        <f t="shared" si="69"/>
        <v>Monstrous</v>
      </c>
      <c r="FY32">
        <f t="shared" si="168"/>
        <v>30</v>
      </c>
      <c r="FZ32" s="5" t="str">
        <f t="shared" si="169"/>
        <v>Monstrous</v>
      </c>
      <c r="GA32" s="68">
        <f>COUNTIF(Builder!$K$17:$N$17,FZ32)</f>
        <v>0</v>
      </c>
      <c r="GB32" s="68" t="str">
        <f>IF(GA32=1,Stats!$N47,"")</f>
        <v/>
      </c>
      <c r="GC32" s="68" t="str">
        <f>IF(GA32=1,Stats!$O47,"")</f>
        <v/>
      </c>
      <c r="GD32" s="68" t="str">
        <f>IF(GA32=1,Stats!$P47,"")</f>
        <v/>
      </c>
      <c r="GE32" s="68" t="str">
        <f>IF(GA32=1,Stats!$Q47,"")</f>
        <v/>
      </c>
      <c r="GF32" s="68" t="str">
        <f>IF(GA32=1,Stats!$R47,"")</f>
        <v/>
      </c>
      <c r="GG32" s="68" t="str">
        <f>IF(GA32=1,Stats!$S47,"")</f>
        <v/>
      </c>
      <c r="GH32" s="68">
        <f t="shared" si="170"/>
        <v>0</v>
      </c>
      <c r="GI32">
        <f t="shared" si="171"/>
        <v>0</v>
      </c>
      <c r="GJ32" s="68">
        <f>IF(GI32=0,MAX(GJ$2:GJ31)+1,0)</f>
        <v>30</v>
      </c>
      <c r="GK32" s="5" t="str">
        <f t="shared" si="172"/>
        <v>Monstrous</v>
      </c>
      <c r="GL32" s="5" t="str">
        <f t="shared" si="75"/>
        <v>Monstrous</v>
      </c>
      <c r="GN32">
        <f t="shared" si="76"/>
        <v>30</v>
      </c>
      <c r="GO32" s="5" t="str">
        <f t="shared" si="77"/>
        <v>Monstrous</v>
      </c>
      <c r="GP32" s="68">
        <f>COUNTIF(Builder!$K$18:$N$18,GO32)</f>
        <v>0</v>
      </c>
      <c r="GQ32" s="68" t="str">
        <f>IF(GP32=1,Stats!$N47,"")</f>
        <v/>
      </c>
      <c r="GR32" s="68" t="str">
        <f>IF(GP32=1,Stats!$O47,"")</f>
        <v/>
      </c>
      <c r="GS32" s="68" t="str">
        <f>IF(GP32=1,Stats!$P47,"")</f>
        <v/>
      </c>
      <c r="GT32" s="68" t="str">
        <f>IF(GP32=1,Stats!$Q47,"")</f>
        <v/>
      </c>
      <c r="GU32" s="68" t="str">
        <f>IF(GP32=1,Stats!$R47,"")</f>
        <v/>
      </c>
      <c r="GV32" s="68" t="str">
        <f>IF(GP32=1,Stats!$S47,"")</f>
        <v/>
      </c>
      <c r="GW32" s="68">
        <f t="shared" si="78"/>
        <v>0</v>
      </c>
      <c r="GX32">
        <f t="shared" si="79"/>
        <v>0</v>
      </c>
      <c r="GY32" s="68">
        <f>IF(GX32=0,MAX(GY$2:GY31)+1,0)</f>
        <v>30</v>
      </c>
      <c r="GZ32" s="5" t="str">
        <f t="shared" si="80"/>
        <v>Monstrous</v>
      </c>
      <c r="HA32" s="5" t="str">
        <f t="shared" si="81"/>
        <v>Monstrous</v>
      </c>
      <c r="HC32">
        <f t="shared" si="82"/>
        <v>30</v>
      </c>
      <c r="HD32" s="5" t="str">
        <f t="shared" si="83"/>
        <v>Monstrous</v>
      </c>
      <c r="HE32" s="68">
        <f>COUNTIF(Builder!$K$19:$N$19,HD32)</f>
        <v>0</v>
      </c>
      <c r="HF32" s="68" t="str">
        <f>IF(HE32=1,Stats!$N47,"")</f>
        <v/>
      </c>
      <c r="HG32" s="68" t="str">
        <f>IF(HE32=1,Stats!$O47,"")</f>
        <v/>
      </c>
      <c r="HH32" s="68" t="str">
        <f>IF(HE32=1,Stats!$P47,"")</f>
        <v/>
      </c>
      <c r="HI32" s="68" t="str">
        <f>IF(HE32=1,Stats!$Q47,"")</f>
        <v/>
      </c>
      <c r="HJ32" s="68" t="str">
        <f>IF(HE32=1,Stats!$R47,"")</f>
        <v/>
      </c>
      <c r="HK32" s="68" t="str">
        <f>IF(HE32=1,Stats!$S47,"")</f>
        <v/>
      </c>
      <c r="HL32" s="68">
        <f t="shared" si="84"/>
        <v>0</v>
      </c>
      <c r="HM32">
        <f t="shared" si="85"/>
        <v>0</v>
      </c>
      <c r="HN32" s="68">
        <f>IF(HM32=0,MAX(HN$2:HN31)+1,0)</f>
        <v>30</v>
      </c>
      <c r="HO32" s="5" t="str">
        <f t="shared" si="86"/>
        <v>Monstrous</v>
      </c>
      <c r="HP32" s="5" t="str">
        <f t="shared" si="87"/>
        <v>Monstrous</v>
      </c>
      <c r="HR32">
        <f t="shared" si="88"/>
        <v>30</v>
      </c>
      <c r="HS32" s="5" t="str">
        <f t="shared" si="89"/>
        <v>Monstrous</v>
      </c>
      <c r="HT32" s="68">
        <f>COUNTIF(Builder!$K$20:$N$20,HS32)</f>
        <v>0</v>
      </c>
      <c r="HU32" s="68" t="str">
        <f>IF(HT32=1,Stats!$N47,"")</f>
        <v/>
      </c>
      <c r="HV32" s="68" t="str">
        <f>IF(HT32=1,Stats!$O47,"")</f>
        <v/>
      </c>
      <c r="HW32" s="68" t="str">
        <f>IF(HT32=1,Stats!$P47,"")</f>
        <v/>
      </c>
      <c r="HX32" s="68" t="str">
        <f>IF(HT32=1,Stats!$Q47,"")</f>
        <v/>
      </c>
      <c r="HY32" s="68" t="str">
        <f>IF(HT32=1,Stats!$R47,"")</f>
        <v/>
      </c>
      <c r="HZ32" s="68" t="str">
        <f>IF(HT32=1,Stats!$S47,"")</f>
        <v/>
      </c>
      <c r="IA32" s="68">
        <f t="shared" si="90"/>
        <v>0</v>
      </c>
      <c r="IB32">
        <f t="shared" si="91"/>
        <v>0</v>
      </c>
      <c r="IC32" s="68">
        <f>IF(IB32=0,MAX(IC$2:IC31)+1,0)</f>
        <v>30</v>
      </c>
      <c r="ID32" s="5" t="str">
        <f t="shared" si="92"/>
        <v>Monstrous</v>
      </c>
      <c r="IE32" s="5" t="str">
        <f t="shared" si="93"/>
        <v>Monstrous</v>
      </c>
      <c r="IG32">
        <f t="shared" si="94"/>
        <v>30</v>
      </c>
      <c r="IH32" s="5" t="str">
        <f t="shared" si="95"/>
        <v>Monstrous</v>
      </c>
      <c r="II32" s="68">
        <f>COUNTIF(Builder!$K$21:$N$21,IH32)</f>
        <v>0</v>
      </c>
      <c r="IJ32" s="68" t="str">
        <f>IF(II32=1,Stats!$N47,"")</f>
        <v/>
      </c>
      <c r="IK32" s="68" t="str">
        <f>IF(II32=1,Stats!$O47,"")</f>
        <v/>
      </c>
      <c r="IL32" s="68" t="str">
        <f>IF(II32=1,Stats!$P47,"")</f>
        <v/>
      </c>
      <c r="IM32" s="68" t="str">
        <f>IF(II32=1,Stats!$Q47,"")</f>
        <v/>
      </c>
      <c r="IN32" s="68" t="str">
        <f>IF(II32=1,Stats!$R47,"")</f>
        <v/>
      </c>
      <c r="IO32" s="68" t="str">
        <f>IF(II32=1,Stats!$S47,"")</f>
        <v/>
      </c>
      <c r="IP32" s="68">
        <f t="shared" si="96"/>
        <v>0</v>
      </c>
      <c r="IQ32">
        <f t="shared" si="97"/>
        <v>0</v>
      </c>
      <c r="IR32" s="68">
        <f>IF(IQ32=0,MAX(IR$2:IR31)+1,0)</f>
        <v>30</v>
      </c>
      <c r="IS32" s="5" t="str">
        <f t="shared" si="98"/>
        <v>Monstrous</v>
      </c>
      <c r="IT32" s="5" t="str">
        <f t="shared" si="99"/>
        <v>Monstrous</v>
      </c>
      <c r="IV32">
        <f t="shared" si="100"/>
        <v>30</v>
      </c>
      <c r="IW32" s="5" t="str">
        <f t="shared" si="101"/>
        <v>Monstrous</v>
      </c>
      <c r="IX32" s="68">
        <f>COUNTIF(Builder!$K$22:$N$22,IW32)</f>
        <v>0</v>
      </c>
      <c r="IY32" s="68" t="str">
        <f>IF(IX32=1,Stats!$N47,"")</f>
        <v/>
      </c>
      <c r="IZ32" s="68" t="str">
        <f>IF(IX32=1,Stats!$O47,"")</f>
        <v/>
      </c>
      <c r="JA32" s="68" t="str">
        <f>IF(IX32=1,Stats!$P47,"")</f>
        <v/>
      </c>
      <c r="JB32" s="68" t="str">
        <f>IF(IX32=1,Stats!$Q47,"")</f>
        <v/>
      </c>
      <c r="JC32" s="68" t="str">
        <f>IF(IX32=1,Stats!$R47,"")</f>
        <v/>
      </c>
      <c r="JD32" s="68" t="str">
        <f>IF(IX32=1,Stats!$S47,"")</f>
        <v/>
      </c>
      <c r="JE32" s="68">
        <f t="shared" si="102"/>
        <v>0</v>
      </c>
      <c r="JF32">
        <f t="shared" si="103"/>
        <v>0</v>
      </c>
      <c r="JG32" s="68">
        <f>IF(JF32=0,MAX(JG$2:JG31)+1,0)</f>
        <v>30</v>
      </c>
      <c r="JH32" s="5" t="str">
        <f t="shared" si="104"/>
        <v>Monstrous</v>
      </c>
      <c r="JI32" s="5" t="str">
        <f t="shared" si="105"/>
        <v>Monstrous</v>
      </c>
      <c r="JK32">
        <f t="shared" si="106"/>
        <v>30</v>
      </c>
      <c r="JL32" s="5" t="str">
        <f t="shared" si="107"/>
        <v>Monstrous</v>
      </c>
      <c r="JM32" s="68">
        <f>COUNTIF(Builder!$K$23:$N$23,JL32)</f>
        <v>0</v>
      </c>
      <c r="JN32" s="68" t="str">
        <f>IF(JM32=1,Stats!$N47,"")</f>
        <v/>
      </c>
      <c r="JO32" s="68" t="str">
        <f>IF(JM32=1,Stats!$O47,"")</f>
        <v/>
      </c>
      <c r="JP32" s="68" t="str">
        <f>IF(JM32=1,Stats!$P47,"")</f>
        <v/>
      </c>
      <c r="JQ32" s="68" t="str">
        <f>IF(JM32=1,Stats!$Q47,"")</f>
        <v/>
      </c>
      <c r="JR32" s="68" t="str">
        <f>IF(JM32=1,Stats!$R47,"")</f>
        <v/>
      </c>
      <c r="JS32" s="68" t="str">
        <f>IF(JM32=1,Stats!$S47,"")</f>
        <v/>
      </c>
      <c r="JT32" s="68">
        <f t="shared" si="108"/>
        <v>0</v>
      </c>
      <c r="JU32">
        <f t="shared" si="109"/>
        <v>0</v>
      </c>
      <c r="JV32" s="68">
        <f>IF(JU32=0,MAX(JV$2:JV31)+1,0)</f>
        <v>30</v>
      </c>
      <c r="JW32" s="5" t="str">
        <f t="shared" si="110"/>
        <v>Monstrous</v>
      </c>
      <c r="JX32" s="5" t="str">
        <f t="shared" si="111"/>
        <v>Monstrous</v>
      </c>
      <c r="JZ32">
        <f t="shared" si="112"/>
        <v>30</v>
      </c>
      <c r="KA32" s="5" t="str">
        <f t="shared" si="113"/>
        <v>Monstrous</v>
      </c>
      <c r="KB32" s="68">
        <f>COUNTIF(Builder!$K$24:$N$24,KA32)</f>
        <v>0</v>
      </c>
      <c r="KC32" s="68" t="str">
        <f>IF(KB32=1,Stats!$N47,"")</f>
        <v/>
      </c>
      <c r="KD32" s="68" t="str">
        <f>IF(KB32=1,Stats!$O47,"")</f>
        <v/>
      </c>
      <c r="KE32" s="68" t="str">
        <f>IF(KB32=1,Stats!$P47,"")</f>
        <v/>
      </c>
      <c r="KF32" s="68" t="str">
        <f>IF(KB32=1,Stats!$Q47,"")</f>
        <v/>
      </c>
      <c r="KG32" s="68" t="str">
        <f>IF(KB32=1,Stats!$R47,"")</f>
        <v/>
      </c>
      <c r="KH32" s="68" t="str">
        <f>IF(KB32=1,Stats!$S47,"")</f>
        <v/>
      </c>
      <c r="KI32" s="68">
        <f t="shared" si="114"/>
        <v>0</v>
      </c>
      <c r="KJ32">
        <f t="shared" si="115"/>
        <v>0</v>
      </c>
      <c r="KK32" s="68">
        <f>IF(KJ32=0,MAX(KK$2:KK31)+1,0)</f>
        <v>30</v>
      </c>
      <c r="KL32" s="5" t="str">
        <f t="shared" si="116"/>
        <v>Monstrous</v>
      </c>
      <c r="KM32" s="5" t="str">
        <f t="shared" si="117"/>
        <v>Monstrous</v>
      </c>
      <c r="KO32">
        <f t="shared" si="118"/>
        <v>30</v>
      </c>
      <c r="KP32" s="5" t="str">
        <f t="shared" si="119"/>
        <v>Monstrous</v>
      </c>
      <c r="KQ32" s="68">
        <f>COUNTIF(Builder!$K$25:$N$25,KP32)</f>
        <v>0</v>
      </c>
      <c r="KR32" s="68" t="str">
        <f>IF(KQ32=1,Stats!$N47,"")</f>
        <v/>
      </c>
      <c r="KS32" s="68" t="str">
        <f>IF(KQ32=1,Stats!$O47,"")</f>
        <v/>
      </c>
      <c r="KT32" s="68" t="str">
        <f>IF(KQ32=1,Stats!$P47,"")</f>
        <v/>
      </c>
      <c r="KU32" s="68" t="str">
        <f>IF(KQ32=1,Stats!$Q47,"")</f>
        <v/>
      </c>
      <c r="KV32" s="68" t="str">
        <f>IF(KQ32=1,Stats!$R47,"")</f>
        <v/>
      </c>
      <c r="KW32" s="68" t="str">
        <f>IF(KQ32=1,Stats!$S47,"")</f>
        <v/>
      </c>
      <c r="KX32" s="68">
        <f t="shared" si="120"/>
        <v>0</v>
      </c>
      <c r="KY32">
        <f t="shared" si="121"/>
        <v>0</v>
      </c>
      <c r="KZ32" s="68">
        <f>IF(KY32=0,MAX(KZ$2:KZ31)+1,0)</f>
        <v>30</v>
      </c>
      <c r="LA32" s="5" t="str">
        <f t="shared" si="122"/>
        <v>Monstrous</v>
      </c>
      <c r="LB32" s="5" t="str">
        <f t="shared" si="123"/>
        <v>Monstrous</v>
      </c>
      <c r="LD32">
        <f t="shared" si="124"/>
        <v>30</v>
      </c>
      <c r="LE32" s="5" t="str">
        <f t="shared" si="125"/>
        <v>Monstrous</v>
      </c>
      <c r="LF32" s="68">
        <f>COUNTIF(Builder!$K$26:$N$26,LE32)</f>
        <v>0</v>
      </c>
      <c r="LG32" s="68" t="str">
        <f>IF(LF32=1,Stats!$N47,"")</f>
        <v/>
      </c>
      <c r="LH32" s="68" t="str">
        <f>IF(LF32=1,Stats!$O47,"")</f>
        <v/>
      </c>
      <c r="LI32" s="68" t="str">
        <f>IF(LF32=1,Stats!$P47,"")</f>
        <v/>
      </c>
      <c r="LJ32" s="68" t="str">
        <f>IF(LF32=1,Stats!$Q47,"")</f>
        <v/>
      </c>
      <c r="LK32" s="68" t="str">
        <f>IF(LF32=1,Stats!$R47,"")</f>
        <v/>
      </c>
      <c r="LL32" s="68" t="str">
        <f>IF(LF32=1,Stats!$S47,"")</f>
        <v/>
      </c>
      <c r="LM32" s="68">
        <f t="shared" si="126"/>
        <v>0</v>
      </c>
      <c r="LN32">
        <f t="shared" si="127"/>
        <v>0</v>
      </c>
      <c r="LO32" s="68">
        <f>IF(LN32=0,MAX(LO$2:LO31)+1,0)</f>
        <v>30</v>
      </c>
      <c r="LP32" s="5" t="str">
        <f t="shared" si="128"/>
        <v>Monstrous</v>
      </c>
      <c r="LQ32" s="5" t="str">
        <f t="shared" si="129"/>
        <v>Monstrous</v>
      </c>
      <c r="LS32">
        <f t="shared" si="130"/>
        <v>30</v>
      </c>
      <c r="LT32" s="5" t="str">
        <f t="shared" si="131"/>
        <v>Monstrous</v>
      </c>
      <c r="LU32" s="68">
        <f>COUNTIF(Builder!$K$27:$N$27,LT32)</f>
        <v>0</v>
      </c>
      <c r="LV32" s="68" t="str">
        <f>IF(LU32=1,Stats!$N47,"")</f>
        <v/>
      </c>
      <c r="LW32" s="68" t="str">
        <f>IF(LU32=1,Stats!$O47,"")</f>
        <v/>
      </c>
      <c r="LX32" s="68" t="str">
        <f>IF(LU32=1,Stats!$P47,"")</f>
        <v/>
      </c>
      <c r="LY32" s="68" t="str">
        <f>IF(LU32=1,Stats!$Q47,"")</f>
        <v/>
      </c>
      <c r="LZ32" s="68" t="str">
        <f>IF(LU32=1,Stats!$R47,"")</f>
        <v/>
      </c>
      <c r="MA32" s="68" t="str">
        <f>IF(LU32=1,Stats!$S47,"")</f>
        <v/>
      </c>
      <c r="MB32" s="68">
        <f t="shared" si="132"/>
        <v>0</v>
      </c>
      <c r="MC32">
        <f t="shared" si="133"/>
        <v>0</v>
      </c>
      <c r="MD32" s="68">
        <f>IF(MC32=0,MAX(MD$2:MD31)+1,0)</f>
        <v>30</v>
      </c>
      <c r="ME32" s="5" t="str">
        <f t="shared" si="134"/>
        <v>Monstrous</v>
      </c>
      <c r="MF32" s="5" t="str">
        <f t="shared" si="135"/>
        <v>Monstrous</v>
      </c>
      <c r="MH32">
        <f t="shared" si="136"/>
        <v>30</v>
      </c>
      <c r="MI32" s="5" t="str">
        <f t="shared" si="137"/>
        <v>Monstrous</v>
      </c>
      <c r="MJ32" s="68">
        <f>COUNTIF(Builder!$K$28:$N$28,MI32)</f>
        <v>0</v>
      </c>
      <c r="MK32" s="68" t="str">
        <f>IF(MJ32=1,Stats!$N47,"")</f>
        <v/>
      </c>
      <c r="ML32" s="68" t="str">
        <f>IF(MJ32=1,Stats!$O47,"")</f>
        <v/>
      </c>
      <c r="MM32" s="68" t="str">
        <f>IF(MJ32=1,Stats!$P47,"")</f>
        <v/>
      </c>
      <c r="MN32" s="68" t="str">
        <f>IF(MJ32=1,Stats!$Q47,"")</f>
        <v/>
      </c>
      <c r="MO32" s="68" t="str">
        <f>IF(MJ32=1,Stats!$R47,"")</f>
        <v/>
      </c>
      <c r="MP32" s="68" t="str">
        <f>IF(MJ32=1,Stats!$S47,"")</f>
        <v/>
      </c>
      <c r="MQ32" s="68">
        <f t="shared" si="138"/>
        <v>0</v>
      </c>
      <c r="MR32">
        <f t="shared" si="139"/>
        <v>0</v>
      </c>
      <c r="MS32" s="68">
        <f>IF(MR32=0,MAX(MS$2:MS31)+1,0)</f>
        <v>30</v>
      </c>
      <c r="MT32" s="5" t="str">
        <f t="shared" si="140"/>
        <v>Monstrous</v>
      </c>
      <c r="MU32" s="5" t="str">
        <f t="shared" si="141"/>
        <v>Monstrous</v>
      </c>
      <c r="MW32">
        <f t="shared" si="142"/>
        <v>30</v>
      </c>
      <c r="MX32" s="5" t="str">
        <f t="shared" si="143"/>
        <v>Monstrous</v>
      </c>
      <c r="MY32" s="68">
        <f>COUNTIF(Builder!$K$29:$N$29,MX32)</f>
        <v>0</v>
      </c>
      <c r="MZ32" s="68" t="str">
        <f>IF(MY32=1,Stats!$N47,"")</f>
        <v/>
      </c>
      <c r="NA32" s="68" t="str">
        <f>IF(MY32=1,Stats!$O47,"")</f>
        <v/>
      </c>
      <c r="NB32" s="68" t="str">
        <f>IF(MY32=1,Stats!$P47,"")</f>
        <v/>
      </c>
      <c r="NC32" s="68" t="str">
        <f>IF(MY32=1,Stats!$Q47,"")</f>
        <v/>
      </c>
      <c r="ND32" s="68" t="str">
        <f>IF(MY32=1,Stats!$R47,"")</f>
        <v/>
      </c>
      <c r="NE32" s="68" t="str">
        <f>IF(MY32=1,Stats!$S47,"")</f>
        <v/>
      </c>
      <c r="NF32" s="68">
        <f t="shared" si="144"/>
        <v>0</v>
      </c>
      <c r="NG32">
        <f t="shared" si="145"/>
        <v>0</v>
      </c>
      <c r="NH32" s="68">
        <f>IF(NG32=0,MAX(NH$2:NH31)+1,0)</f>
        <v>30</v>
      </c>
      <c r="NI32" s="5" t="str">
        <f t="shared" si="146"/>
        <v>Monstrous</v>
      </c>
      <c r="NJ32" s="5" t="str">
        <f t="shared" si="147"/>
        <v>Monstrous</v>
      </c>
    </row>
    <row r="33" spans="1:374" ht="15" x14ac:dyDescent="0.3">
      <c r="A33">
        <v>31</v>
      </c>
      <c r="B33" s="5" t="s">
        <v>36</v>
      </c>
      <c r="C33" s="68">
        <f>COUNTIF(Builder!$K$5:$N$5,B33)</f>
        <v>0</v>
      </c>
      <c r="D33" s="68" t="str">
        <f>IF(C33=1,Stats!$N48,"")</f>
        <v/>
      </c>
      <c r="E33" s="68" t="str">
        <f>IF(C33=1,Stats!$O48,"")</f>
        <v/>
      </c>
      <c r="F33" s="68" t="str">
        <f>IF(C33=1,Stats!$P48,"")</f>
        <v/>
      </c>
      <c r="G33" s="68" t="str">
        <f>IF(C33=1,Stats!$Q48,"")</f>
        <v/>
      </c>
      <c r="H33" s="68" t="str">
        <f>IF(C33=1,Stats!$R48,"")</f>
        <v/>
      </c>
      <c r="I33" s="68" t="str">
        <f>IF(C33=1,Stats!$S48,"")</f>
        <v/>
      </c>
      <c r="J33" s="68">
        <f t="shared" si="0"/>
        <v>0</v>
      </c>
      <c r="K33">
        <f t="shared" si="1"/>
        <v>0</v>
      </c>
      <c r="L33" s="68">
        <f>IF(K33=0,MAX($L$2:L32)+1,0)</f>
        <v>31</v>
      </c>
      <c r="M33" s="5" t="str">
        <f t="shared" si="2"/>
        <v>Mounted</v>
      </c>
      <c r="N33" s="5" t="str">
        <f t="shared" si="3"/>
        <v>Mounted</v>
      </c>
      <c r="O33" s="5"/>
      <c r="P33">
        <f t="shared" si="4"/>
        <v>31</v>
      </c>
      <c r="Q33" s="5" t="str">
        <f t="shared" si="5"/>
        <v>Mounted</v>
      </c>
      <c r="R33" s="68">
        <f>COUNTIF(Builder!$K$6:$N$6,Q33)</f>
        <v>0</v>
      </c>
      <c r="S33" s="68" t="str">
        <f>IF(R33=1,Stats!$N48,"")</f>
        <v/>
      </c>
      <c r="T33" s="68" t="str">
        <f>IF(R33=1,Stats!$O48,"")</f>
        <v/>
      </c>
      <c r="U33" s="68" t="str">
        <f>IF(R33=1,Stats!$P48,"")</f>
        <v/>
      </c>
      <c r="V33" s="68" t="str">
        <f>IF(R33=1,Stats!$Q48,"")</f>
        <v/>
      </c>
      <c r="W33" s="68" t="str">
        <f>IF(R33=1,Stats!$R48,"")</f>
        <v/>
      </c>
      <c r="X33" s="68" t="str">
        <f>IF(R33=1,Stats!$S48,"")</f>
        <v/>
      </c>
      <c r="Y33" s="68">
        <f t="shared" si="6"/>
        <v>0</v>
      </c>
      <c r="Z33">
        <f t="shared" si="7"/>
        <v>0</v>
      </c>
      <c r="AA33" s="68">
        <f>IF(Z33=0,MAX($AA$2:AA32)+1,0)</f>
        <v>31</v>
      </c>
      <c r="AB33" s="5" t="str">
        <f t="shared" si="8"/>
        <v>Mounted</v>
      </c>
      <c r="AC33" s="5" t="str">
        <f t="shared" si="9"/>
        <v>Mounted</v>
      </c>
      <c r="AD33" s="5"/>
      <c r="AE33">
        <f t="shared" si="10"/>
        <v>31</v>
      </c>
      <c r="AF33" s="5" t="str">
        <f t="shared" si="11"/>
        <v>Mounted</v>
      </c>
      <c r="AG33" s="68">
        <f>COUNTIF(Builder!$K$7:$N$7,AF33)</f>
        <v>0</v>
      </c>
      <c r="AH33" s="68" t="str">
        <f>IF(AG33=1,Stats!$N48,"")</f>
        <v/>
      </c>
      <c r="AI33" s="68" t="str">
        <f>IF(AG33=1,Stats!$O48,"")</f>
        <v/>
      </c>
      <c r="AJ33" s="68" t="str">
        <f>IF(AG33=1,Stats!$P48,"")</f>
        <v/>
      </c>
      <c r="AK33" s="68" t="str">
        <f>IF(AG33=1,Stats!$Q48,"")</f>
        <v/>
      </c>
      <c r="AL33" s="68" t="str">
        <f>IF(AG33=1,Stats!$R48,"")</f>
        <v/>
      </c>
      <c r="AM33" s="68" t="str">
        <f>IF(AG33=1,Stats!$S48,"")</f>
        <v/>
      </c>
      <c r="AN33" s="68">
        <f t="shared" si="12"/>
        <v>0</v>
      </c>
      <c r="AO33">
        <f t="shared" si="13"/>
        <v>0</v>
      </c>
      <c r="AP33" s="68">
        <f>IF(AO33=0,MAX($AP$2:AP32)+1,0)</f>
        <v>31</v>
      </c>
      <c r="AQ33" s="5" t="str">
        <f t="shared" si="14"/>
        <v>Mounted</v>
      </c>
      <c r="AR33" s="5" t="str">
        <f t="shared" si="15"/>
        <v>Mounted</v>
      </c>
      <c r="AS33" s="5"/>
      <c r="AT33">
        <f t="shared" si="16"/>
        <v>31</v>
      </c>
      <c r="AU33" s="5" t="str">
        <f t="shared" si="17"/>
        <v>Mounted</v>
      </c>
      <c r="AV33" s="68">
        <f>COUNTIF(Builder!$K$8:$N$8,AU33)</f>
        <v>0</v>
      </c>
      <c r="AW33" s="68" t="str">
        <f>IF(AV33=1,Stats!$N48,"")</f>
        <v/>
      </c>
      <c r="AX33" s="68" t="str">
        <f>IF(AV33=1,Stats!$O48,"")</f>
        <v/>
      </c>
      <c r="AY33" s="68" t="str">
        <f>IF(AV33=1,Stats!$P48,"")</f>
        <v/>
      </c>
      <c r="AZ33" s="68" t="str">
        <f>IF(AV33=1,Stats!$Q48,"")</f>
        <v/>
      </c>
      <c r="BA33" s="68" t="str">
        <f>IF(AV33=1,Stats!$R48,"")</f>
        <v/>
      </c>
      <c r="BB33" s="68" t="str">
        <f>IF(AV33=1,Stats!$S48,"")</f>
        <v/>
      </c>
      <c r="BC33" s="68">
        <f t="shared" si="18"/>
        <v>0</v>
      </c>
      <c r="BD33">
        <f t="shared" si="19"/>
        <v>0</v>
      </c>
      <c r="BE33" s="68">
        <f>IF(BD33=0,MAX($BE$2:BE32)+1,0)</f>
        <v>31</v>
      </c>
      <c r="BF33" s="5" t="str">
        <f t="shared" si="20"/>
        <v>Mounted</v>
      </c>
      <c r="BG33" s="5" t="str">
        <f t="shared" si="21"/>
        <v>Mounted</v>
      </c>
      <c r="BH33" s="5"/>
      <c r="BI33">
        <f t="shared" si="148"/>
        <v>31</v>
      </c>
      <c r="BJ33" s="5" t="str">
        <f t="shared" si="149"/>
        <v>Mounted</v>
      </c>
      <c r="BK33" s="68">
        <f>COUNTIF(Builder!$K$9:$N$9,BJ33)</f>
        <v>0</v>
      </c>
      <c r="BL33" s="68" t="str">
        <f>IF(BK33=1,Stats!$N48,"")</f>
        <v/>
      </c>
      <c r="BM33" s="68" t="str">
        <f>IF(BK33=1,Stats!$O48,"")</f>
        <v/>
      </c>
      <c r="BN33" s="68" t="str">
        <f>IF(BK33=1,Stats!$P48,"")</f>
        <v/>
      </c>
      <c r="BO33" s="68" t="str">
        <f>IF(BK33=1,Stats!$Q48,"")</f>
        <v/>
      </c>
      <c r="BP33" s="68" t="str">
        <f>IF(BK33=1,Stats!$R48,"")</f>
        <v/>
      </c>
      <c r="BQ33" s="68" t="str">
        <f>IF(BK33=1,Stats!$S48,"")</f>
        <v/>
      </c>
      <c r="BR33" s="68">
        <f t="shared" si="150"/>
        <v>0</v>
      </c>
      <c r="BS33">
        <f t="shared" si="151"/>
        <v>0</v>
      </c>
      <c r="BT33" s="68">
        <f>IF(BS33=0,MAX(BT$2:BT32)+1,0)</f>
        <v>31</v>
      </c>
      <c r="BU33" s="5" t="str">
        <f t="shared" si="152"/>
        <v>Mounted</v>
      </c>
      <c r="BV33" s="5" t="str">
        <f t="shared" si="27"/>
        <v>Mounted</v>
      </c>
      <c r="BX33">
        <f t="shared" si="153"/>
        <v>31</v>
      </c>
      <c r="BY33" s="5" t="str">
        <f t="shared" si="154"/>
        <v>Mounted</v>
      </c>
      <c r="BZ33" s="68">
        <f>COUNTIF(Builder!$K$10:$N$10,BY33)</f>
        <v>0</v>
      </c>
      <c r="CA33" s="68" t="str">
        <f>IF(BZ33=1,Stats!$N48,"")</f>
        <v/>
      </c>
      <c r="CB33" s="68" t="str">
        <f>IF(BZ33=1,Stats!$O48,"")</f>
        <v/>
      </c>
      <c r="CC33" s="68" t="str">
        <f>IF(BZ33=1,Stats!$P48,"")</f>
        <v/>
      </c>
      <c r="CD33" s="68" t="str">
        <f>IF(BZ33=1,Stats!$Q48,"")</f>
        <v/>
      </c>
      <c r="CE33" s="68" t="str">
        <f>IF(BZ33=1,Stats!$R48,"")</f>
        <v/>
      </c>
      <c r="CF33" s="68" t="str">
        <f>IF(BZ33=1,Stats!$S48,"")</f>
        <v/>
      </c>
      <c r="CG33" s="68">
        <f t="shared" si="155"/>
        <v>0</v>
      </c>
      <c r="CH33">
        <f t="shared" si="156"/>
        <v>0</v>
      </c>
      <c r="CI33" s="68">
        <f>IF(CH33=0,MAX(CI$2:CI32)+1,0)</f>
        <v>31</v>
      </c>
      <c r="CJ33" s="5" t="str">
        <f t="shared" si="157"/>
        <v>Mounted</v>
      </c>
      <c r="CK33" s="5" t="str">
        <f t="shared" si="33"/>
        <v>Mounted</v>
      </c>
      <c r="CM33">
        <f t="shared" si="34"/>
        <v>31</v>
      </c>
      <c r="CN33" s="5" t="str">
        <f t="shared" si="35"/>
        <v>Mounted</v>
      </c>
      <c r="CO33" s="68">
        <f>COUNTIF(Builder!$K$11:$N$11,CN33)</f>
        <v>0</v>
      </c>
      <c r="CP33" s="68" t="str">
        <f>IF(CO33=1,Stats!$N48,"")</f>
        <v/>
      </c>
      <c r="CQ33" s="68" t="str">
        <f>IF(CO33=1,Stats!$O48,"")</f>
        <v/>
      </c>
      <c r="CR33" s="68" t="str">
        <f>IF(CO33=1,Stats!$P48,"")</f>
        <v/>
      </c>
      <c r="CS33" s="68" t="str">
        <f>IF(CO33=1,Stats!$Q48,"")</f>
        <v/>
      </c>
      <c r="CT33" s="68" t="str">
        <f>IF(CO33=1,Stats!$R48,"")</f>
        <v/>
      </c>
      <c r="CU33" s="68" t="str">
        <f>IF(CO33=1,Stats!$S48,"")</f>
        <v/>
      </c>
      <c r="CV33" s="68">
        <f t="shared" si="36"/>
        <v>0</v>
      </c>
      <c r="CW33">
        <f t="shared" si="37"/>
        <v>0</v>
      </c>
      <c r="CX33" s="68">
        <f>IF(CW33=0,MAX(CX$2:CX32)+1,0)</f>
        <v>31</v>
      </c>
      <c r="CY33" s="5" t="str">
        <f t="shared" si="38"/>
        <v>Mounted</v>
      </c>
      <c r="CZ33" s="5" t="str">
        <f t="shared" si="39"/>
        <v>Mounted</v>
      </c>
      <c r="DB33">
        <f t="shared" si="158"/>
        <v>31</v>
      </c>
      <c r="DC33" s="5" t="str">
        <f t="shared" si="159"/>
        <v>Mounted</v>
      </c>
      <c r="DD33" s="68">
        <f>COUNTIF(Builder!$K$12:$N$12,DC33)</f>
        <v>0</v>
      </c>
      <c r="DE33" s="68" t="str">
        <f>IF(DD33=1,Stats!$N48,"")</f>
        <v/>
      </c>
      <c r="DF33" s="68" t="str">
        <f>IF(DD33=1,Stats!$O48,"")</f>
        <v/>
      </c>
      <c r="DG33" s="68" t="str">
        <f>IF(DD33=1,Stats!$P48,"")</f>
        <v/>
      </c>
      <c r="DH33" s="68" t="str">
        <f>IF(DD33=1,Stats!$Q48,"")</f>
        <v/>
      </c>
      <c r="DI33" s="68" t="str">
        <f>IF(DD33=1,Stats!$R48,"")</f>
        <v/>
      </c>
      <c r="DJ33" s="68" t="str">
        <f>IF(DD33=1,Stats!$S48,"")</f>
        <v/>
      </c>
      <c r="DK33" s="68">
        <f t="shared" si="160"/>
        <v>0</v>
      </c>
      <c r="DL33">
        <f t="shared" si="161"/>
        <v>0</v>
      </c>
      <c r="DM33" s="68">
        <f>IF(DL33=0,MAX(DM$2:DM32)+1,0)</f>
        <v>31</v>
      </c>
      <c r="DN33" s="5" t="str">
        <f t="shared" si="162"/>
        <v>Mounted</v>
      </c>
      <c r="DO33" s="5" t="str">
        <f t="shared" si="45"/>
        <v>Mounted</v>
      </c>
      <c r="DQ33">
        <f t="shared" si="163"/>
        <v>31</v>
      </c>
      <c r="DR33" s="5" t="str">
        <f t="shared" si="164"/>
        <v>Mounted</v>
      </c>
      <c r="DS33" s="68">
        <f>COUNTIF(Builder!$K$13:$N$13,DR33)</f>
        <v>0</v>
      </c>
      <c r="DT33" s="68" t="str">
        <f>IF(DS33=1,Stats!$N48,"")</f>
        <v/>
      </c>
      <c r="DU33" s="68" t="str">
        <f>IF(DS33=1,Stats!$O48,"")</f>
        <v/>
      </c>
      <c r="DV33" s="68" t="str">
        <f>IF(DS33=1,Stats!$P48,"")</f>
        <v/>
      </c>
      <c r="DW33" s="68" t="str">
        <f>IF(DS33=1,Stats!$Q48,"")</f>
        <v/>
      </c>
      <c r="DX33" s="68" t="str">
        <f>IF(DS33=1,Stats!$R48,"")</f>
        <v/>
      </c>
      <c r="DY33" s="68" t="str">
        <f>IF(DS33=1,Stats!$S48,"")</f>
        <v/>
      </c>
      <c r="DZ33" s="68">
        <f t="shared" si="165"/>
        <v>0</v>
      </c>
      <c r="EA33">
        <f t="shared" si="166"/>
        <v>0</v>
      </c>
      <c r="EB33" s="68">
        <f>IF(EA33=0,MAX(EB$2:EB32)+1,0)</f>
        <v>31</v>
      </c>
      <c r="EC33" s="5" t="str">
        <f t="shared" si="167"/>
        <v>Mounted</v>
      </c>
      <c r="ED33" s="5" t="str">
        <f t="shared" si="51"/>
        <v>Mounted</v>
      </c>
      <c r="EF33">
        <f t="shared" si="52"/>
        <v>31</v>
      </c>
      <c r="EG33" s="5" t="str">
        <f t="shared" si="53"/>
        <v>Mounted</v>
      </c>
      <c r="EH33" s="68">
        <f>COUNTIF(Builder!$K$14:$N$14,EG33)</f>
        <v>0</v>
      </c>
      <c r="EI33" s="68" t="str">
        <f>IF(EH33=1,Stats!$N48,"")</f>
        <v/>
      </c>
      <c r="EJ33" s="68" t="str">
        <f>IF(EH33=1,Stats!$O48,"")</f>
        <v/>
      </c>
      <c r="EK33" s="68" t="str">
        <f>IF(EH33=1,Stats!$P48,"")</f>
        <v/>
      </c>
      <c r="EL33" s="68" t="str">
        <f>IF(EH33=1,Stats!$Q48,"")</f>
        <v/>
      </c>
      <c r="EM33" s="68" t="str">
        <f>IF(EH33=1,Stats!$R48,"")</f>
        <v/>
      </c>
      <c r="EN33" s="68" t="str">
        <f>IF(EH33=1,Stats!$S48,"")</f>
        <v/>
      </c>
      <c r="EO33" s="68">
        <f t="shared" si="54"/>
        <v>0</v>
      </c>
      <c r="EP33">
        <f t="shared" si="55"/>
        <v>0</v>
      </c>
      <c r="EQ33" s="68">
        <f>IF(EP33=0,MAX(EQ$2:EQ32)+1,0)</f>
        <v>31</v>
      </c>
      <c r="ER33" s="5" t="str">
        <f t="shared" si="56"/>
        <v>Mounted</v>
      </c>
      <c r="ES33" s="5" t="str">
        <f t="shared" si="57"/>
        <v>Mounted</v>
      </c>
      <c r="EU33">
        <f t="shared" si="58"/>
        <v>31</v>
      </c>
      <c r="EV33" s="5" t="str">
        <f t="shared" si="59"/>
        <v>Mounted</v>
      </c>
      <c r="EW33" s="68">
        <f>COUNTIF(Builder!$K$15:$N$15,EV33)</f>
        <v>0</v>
      </c>
      <c r="EX33" s="68" t="str">
        <f>IF(EW33=1,Stats!$N48,"")</f>
        <v/>
      </c>
      <c r="EY33" s="68" t="str">
        <f>IF(EW33=1,Stats!$O48,"")</f>
        <v/>
      </c>
      <c r="EZ33" s="68" t="str">
        <f>IF(EW33=1,Stats!$P48,"")</f>
        <v/>
      </c>
      <c r="FA33" s="68" t="str">
        <f>IF(EW33=1,Stats!$Q48,"")</f>
        <v/>
      </c>
      <c r="FB33" s="68" t="str">
        <f>IF(EW33=1,Stats!$R48,"")</f>
        <v/>
      </c>
      <c r="FC33" s="68" t="str">
        <f>IF(EW33=1,Stats!$S48,"")</f>
        <v/>
      </c>
      <c r="FD33" s="68">
        <f t="shared" si="60"/>
        <v>0</v>
      </c>
      <c r="FE33">
        <f t="shared" si="61"/>
        <v>0</v>
      </c>
      <c r="FF33" s="68">
        <f>IF(FE33=0,MAX(FF$2:FF32)+1,0)</f>
        <v>31</v>
      </c>
      <c r="FG33" s="5" t="str">
        <f t="shared" si="62"/>
        <v>Mounted</v>
      </c>
      <c r="FH33" s="5" t="str">
        <f t="shared" si="63"/>
        <v>Mounted</v>
      </c>
      <c r="FJ33">
        <f t="shared" si="64"/>
        <v>31</v>
      </c>
      <c r="FK33" s="5" t="str">
        <f t="shared" si="65"/>
        <v>Mounted</v>
      </c>
      <c r="FL33" s="68">
        <f>COUNTIF(Builder!$K$16:$N$16,FK33)</f>
        <v>0</v>
      </c>
      <c r="FM33" s="68" t="str">
        <f>IF(FL33=1,Stats!$N48,"")</f>
        <v/>
      </c>
      <c r="FN33" s="68" t="str">
        <f>IF(FL33=1,Stats!$O48,"")</f>
        <v/>
      </c>
      <c r="FO33" s="68" t="str">
        <f>IF(FL33=1,Stats!$P48,"")</f>
        <v/>
      </c>
      <c r="FP33" s="68" t="str">
        <f>IF(FL33=1,Stats!$Q48,"")</f>
        <v/>
      </c>
      <c r="FQ33" s="68" t="str">
        <f>IF(FL33=1,Stats!$R48,"")</f>
        <v/>
      </c>
      <c r="FR33" s="68" t="str">
        <f>IF(FL33=1,Stats!$S48,"")</f>
        <v/>
      </c>
      <c r="FS33" s="68">
        <f t="shared" si="66"/>
        <v>0</v>
      </c>
      <c r="FT33">
        <f t="shared" si="67"/>
        <v>0</v>
      </c>
      <c r="FU33" s="68">
        <f>IF(FT33=0,MAX(FU$2:FU32)+1,0)</f>
        <v>31</v>
      </c>
      <c r="FV33" s="5" t="str">
        <f t="shared" si="68"/>
        <v>Mounted</v>
      </c>
      <c r="FW33" s="5" t="str">
        <f t="shared" si="69"/>
        <v>Mounted</v>
      </c>
      <c r="FY33">
        <f t="shared" si="168"/>
        <v>31</v>
      </c>
      <c r="FZ33" s="5" t="str">
        <f t="shared" si="169"/>
        <v>Mounted</v>
      </c>
      <c r="GA33" s="68">
        <f>COUNTIF(Builder!$K$17:$N$17,FZ33)</f>
        <v>0</v>
      </c>
      <c r="GB33" s="68" t="str">
        <f>IF(GA33=1,Stats!$N48,"")</f>
        <v/>
      </c>
      <c r="GC33" s="68" t="str">
        <f>IF(GA33=1,Stats!$O48,"")</f>
        <v/>
      </c>
      <c r="GD33" s="68" t="str">
        <f>IF(GA33=1,Stats!$P48,"")</f>
        <v/>
      </c>
      <c r="GE33" s="68" t="str">
        <f>IF(GA33=1,Stats!$Q48,"")</f>
        <v/>
      </c>
      <c r="GF33" s="68" t="str">
        <f>IF(GA33=1,Stats!$R48,"")</f>
        <v/>
      </c>
      <c r="GG33" s="68" t="str">
        <f>IF(GA33=1,Stats!$S48,"")</f>
        <v/>
      </c>
      <c r="GH33" s="68">
        <f t="shared" si="170"/>
        <v>0</v>
      </c>
      <c r="GI33">
        <f t="shared" si="171"/>
        <v>0</v>
      </c>
      <c r="GJ33" s="68">
        <f>IF(GI33=0,MAX(GJ$2:GJ32)+1,0)</f>
        <v>31</v>
      </c>
      <c r="GK33" s="5" t="str">
        <f t="shared" si="172"/>
        <v>Mounted</v>
      </c>
      <c r="GL33" s="5" t="str">
        <f t="shared" si="75"/>
        <v>Mounted</v>
      </c>
      <c r="GN33">
        <f t="shared" si="76"/>
        <v>31</v>
      </c>
      <c r="GO33" s="5" t="str">
        <f t="shared" si="77"/>
        <v>Mounted</v>
      </c>
      <c r="GP33" s="68">
        <f>COUNTIF(Builder!$K$18:$N$18,GO33)</f>
        <v>0</v>
      </c>
      <c r="GQ33" s="68" t="str">
        <f>IF(GP33=1,Stats!$N48,"")</f>
        <v/>
      </c>
      <c r="GR33" s="68" t="str">
        <f>IF(GP33=1,Stats!$O48,"")</f>
        <v/>
      </c>
      <c r="GS33" s="68" t="str">
        <f>IF(GP33=1,Stats!$P48,"")</f>
        <v/>
      </c>
      <c r="GT33" s="68" t="str">
        <f>IF(GP33=1,Stats!$Q48,"")</f>
        <v/>
      </c>
      <c r="GU33" s="68" t="str">
        <f>IF(GP33=1,Stats!$R48,"")</f>
        <v/>
      </c>
      <c r="GV33" s="68" t="str">
        <f>IF(GP33=1,Stats!$S48,"")</f>
        <v/>
      </c>
      <c r="GW33" s="68">
        <f t="shared" si="78"/>
        <v>0</v>
      </c>
      <c r="GX33">
        <f t="shared" si="79"/>
        <v>0</v>
      </c>
      <c r="GY33" s="68">
        <f>IF(GX33=0,MAX(GY$2:GY32)+1,0)</f>
        <v>31</v>
      </c>
      <c r="GZ33" s="5" t="str">
        <f t="shared" si="80"/>
        <v>Mounted</v>
      </c>
      <c r="HA33" s="5" t="str">
        <f t="shared" si="81"/>
        <v>Mounted</v>
      </c>
      <c r="HC33">
        <f t="shared" si="82"/>
        <v>31</v>
      </c>
      <c r="HD33" s="5" t="str">
        <f t="shared" si="83"/>
        <v>Mounted</v>
      </c>
      <c r="HE33" s="68">
        <f>COUNTIF(Builder!$K$19:$N$19,HD33)</f>
        <v>0</v>
      </c>
      <c r="HF33" s="68" t="str">
        <f>IF(HE33=1,Stats!$N48,"")</f>
        <v/>
      </c>
      <c r="HG33" s="68" t="str">
        <f>IF(HE33=1,Stats!$O48,"")</f>
        <v/>
      </c>
      <c r="HH33" s="68" t="str">
        <f>IF(HE33=1,Stats!$P48,"")</f>
        <v/>
      </c>
      <c r="HI33" s="68" t="str">
        <f>IF(HE33=1,Stats!$Q48,"")</f>
        <v/>
      </c>
      <c r="HJ33" s="68" t="str">
        <f>IF(HE33=1,Stats!$R48,"")</f>
        <v/>
      </c>
      <c r="HK33" s="68" t="str">
        <f>IF(HE33=1,Stats!$S48,"")</f>
        <v/>
      </c>
      <c r="HL33" s="68">
        <f t="shared" si="84"/>
        <v>0</v>
      </c>
      <c r="HM33">
        <f t="shared" si="85"/>
        <v>0</v>
      </c>
      <c r="HN33" s="68">
        <f>IF(HM33=0,MAX(HN$2:HN32)+1,0)</f>
        <v>31</v>
      </c>
      <c r="HO33" s="5" t="str">
        <f t="shared" si="86"/>
        <v>Mounted</v>
      </c>
      <c r="HP33" s="5" t="str">
        <f t="shared" si="87"/>
        <v>Mounted</v>
      </c>
      <c r="HR33">
        <f t="shared" si="88"/>
        <v>31</v>
      </c>
      <c r="HS33" s="5" t="str">
        <f t="shared" si="89"/>
        <v>Mounted</v>
      </c>
      <c r="HT33" s="68">
        <f>COUNTIF(Builder!$K$20:$N$20,HS33)</f>
        <v>0</v>
      </c>
      <c r="HU33" s="68" t="str">
        <f>IF(HT33=1,Stats!$N48,"")</f>
        <v/>
      </c>
      <c r="HV33" s="68" t="str">
        <f>IF(HT33=1,Stats!$O48,"")</f>
        <v/>
      </c>
      <c r="HW33" s="68" t="str">
        <f>IF(HT33=1,Stats!$P48,"")</f>
        <v/>
      </c>
      <c r="HX33" s="68" t="str">
        <f>IF(HT33=1,Stats!$Q48,"")</f>
        <v/>
      </c>
      <c r="HY33" s="68" t="str">
        <f>IF(HT33=1,Stats!$R48,"")</f>
        <v/>
      </c>
      <c r="HZ33" s="68" t="str">
        <f>IF(HT33=1,Stats!$S48,"")</f>
        <v/>
      </c>
      <c r="IA33" s="68">
        <f t="shared" si="90"/>
        <v>0</v>
      </c>
      <c r="IB33">
        <f t="shared" si="91"/>
        <v>0</v>
      </c>
      <c r="IC33" s="68">
        <f>IF(IB33=0,MAX(IC$2:IC32)+1,0)</f>
        <v>31</v>
      </c>
      <c r="ID33" s="5" t="str">
        <f t="shared" si="92"/>
        <v>Mounted</v>
      </c>
      <c r="IE33" s="5" t="str">
        <f t="shared" si="93"/>
        <v>Mounted</v>
      </c>
      <c r="IG33">
        <f t="shared" si="94"/>
        <v>31</v>
      </c>
      <c r="IH33" s="5" t="str">
        <f t="shared" si="95"/>
        <v>Mounted</v>
      </c>
      <c r="II33" s="68">
        <f>COUNTIF(Builder!$K$21:$N$21,IH33)</f>
        <v>0</v>
      </c>
      <c r="IJ33" s="68" t="str">
        <f>IF(II33=1,Stats!$N48,"")</f>
        <v/>
      </c>
      <c r="IK33" s="68" t="str">
        <f>IF(II33=1,Stats!$O48,"")</f>
        <v/>
      </c>
      <c r="IL33" s="68" t="str">
        <f>IF(II33=1,Stats!$P48,"")</f>
        <v/>
      </c>
      <c r="IM33" s="68" t="str">
        <f>IF(II33=1,Stats!$Q48,"")</f>
        <v/>
      </c>
      <c r="IN33" s="68" t="str">
        <f>IF(II33=1,Stats!$R48,"")</f>
        <v/>
      </c>
      <c r="IO33" s="68" t="str">
        <f>IF(II33=1,Stats!$S48,"")</f>
        <v/>
      </c>
      <c r="IP33" s="68">
        <f t="shared" si="96"/>
        <v>0</v>
      </c>
      <c r="IQ33">
        <f t="shared" si="97"/>
        <v>0</v>
      </c>
      <c r="IR33" s="68">
        <f>IF(IQ33=0,MAX(IR$2:IR32)+1,0)</f>
        <v>31</v>
      </c>
      <c r="IS33" s="5" t="str">
        <f t="shared" si="98"/>
        <v>Mounted</v>
      </c>
      <c r="IT33" s="5" t="str">
        <f t="shared" si="99"/>
        <v>Mounted</v>
      </c>
      <c r="IV33">
        <f t="shared" si="100"/>
        <v>31</v>
      </c>
      <c r="IW33" s="5" t="str">
        <f t="shared" si="101"/>
        <v>Mounted</v>
      </c>
      <c r="IX33" s="68">
        <f>COUNTIF(Builder!$K$22:$N$22,IW33)</f>
        <v>0</v>
      </c>
      <c r="IY33" s="68" t="str">
        <f>IF(IX33=1,Stats!$N48,"")</f>
        <v/>
      </c>
      <c r="IZ33" s="68" t="str">
        <f>IF(IX33=1,Stats!$O48,"")</f>
        <v/>
      </c>
      <c r="JA33" s="68" t="str">
        <f>IF(IX33=1,Stats!$P48,"")</f>
        <v/>
      </c>
      <c r="JB33" s="68" t="str">
        <f>IF(IX33=1,Stats!$Q48,"")</f>
        <v/>
      </c>
      <c r="JC33" s="68" t="str">
        <f>IF(IX33=1,Stats!$R48,"")</f>
        <v/>
      </c>
      <c r="JD33" s="68" t="str">
        <f>IF(IX33=1,Stats!$S48,"")</f>
        <v/>
      </c>
      <c r="JE33" s="68">
        <f t="shared" si="102"/>
        <v>0</v>
      </c>
      <c r="JF33">
        <f t="shared" si="103"/>
        <v>0</v>
      </c>
      <c r="JG33" s="68">
        <f>IF(JF33=0,MAX(JG$2:JG32)+1,0)</f>
        <v>31</v>
      </c>
      <c r="JH33" s="5" t="str">
        <f t="shared" si="104"/>
        <v>Mounted</v>
      </c>
      <c r="JI33" s="5" t="str">
        <f t="shared" si="105"/>
        <v>Mounted</v>
      </c>
      <c r="JK33">
        <f t="shared" si="106"/>
        <v>31</v>
      </c>
      <c r="JL33" s="5" t="str">
        <f t="shared" si="107"/>
        <v>Mounted</v>
      </c>
      <c r="JM33" s="68">
        <f>COUNTIF(Builder!$K$23:$N$23,JL33)</f>
        <v>0</v>
      </c>
      <c r="JN33" s="68" t="str">
        <f>IF(JM33=1,Stats!$N48,"")</f>
        <v/>
      </c>
      <c r="JO33" s="68" t="str">
        <f>IF(JM33=1,Stats!$O48,"")</f>
        <v/>
      </c>
      <c r="JP33" s="68" t="str">
        <f>IF(JM33=1,Stats!$P48,"")</f>
        <v/>
      </c>
      <c r="JQ33" s="68" t="str">
        <f>IF(JM33=1,Stats!$Q48,"")</f>
        <v/>
      </c>
      <c r="JR33" s="68" t="str">
        <f>IF(JM33=1,Stats!$R48,"")</f>
        <v/>
      </c>
      <c r="JS33" s="68" t="str">
        <f>IF(JM33=1,Stats!$S48,"")</f>
        <v/>
      </c>
      <c r="JT33" s="68">
        <f t="shared" si="108"/>
        <v>0</v>
      </c>
      <c r="JU33">
        <f t="shared" si="109"/>
        <v>0</v>
      </c>
      <c r="JV33" s="68">
        <f>IF(JU33=0,MAX(JV$2:JV32)+1,0)</f>
        <v>31</v>
      </c>
      <c r="JW33" s="5" t="str">
        <f t="shared" si="110"/>
        <v>Mounted</v>
      </c>
      <c r="JX33" s="5" t="str">
        <f t="shared" si="111"/>
        <v>Mounted</v>
      </c>
      <c r="JZ33">
        <f t="shared" si="112"/>
        <v>31</v>
      </c>
      <c r="KA33" s="5" t="str">
        <f t="shared" si="113"/>
        <v>Mounted</v>
      </c>
      <c r="KB33" s="68">
        <f>COUNTIF(Builder!$K$24:$N$24,KA33)</f>
        <v>0</v>
      </c>
      <c r="KC33" s="68" t="str">
        <f>IF(KB33=1,Stats!$N48,"")</f>
        <v/>
      </c>
      <c r="KD33" s="68" t="str">
        <f>IF(KB33=1,Stats!$O48,"")</f>
        <v/>
      </c>
      <c r="KE33" s="68" t="str">
        <f>IF(KB33=1,Stats!$P48,"")</f>
        <v/>
      </c>
      <c r="KF33" s="68" t="str">
        <f>IF(KB33=1,Stats!$Q48,"")</f>
        <v/>
      </c>
      <c r="KG33" s="68" t="str">
        <f>IF(KB33=1,Stats!$R48,"")</f>
        <v/>
      </c>
      <c r="KH33" s="68" t="str">
        <f>IF(KB33=1,Stats!$S48,"")</f>
        <v/>
      </c>
      <c r="KI33" s="68">
        <f t="shared" si="114"/>
        <v>0</v>
      </c>
      <c r="KJ33">
        <f t="shared" si="115"/>
        <v>0</v>
      </c>
      <c r="KK33" s="68">
        <f>IF(KJ33=0,MAX(KK$2:KK32)+1,0)</f>
        <v>31</v>
      </c>
      <c r="KL33" s="5" t="str">
        <f t="shared" si="116"/>
        <v>Mounted</v>
      </c>
      <c r="KM33" s="5" t="str">
        <f t="shared" si="117"/>
        <v>Mounted</v>
      </c>
      <c r="KO33">
        <f t="shared" si="118"/>
        <v>31</v>
      </c>
      <c r="KP33" s="5" t="str">
        <f t="shared" si="119"/>
        <v>Mounted</v>
      </c>
      <c r="KQ33" s="68">
        <f>COUNTIF(Builder!$K$25:$N$25,KP33)</f>
        <v>0</v>
      </c>
      <c r="KR33" s="68" t="str">
        <f>IF(KQ33=1,Stats!$N48,"")</f>
        <v/>
      </c>
      <c r="KS33" s="68" t="str">
        <f>IF(KQ33=1,Stats!$O48,"")</f>
        <v/>
      </c>
      <c r="KT33" s="68" t="str">
        <f>IF(KQ33=1,Stats!$P48,"")</f>
        <v/>
      </c>
      <c r="KU33" s="68" t="str">
        <f>IF(KQ33=1,Stats!$Q48,"")</f>
        <v/>
      </c>
      <c r="KV33" s="68" t="str">
        <f>IF(KQ33=1,Stats!$R48,"")</f>
        <v/>
      </c>
      <c r="KW33" s="68" t="str">
        <f>IF(KQ33=1,Stats!$S48,"")</f>
        <v/>
      </c>
      <c r="KX33" s="68">
        <f t="shared" si="120"/>
        <v>0</v>
      </c>
      <c r="KY33">
        <f t="shared" si="121"/>
        <v>0</v>
      </c>
      <c r="KZ33" s="68">
        <f>IF(KY33=0,MAX(KZ$2:KZ32)+1,0)</f>
        <v>31</v>
      </c>
      <c r="LA33" s="5" t="str">
        <f t="shared" si="122"/>
        <v>Mounted</v>
      </c>
      <c r="LB33" s="5" t="str">
        <f t="shared" si="123"/>
        <v>Mounted</v>
      </c>
      <c r="LD33">
        <f t="shared" si="124"/>
        <v>31</v>
      </c>
      <c r="LE33" s="5" t="str">
        <f t="shared" si="125"/>
        <v>Mounted</v>
      </c>
      <c r="LF33" s="68">
        <f>COUNTIF(Builder!$K$26:$N$26,LE33)</f>
        <v>0</v>
      </c>
      <c r="LG33" s="68" t="str">
        <f>IF(LF33=1,Stats!$N48,"")</f>
        <v/>
      </c>
      <c r="LH33" s="68" t="str">
        <f>IF(LF33=1,Stats!$O48,"")</f>
        <v/>
      </c>
      <c r="LI33" s="68" t="str">
        <f>IF(LF33=1,Stats!$P48,"")</f>
        <v/>
      </c>
      <c r="LJ33" s="68" t="str">
        <f>IF(LF33=1,Stats!$Q48,"")</f>
        <v/>
      </c>
      <c r="LK33" s="68" t="str">
        <f>IF(LF33=1,Stats!$R48,"")</f>
        <v/>
      </c>
      <c r="LL33" s="68" t="str">
        <f>IF(LF33=1,Stats!$S48,"")</f>
        <v/>
      </c>
      <c r="LM33" s="68">
        <f t="shared" si="126"/>
        <v>0</v>
      </c>
      <c r="LN33">
        <f t="shared" si="127"/>
        <v>0</v>
      </c>
      <c r="LO33" s="68">
        <f>IF(LN33=0,MAX(LO$2:LO32)+1,0)</f>
        <v>31</v>
      </c>
      <c r="LP33" s="5" t="str">
        <f t="shared" si="128"/>
        <v>Mounted</v>
      </c>
      <c r="LQ33" s="5" t="str">
        <f t="shared" si="129"/>
        <v>Mounted</v>
      </c>
      <c r="LS33">
        <f t="shared" si="130"/>
        <v>31</v>
      </c>
      <c r="LT33" s="5" t="str">
        <f t="shared" si="131"/>
        <v>Mounted</v>
      </c>
      <c r="LU33" s="68">
        <f>COUNTIF(Builder!$K$27:$N$27,LT33)</f>
        <v>0</v>
      </c>
      <c r="LV33" s="68" t="str">
        <f>IF(LU33=1,Stats!$N48,"")</f>
        <v/>
      </c>
      <c r="LW33" s="68" t="str">
        <f>IF(LU33=1,Stats!$O48,"")</f>
        <v/>
      </c>
      <c r="LX33" s="68" t="str">
        <f>IF(LU33=1,Stats!$P48,"")</f>
        <v/>
      </c>
      <c r="LY33" s="68" t="str">
        <f>IF(LU33=1,Stats!$Q48,"")</f>
        <v/>
      </c>
      <c r="LZ33" s="68" t="str">
        <f>IF(LU33=1,Stats!$R48,"")</f>
        <v/>
      </c>
      <c r="MA33" s="68" t="str">
        <f>IF(LU33=1,Stats!$S48,"")</f>
        <v/>
      </c>
      <c r="MB33" s="68">
        <f t="shared" si="132"/>
        <v>0</v>
      </c>
      <c r="MC33">
        <f t="shared" si="133"/>
        <v>0</v>
      </c>
      <c r="MD33" s="68">
        <f>IF(MC33=0,MAX(MD$2:MD32)+1,0)</f>
        <v>31</v>
      </c>
      <c r="ME33" s="5" t="str">
        <f t="shared" si="134"/>
        <v>Mounted</v>
      </c>
      <c r="MF33" s="5" t="str">
        <f t="shared" si="135"/>
        <v>Mounted</v>
      </c>
      <c r="MH33">
        <f t="shared" si="136"/>
        <v>31</v>
      </c>
      <c r="MI33" s="5" t="str">
        <f t="shared" si="137"/>
        <v>Mounted</v>
      </c>
      <c r="MJ33" s="68">
        <f>COUNTIF(Builder!$K$28:$N$28,MI33)</f>
        <v>0</v>
      </c>
      <c r="MK33" s="68" t="str">
        <f>IF(MJ33=1,Stats!$N48,"")</f>
        <v/>
      </c>
      <c r="ML33" s="68" t="str">
        <f>IF(MJ33=1,Stats!$O48,"")</f>
        <v/>
      </c>
      <c r="MM33" s="68" t="str">
        <f>IF(MJ33=1,Stats!$P48,"")</f>
        <v/>
      </c>
      <c r="MN33" s="68" t="str">
        <f>IF(MJ33=1,Stats!$Q48,"")</f>
        <v/>
      </c>
      <c r="MO33" s="68" t="str">
        <f>IF(MJ33=1,Stats!$R48,"")</f>
        <v/>
      </c>
      <c r="MP33" s="68" t="str">
        <f>IF(MJ33=1,Stats!$S48,"")</f>
        <v/>
      </c>
      <c r="MQ33" s="68">
        <f t="shared" si="138"/>
        <v>0</v>
      </c>
      <c r="MR33">
        <f t="shared" si="139"/>
        <v>0</v>
      </c>
      <c r="MS33" s="68">
        <f>IF(MR33=0,MAX(MS$2:MS32)+1,0)</f>
        <v>31</v>
      </c>
      <c r="MT33" s="5" t="str">
        <f t="shared" si="140"/>
        <v>Mounted</v>
      </c>
      <c r="MU33" s="5" t="str">
        <f t="shared" si="141"/>
        <v>Mounted</v>
      </c>
      <c r="MW33">
        <f t="shared" si="142"/>
        <v>31</v>
      </c>
      <c r="MX33" s="5" t="str">
        <f t="shared" si="143"/>
        <v>Mounted</v>
      </c>
      <c r="MY33" s="68">
        <f>COUNTIF(Builder!$K$29:$N$29,MX33)</f>
        <v>0</v>
      </c>
      <c r="MZ33" s="68" t="str">
        <f>IF(MY33=1,Stats!$N48,"")</f>
        <v/>
      </c>
      <c r="NA33" s="68" t="str">
        <f>IF(MY33=1,Stats!$O48,"")</f>
        <v/>
      </c>
      <c r="NB33" s="68" t="str">
        <f>IF(MY33=1,Stats!$P48,"")</f>
        <v/>
      </c>
      <c r="NC33" s="68" t="str">
        <f>IF(MY33=1,Stats!$Q48,"")</f>
        <v/>
      </c>
      <c r="ND33" s="68" t="str">
        <f>IF(MY33=1,Stats!$R48,"")</f>
        <v/>
      </c>
      <c r="NE33" s="68" t="str">
        <f>IF(MY33=1,Stats!$S48,"")</f>
        <v/>
      </c>
      <c r="NF33" s="68">
        <f t="shared" si="144"/>
        <v>0</v>
      </c>
      <c r="NG33">
        <f t="shared" si="145"/>
        <v>0</v>
      </c>
      <c r="NH33" s="68">
        <f>IF(NG33=0,MAX(NH$2:NH32)+1,0)</f>
        <v>31</v>
      </c>
      <c r="NI33" s="5" t="str">
        <f t="shared" si="146"/>
        <v>Mounted</v>
      </c>
      <c r="NJ33" s="5" t="str">
        <f t="shared" si="147"/>
        <v>Mounted</v>
      </c>
    </row>
    <row r="34" spans="1:374" ht="15" x14ac:dyDescent="0.3">
      <c r="A34">
        <v>32</v>
      </c>
      <c r="B34" s="5" t="s">
        <v>209</v>
      </c>
      <c r="C34" s="68">
        <f>COUNTIF(Builder!$K$5:$N$5,B34)</f>
        <v>0</v>
      </c>
      <c r="D34" s="68" t="str">
        <f>IF(C34=1,Stats!$N49,"")</f>
        <v/>
      </c>
      <c r="E34" s="68" t="str">
        <f>IF(C34=1,Stats!$O49,"")</f>
        <v/>
      </c>
      <c r="F34" s="68" t="str">
        <f>IF(C34=1,Stats!$P49,"")</f>
        <v/>
      </c>
      <c r="G34" s="68" t="str">
        <f>IF(C34=1,Stats!$Q49,"")</f>
        <v/>
      </c>
      <c r="H34" s="68" t="str">
        <f>IF(C34=1,Stats!$R49,"")</f>
        <v/>
      </c>
      <c r="I34" s="68" t="str">
        <f>IF(C34=1,Stats!$S49,"")</f>
        <v/>
      </c>
      <c r="J34" s="68">
        <f t="shared" si="0"/>
        <v>0</v>
      </c>
      <c r="K34">
        <f t="shared" si="1"/>
        <v>0</v>
      </c>
      <c r="L34" s="68">
        <f>IF(K34=0,MAX($L$2:L33)+1,0)</f>
        <v>32</v>
      </c>
      <c r="M34" s="5" t="str">
        <f t="shared" si="2"/>
        <v>Mundane</v>
      </c>
      <c r="N34" s="5" t="str">
        <f t="shared" si="3"/>
        <v>Mundane</v>
      </c>
      <c r="O34" s="5"/>
      <c r="P34">
        <f t="shared" si="4"/>
        <v>32</v>
      </c>
      <c r="Q34" s="5" t="str">
        <f t="shared" si="5"/>
        <v>Mundane</v>
      </c>
      <c r="R34" s="68">
        <f>COUNTIF(Builder!$K$6:$N$6,Q34)</f>
        <v>0</v>
      </c>
      <c r="S34" s="68" t="str">
        <f>IF(R34=1,Stats!$N49,"")</f>
        <v/>
      </c>
      <c r="T34" s="68" t="str">
        <f>IF(R34=1,Stats!$O49,"")</f>
        <v/>
      </c>
      <c r="U34" s="68" t="str">
        <f>IF(R34=1,Stats!$P49,"")</f>
        <v/>
      </c>
      <c r="V34" s="68" t="str">
        <f>IF(R34=1,Stats!$Q49,"")</f>
        <v/>
      </c>
      <c r="W34" s="68" t="str">
        <f>IF(R34=1,Stats!$R49,"")</f>
        <v/>
      </c>
      <c r="X34" s="68" t="str">
        <f>IF(R34=1,Stats!$S49,"")</f>
        <v/>
      </c>
      <c r="Y34" s="68">
        <f t="shared" si="6"/>
        <v>0</v>
      </c>
      <c r="Z34">
        <f t="shared" si="7"/>
        <v>0</v>
      </c>
      <c r="AA34" s="68">
        <f>IF(Z34=0,MAX($AA$2:AA33)+1,0)</f>
        <v>32</v>
      </c>
      <c r="AB34" s="5" t="str">
        <f t="shared" si="8"/>
        <v>Mundane</v>
      </c>
      <c r="AC34" s="5" t="str">
        <f t="shared" si="9"/>
        <v>Mundane</v>
      </c>
      <c r="AD34" s="5"/>
      <c r="AE34">
        <f t="shared" si="10"/>
        <v>32</v>
      </c>
      <c r="AF34" s="5" t="str">
        <f t="shared" si="11"/>
        <v>Mundane</v>
      </c>
      <c r="AG34" s="68">
        <f>COUNTIF(Builder!$K$7:$N$7,AF34)</f>
        <v>0</v>
      </c>
      <c r="AH34" s="68" t="str">
        <f>IF(AG34=1,Stats!$N49,"")</f>
        <v/>
      </c>
      <c r="AI34" s="68" t="str">
        <f>IF(AG34=1,Stats!$O49,"")</f>
        <v/>
      </c>
      <c r="AJ34" s="68" t="str">
        <f>IF(AG34=1,Stats!$P49,"")</f>
        <v/>
      </c>
      <c r="AK34" s="68" t="str">
        <f>IF(AG34=1,Stats!$Q49,"")</f>
        <v/>
      </c>
      <c r="AL34" s="68" t="str">
        <f>IF(AG34=1,Stats!$R49,"")</f>
        <v/>
      </c>
      <c r="AM34" s="68" t="str">
        <f>IF(AG34=1,Stats!$S49,"")</f>
        <v/>
      </c>
      <c r="AN34" s="68">
        <f t="shared" si="12"/>
        <v>0</v>
      </c>
      <c r="AO34">
        <f t="shared" si="13"/>
        <v>0</v>
      </c>
      <c r="AP34" s="68">
        <f>IF(AO34=0,MAX($AP$2:AP33)+1,0)</f>
        <v>32</v>
      </c>
      <c r="AQ34" s="5" t="str">
        <f t="shared" si="14"/>
        <v>Mundane</v>
      </c>
      <c r="AR34" s="5" t="str">
        <f t="shared" si="15"/>
        <v>Mundane</v>
      </c>
      <c r="AS34" s="5"/>
      <c r="AT34">
        <f t="shared" si="16"/>
        <v>32</v>
      </c>
      <c r="AU34" s="5" t="str">
        <f t="shared" si="17"/>
        <v>Mundane</v>
      </c>
      <c r="AV34" s="68">
        <f>COUNTIF(Builder!$K$8:$N$8,AU34)</f>
        <v>0</v>
      </c>
      <c r="AW34" s="68" t="str">
        <f>IF(AV34=1,Stats!$N49,"")</f>
        <v/>
      </c>
      <c r="AX34" s="68" t="str">
        <f>IF(AV34=1,Stats!$O49,"")</f>
        <v/>
      </c>
      <c r="AY34" s="68" t="str">
        <f>IF(AV34=1,Stats!$P49,"")</f>
        <v/>
      </c>
      <c r="AZ34" s="68" t="str">
        <f>IF(AV34=1,Stats!$Q49,"")</f>
        <v/>
      </c>
      <c r="BA34" s="68" t="str">
        <f>IF(AV34=1,Stats!$R49,"")</f>
        <v/>
      </c>
      <c r="BB34" s="68" t="str">
        <f>IF(AV34=1,Stats!$S49,"")</f>
        <v/>
      </c>
      <c r="BC34" s="68">
        <f t="shared" si="18"/>
        <v>0</v>
      </c>
      <c r="BD34">
        <f t="shared" si="19"/>
        <v>0</v>
      </c>
      <c r="BE34" s="68">
        <f>IF(BD34=0,MAX($BE$2:BE33)+1,0)</f>
        <v>32</v>
      </c>
      <c r="BF34" s="5" t="str">
        <f t="shared" si="20"/>
        <v>Mundane</v>
      </c>
      <c r="BG34" s="5" t="str">
        <f t="shared" si="21"/>
        <v>Mundane</v>
      </c>
      <c r="BH34" s="5"/>
      <c r="BI34">
        <f t="shared" si="148"/>
        <v>32</v>
      </c>
      <c r="BJ34" s="5" t="str">
        <f t="shared" si="149"/>
        <v>Mundane</v>
      </c>
      <c r="BK34" s="68">
        <f>COUNTIF(Builder!$K$9:$N$9,BJ34)</f>
        <v>0</v>
      </c>
      <c r="BL34" s="68" t="str">
        <f>IF(BK34=1,Stats!$N49,"")</f>
        <v/>
      </c>
      <c r="BM34" s="68" t="str">
        <f>IF(BK34=1,Stats!$O49,"")</f>
        <v/>
      </c>
      <c r="BN34" s="68" t="str">
        <f>IF(BK34=1,Stats!$P49,"")</f>
        <v/>
      </c>
      <c r="BO34" s="68" t="str">
        <f>IF(BK34=1,Stats!$Q49,"")</f>
        <v/>
      </c>
      <c r="BP34" s="68" t="str">
        <f>IF(BK34=1,Stats!$R49,"")</f>
        <v/>
      </c>
      <c r="BQ34" s="68" t="str">
        <f>IF(BK34=1,Stats!$S49,"")</f>
        <v/>
      </c>
      <c r="BR34" s="68">
        <f t="shared" si="150"/>
        <v>0</v>
      </c>
      <c r="BS34">
        <f t="shared" si="151"/>
        <v>0</v>
      </c>
      <c r="BT34" s="68">
        <f>IF(BS34=0,MAX(BT$2:BT33)+1,0)</f>
        <v>32</v>
      </c>
      <c r="BU34" s="5" t="str">
        <f t="shared" si="152"/>
        <v>Mundane</v>
      </c>
      <c r="BV34" s="5" t="str">
        <f t="shared" si="27"/>
        <v>Mundane</v>
      </c>
      <c r="BX34">
        <f t="shared" si="153"/>
        <v>32</v>
      </c>
      <c r="BY34" s="5" t="str">
        <f t="shared" si="154"/>
        <v>Mundane</v>
      </c>
      <c r="BZ34" s="68">
        <f>COUNTIF(Builder!$K$10:$N$10,BY34)</f>
        <v>0</v>
      </c>
      <c r="CA34" s="68" t="str">
        <f>IF(BZ34=1,Stats!$N49,"")</f>
        <v/>
      </c>
      <c r="CB34" s="68" t="str">
        <f>IF(BZ34=1,Stats!$O49,"")</f>
        <v/>
      </c>
      <c r="CC34" s="68" t="str">
        <f>IF(BZ34=1,Stats!$P49,"")</f>
        <v/>
      </c>
      <c r="CD34" s="68" t="str">
        <f>IF(BZ34=1,Stats!$Q49,"")</f>
        <v/>
      </c>
      <c r="CE34" s="68" t="str">
        <f>IF(BZ34=1,Stats!$R49,"")</f>
        <v/>
      </c>
      <c r="CF34" s="68" t="str">
        <f>IF(BZ34=1,Stats!$S49,"")</f>
        <v/>
      </c>
      <c r="CG34" s="68">
        <f t="shared" si="155"/>
        <v>0</v>
      </c>
      <c r="CH34">
        <f t="shared" si="156"/>
        <v>0</v>
      </c>
      <c r="CI34" s="68">
        <f>IF(CH34=0,MAX(CI$2:CI33)+1,0)</f>
        <v>32</v>
      </c>
      <c r="CJ34" s="5" t="str">
        <f t="shared" si="157"/>
        <v>Mundane</v>
      </c>
      <c r="CK34" s="5" t="str">
        <f t="shared" si="33"/>
        <v>Mundane</v>
      </c>
      <c r="CM34">
        <f t="shared" si="34"/>
        <v>32</v>
      </c>
      <c r="CN34" s="5" t="str">
        <f t="shared" si="35"/>
        <v>Mundane</v>
      </c>
      <c r="CO34" s="68">
        <f>COUNTIF(Builder!$K$11:$N$11,CN34)</f>
        <v>0</v>
      </c>
      <c r="CP34" s="68" t="str">
        <f>IF(CO34=1,Stats!$N49,"")</f>
        <v/>
      </c>
      <c r="CQ34" s="68" t="str">
        <f>IF(CO34=1,Stats!$O49,"")</f>
        <v/>
      </c>
      <c r="CR34" s="68" t="str">
        <f>IF(CO34=1,Stats!$P49,"")</f>
        <v/>
      </c>
      <c r="CS34" s="68" t="str">
        <f>IF(CO34=1,Stats!$Q49,"")</f>
        <v/>
      </c>
      <c r="CT34" s="68" t="str">
        <f>IF(CO34=1,Stats!$R49,"")</f>
        <v/>
      </c>
      <c r="CU34" s="68" t="str">
        <f>IF(CO34=1,Stats!$S49,"")</f>
        <v/>
      </c>
      <c r="CV34" s="68">
        <f t="shared" si="36"/>
        <v>0</v>
      </c>
      <c r="CW34">
        <f t="shared" si="37"/>
        <v>0</v>
      </c>
      <c r="CX34" s="68">
        <f>IF(CW34=0,MAX(CX$2:CX33)+1,0)</f>
        <v>32</v>
      </c>
      <c r="CY34" s="5" t="str">
        <f t="shared" si="38"/>
        <v>Mundane</v>
      </c>
      <c r="CZ34" s="5" t="str">
        <f t="shared" si="39"/>
        <v>Mundane</v>
      </c>
      <c r="DB34">
        <f t="shared" si="158"/>
        <v>32</v>
      </c>
      <c r="DC34" s="5" t="str">
        <f t="shared" si="159"/>
        <v>Mundane</v>
      </c>
      <c r="DD34" s="68">
        <f>COUNTIF(Builder!$K$12:$N$12,DC34)</f>
        <v>0</v>
      </c>
      <c r="DE34" s="68" t="str">
        <f>IF(DD34=1,Stats!$N49,"")</f>
        <v/>
      </c>
      <c r="DF34" s="68" t="str">
        <f>IF(DD34=1,Stats!$O49,"")</f>
        <v/>
      </c>
      <c r="DG34" s="68" t="str">
        <f>IF(DD34=1,Stats!$P49,"")</f>
        <v/>
      </c>
      <c r="DH34" s="68" t="str">
        <f>IF(DD34=1,Stats!$Q49,"")</f>
        <v/>
      </c>
      <c r="DI34" s="68" t="str">
        <f>IF(DD34=1,Stats!$R49,"")</f>
        <v/>
      </c>
      <c r="DJ34" s="68" t="str">
        <f>IF(DD34=1,Stats!$S49,"")</f>
        <v/>
      </c>
      <c r="DK34" s="68">
        <f t="shared" si="160"/>
        <v>0</v>
      </c>
      <c r="DL34">
        <f t="shared" si="161"/>
        <v>0</v>
      </c>
      <c r="DM34" s="68">
        <f>IF(DL34=0,MAX(DM$2:DM33)+1,0)</f>
        <v>32</v>
      </c>
      <c r="DN34" s="5" t="str">
        <f t="shared" si="162"/>
        <v>Mundane</v>
      </c>
      <c r="DO34" s="5" t="str">
        <f t="shared" si="45"/>
        <v>Mundane</v>
      </c>
      <c r="DQ34">
        <f t="shared" si="163"/>
        <v>32</v>
      </c>
      <c r="DR34" s="5" t="str">
        <f t="shared" si="164"/>
        <v>Mundane</v>
      </c>
      <c r="DS34" s="68">
        <f>COUNTIF(Builder!$K$13:$N$13,DR34)</f>
        <v>0</v>
      </c>
      <c r="DT34" s="68" t="str">
        <f>IF(DS34=1,Stats!$N49,"")</f>
        <v/>
      </c>
      <c r="DU34" s="68" t="str">
        <f>IF(DS34=1,Stats!$O49,"")</f>
        <v/>
      </c>
      <c r="DV34" s="68" t="str">
        <f>IF(DS34=1,Stats!$P49,"")</f>
        <v/>
      </c>
      <c r="DW34" s="68" t="str">
        <f>IF(DS34=1,Stats!$Q49,"")</f>
        <v/>
      </c>
      <c r="DX34" s="68" t="str">
        <f>IF(DS34=1,Stats!$R49,"")</f>
        <v/>
      </c>
      <c r="DY34" s="68" t="str">
        <f>IF(DS34=1,Stats!$S49,"")</f>
        <v/>
      </c>
      <c r="DZ34" s="68">
        <f t="shared" si="165"/>
        <v>0</v>
      </c>
      <c r="EA34">
        <f t="shared" si="166"/>
        <v>0</v>
      </c>
      <c r="EB34" s="68">
        <f>IF(EA34=0,MAX(EB$2:EB33)+1,0)</f>
        <v>32</v>
      </c>
      <c r="EC34" s="5" t="str">
        <f t="shared" si="167"/>
        <v>Mundane</v>
      </c>
      <c r="ED34" s="5" t="str">
        <f t="shared" si="51"/>
        <v>Mundane</v>
      </c>
      <c r="EF34">
        <f t="shared" si="52"/>
        <v>32</v>
      </c>
      <c r="EG34" s="5" t="str">
        <f t="shared" si="53"/>
        <v>Mundane</v>
      </c>
      <c r="EH34" s="68">
        <f>COUNTIF(Builder!$K$14:$N$14,EG34)</f>
        <v>0</v>
      </c>
      <c r="EI34" s="68" t="str">
        <f>IF(EH34=1,Stats!$N49,"")</f>
        <v/>
      </c>
      <c r="EJ34" s="68" t="str">
        <f>IF(EH34=1,Stats!$O49,"")</f>
        <v/>
      </c>
      <c r="EK34" s="68" t="str">
        <f>IF(EH34=1,Stats!$P49,"")</f>
        <v/>
      </c>
      <c r="EL34" s="68" t="str">
        <f>IF(EH34=1,Stats!$Q49,"")</f>
        <v/>
      </c>
      <c r="EM34" s="68" t="str">
        <f>IF(EH34=1,Stats!$R49,"")</f>
        <v/>
      </c>
      <c r="EN34" s="68" t="str">
        <f>IF(EH34=1,Stats!$S49,"")</f>
        <v/>
      </c>
      <c r="EO34" s="68">
        <f t="shared" si="54"/>
        <v>0</v>
      </c>
      <c r="EP34">
        <f t="shared" si="55"/>
        <v>0</v>
      </c>
      <c r="EQ34" s="68">
        <f>IF(EP34=0,MAX(EQ$2:EQ33)+1,0)</f>
        <v>32</v>
      </c>
      <c r="ER34" s="5" t="str">
        <f t="shared" si="56"/>
        <v>Mundane</v>
      </c>
      <c r="ES34" s="5" t="str">
        <f t="shared" si="57"/>
        <v>Mundane</v>
      </c>
      <c r="EU34">
        <f t="shared" si="58"/>
        <v>32</v>
      </c>
      <c r="EV34" s="5" t="str">
        <f t="shared" si="59"/>
        <v>Mundane</v>
      </c>
      <c r="EW34" s="68">
        <f>COUNTIF(Builder!$K$15:$N$15,EV34)</f>
        <v>0</v>
      </c>
      <c r="EX34" s="68" t="str">
        <f>IF(EW34=1,Stats!$N49,"")</f>
        <v/>
      </c>
      <c r="EY34" s="68" t="str">
        <f>IF(EW34=1,Stats!$O49,"")</f>
        <v/>
      </c>
      <c r="EZ34" s="68" t="str">
        <f>IF(EW34=1,Stats!$P49,"")</f>
        <v/>
      </c>
      <c r="FA34" s="68" t="str">
        <f>IF(EW34=1,Stats!$Q49,"")</f>
        <v/>
      </c>
      <c r="FB34" s="68" t="str">
        <f>IF(EW34=1,Stats!$R49,"")</f>
        <v/>
      </c>
      <c r="FC34" s="68" t="str">
        <f>IF(EW34=1,Stats!$S49,"")</f>
        <v/>
      </c>
      <c r="FD34" s="68">
        <f t="shared" si="60"/>
        <v>0</v>
      </c>
      <c r="FE34">
        <f t="shared" si="61"/>
        <v>0</v>
      </c>
      <c r="FF34" s="68">
        <f>IF(FE34=0,MAX(FF$2:FF33)+1,0)</f>
        <v>32</v>
      </c>
      <c r="FG34" s="5" t="str">
        <f t="shared" si="62"/>
        <v>Mundane</v>
      </c>
      <c r="FH34" s="5" t="str">
        <f t="shared" si="63"/>
        <v>Mundane</v>
      </c>
      <c r="FJ34">
        <f t="shared" si="64"/>
        <v>32</v>
      </c>
      <c r="FK34" s="5" t="str">
        <f t="shared" si="65"/>
        <v>Mundane</v>
      </c>
      <c r="FL34" s="68">
        <f>COUNTIF(Builder!$K$16:$N$16,FK34)</f>
        <v>0</v>
      </c>
      <c r="FM34" s="68" t="str">
        <f>IF(FL34=1,Stats!$N49,"")</f>
        <v/>
      </c>
      <c r="FN34" s="68" t="str">
        <f>IF(FL34=1,Stats!$O49,"")</f>
        <v/>
      </c>
      <c r="FO34" s="68" t="str">
        <f>IF(FL34=1,Stats!$P49,"")</f>
        <v/>
      </c>
      <c r="FP34" s="68" t="str">
        <f>IF(FL34=1,Stats!$Q49,"")</f>
        <v/>
      </c>
      <c r="FQ34" s="68" t="str">
        <f>IF(FL34=1,Stats!$R49,"")</f>
        <v/>
      </c>
      <c r="FR34" s="68" t="str">
        <f>IF(FL34=1,Stats!$S49,"")</f>
        <v/>
      </c>
      <c r="FS34" s="68">
        <f t="shared" si="66"/>
        <v>0</v>
      </c>
      <c r="FT34">
        <f t="shared" si="67"/>
        <v>0</v>
      </c>
      <c r="FU34" s="68">
        <f>IF(FT34=0,MAX(FU$2:FU33)+1,0)</f>
        <v>32</v>
      </c>
      <c r="FV34" s="5" t="str">
        <f t="shared" si="68"/>
        <v>Mundane</v>
      </c>
      <c r="FW34" s="5" t="str">
        <f t="shared" si="69"/>
        <v>Mundane</v>
      </c>
      <c r="FY34">
        <f t="shared" si="168"/>
        <v>32</v>
      </c>
      <c r="FZ34" s="5" t="str">
        <f t="shared" si="169"/>
        <v>Mundane</v>
      </c>
      <c r="GA34" s="68">
        <f>COUNTIF(Builder!$K$17:$N$17,FZ34)</f>
        <v>0</v>
      </c>
      <c r="GB34" s="68" t="str">
        <f>IF(GA34=1,Stats!$N49,"")</f>
        <v/>
      </c>
      <c r="GC34" s="68" t="str">
        <f>IF(GA34=1,Stats!$O49,"")</f>
        <v/>
      </c>
      <c r="GD34" s="68" t="str">
        <f>IF(GA34=1,Stats!$P49,"")</f>
        <v/>
      </c>
      <c r="GE34" s="68" t="str">
        <f>IF(GA34=1,Stats!$Q49,"")</f>
        <v/>
      </c>
      <c r="GF34" s="68" t="str">
        <f>IF(GA34=1,Stats!$R49,"")</f>
        <v/>
      </c>
      <c r="GG34" s="68" t="str">
        <f>IF(GA34=1,Stats!$S49,"")</f>
        <v/>
      </c>
      <c r="GH34" s="68">
        <f t="shared" si="170"/>
        <v>0</v>
      </c>
      <c r="GI34">
        <f t="shared" si="171"/>
        <v>0</v>
      </c>
      <c r="GJ34" s="68">
        <f>IF(GI34=0,MAX(GJ$2:GJ33)+1,0)</f>
        <v>32</v>
      </c>
      <c r="GK34" s="5" t="str">
        <f t="shared" si="172"/>
        <v>Mundane</v>
      </c>
      <c r="GL34" s="5" t="str">
        <f t="shared" si="75"/>
        <v>Mundane</v>
      </c>
      <c r="GN34">
        <f t="shared" si="76"/>
        <v>32</v>
      </c>
      <c r="GO34" s="5" t="str">
        <f t="shared" si="77"/>
        <v>Mundane</v>
      </c>
      <c r="GP34" s="68">
        <f>COUNTIF(Builder!$K$18:$N$18,GO34)</f>
        <v>0</v>
      </c>
      <c r="GQ34" s="68" t="str">
        <f>IF(GP34=1,Stats!$N49,"")</f>
        <v/>
      </c>
      <c r="GR34" s="68" t="str">
        <f>IF(GP34=1,Stats!$O49,"")</f>
        <v/>
      </c>
      <c r="GS34" s="68" t="str">
        <f>IF(GP34=1,Stats!$P49,"")</f>
        <v/>
      </c>
      <c r="GT34" s="68" t="str">
        <f>IF(GP34=1,Stats!$Q49,"")</f>
        <v/>
      </c>
      <c r="GU34" s="68" t="str">
        <f>IF(GP34=1,Stats!$R49,"")</f>
        <v/>
      </c>
      <c r="GV34" s="68" t="str">
        <f>IF(GP34=1,Stats!$S49,"")</f>
        <v/>
      </c>
      <c r="GW34" s="68">
        <f t="shared" si="78"/>
        <v>0</v>
      </c>
      <c r="GX34">
        <f t="shared" si="79"/>
        <v>0</v>
      </c>
      <c r="GY34" s="68">
        <f>IF(GX34=0,MAX(GY$2:GY33)+1,0)</f>
        <v>32</v>
      </c>
      <c r="GZ34" s="5" t="str">
        <f t="shared" si="80"/>
        <v>Mundane</v>
      </c>
      <c r="HA34" s="5" t="str">
        <f t="shared" si="81"/>
        <v>Mundane</v>
      </c>
      <c r="HC34">
        <f t="shared" si="82"/>
        <v>32</v>
      </c>
      <c r="HD34" s="5" t="str">
        <f t="shared" si="83"/>
        <v>Mundane</v>
      </c>
      <c r="HE34" s="68">
        <f>COUNTIF(Builder!$K$19:$N$19,HD34)</f>
        <v>0</v>
      </c>
      <c r="HF34" s="68" t="str">
        <f>IF(HE34=1,Stats!$N49,"")</f>
        <v/>
      </c>
      <c r="HG34" s="68" t="str">
        <f>IF(HE34=1,Stats!$O49,"")</f>
        <v/>
      </c>
      <c r="HH34" s="68" t="str">
        <f>IF(HE34=1,Stats!$P49,"")</f>
        <v/>
      </c>
      <c r="HI34" s="68" t="str">
        <f>IF(HE34=1,Stats!$Q49,"")</f>
        <v/>
      </c>
      <c r="HJ34" s="68" t="str">
        <f>IF(HE34=1,Stats!$R49,"")</f>
        <v/>
      </c>
      <c r="HK34" s="68" t="str">
        <f>IF(HE34=1,Stats!$S49,"")</f>
        <v/>
      </c>
      <c r="HL34" s="68">
        <f t="shared" si="84"/>
        <v>0</v>
      </c>
      <c r="HM34">
        <f t="shared" si="85"/>
        <v>0</v>
      </c>
      <c r="HN34" s="68">
        <f>IF(HM34=0,MAX(HN$2:HN33)+1,0)</f>
        <v>32</v>
      </c>
      <c r="HO34" s="5" t="str">
        <f t="shared" si="86"/>
        <v>Mundane</v>
      </c>
      <c r="HP34" s="5" t="str">
        <f t="shared" si="87"/>
        <v>Mundane</v>
      </c>
      <c r="HR34">
        <f t="shared" si="88"/>
        <v>32</v>
      </c>
      <c r="HS34" s="5" t="str">
        <f t="shared" si="89"/>
        <v>Mundane</v>
      </c>
      <c r="HT34" s="68">
        <f>COUNTIF(Builder!$K$20:$N$20,HS34)</f>
        <v>0</v>
      </c>
      <c r="HU34" s="68" t="str">
        <f>IF(HT34=1,Stats!$N49,"")</f>
        <v/>
      </c>
      <c r="HV34" s="68" t="str">
        <f>IF(HT34=1,Stats!$O49,"")</f>
        <v/>
      </c>
      <c r="HW34" s="68" t="str">
        <f>IF(HT34=1,Stats!$P49,"")</f>
        <v/>
      </c>
      <c r="HX34" s="68" t="str">
        <f>IF(HT34=1,Stats!$Q49,"")</f>
        <v/>
      </c>
      <c r="HY34" s="68" t="str">
        <f>IF(HT34=1,Stats!$R49,"")</f>
        <v/>
      </c>
      <c r="HZ34" s="68" t="str">
        <f>IF(HT34=1,Stats!$S49,"")</f>
        <v/>
      </c>
      <c r="IA34" s="68">
        <f t="shared" si="90"/>
        <v>0</v>
      </c>
      <c r="IB34">
        <f t="shared" si="91"/>
        <v>0</v>
      </c>
      <c r="IC34" s="68">
        <f>IF(IB34=0,MAX(IC$2:IC33)+1,0)</f>
        <v>32</v>
      </c>
      <c r="ID34" s="5" t="str">
        <f t="shared" si="92"/>
        <v>Mundane</v>
      </c>
      <c r="IE34" s="5" t="str">
        <f t="shared" si="93"/>
        <v>Mundane</v>
      </c>
      <c r="IG34">
        <f t="shared" si="94"/>
        <v>32</v>
      </c>
      <c r="IH34" s="5" t="str">
        <f t="shared" si="95"/>
        <v>Mundane</v>
      </c>
      <c r="II34" s="68">
        <f>COUNTIF(Builder!$K$21:$N$21,IH34)</f>
        <v>0</v>
      </c>
      <c r="IJ34" s="68" t="str">
        <f>IF(II34=1,Stats!$N49,"")</f>
        <v/>
      </c>
      <c r="IK34" s="68" t="str">
        <f>IF(II34=1,Stats!$O49,"")</f>
        <v/>
      </c>
      <c r="IL34" s="68" t="str">
        <f>IF(II34=1,Stats!$P49,"")</f>
        <v/>
      </c>
      <c r="IM34" s="68" t="str">
        <f>IF(II34=1,Stats!$Q49,"")</f>
        <v/>
      </c>
      <c r="IN34" s="68" t="str">
        <f>IF(II34=1,Stats!$R49,"")</f>
        <v/>
      </c>
      <c r="IO34" s="68" t="str">
        <f>IF(II34=1,Stats!$S49,"")</f>
        <v/>
      </c>
      <c r="IP34" s="68">
        <f t="shared" si="96"/>
        <v>0</v>
      </c>
      <c r="IQ34">
        <f t="shared" si="97"/>
        <v>0</v>
      </c>
      <c r="IR34" s="68">
        <f>IF(IQ34=0,MAX(IR$2:IR33)+1,0)</f>
        <v>32</v>
      </c>
      <c r="IS34" s="5" t="str">
        <f t="shared" si="98"/>
        <v>Mundane</v>
      </c>
      <c r="IT34" s="5" t="str">
        <f t="shared" si="99"/>
        <v>Mundane</v>
      </c>
      <c r="IV34">
        <f t="shared" si="100"/>
        <v>32</v>
      </c>
      <c r="IW34" s="5" t="str">
        <f t="shared" si="101"/>
        <v>Mundane</v>
      </c>
      <c r="IX34" s="68">
        <f>COUNTIF(Builder!$K$22:$N$22,IW34)</f>
        <v>0</v>
      </c>
      <c r="IY34" s="68" t="str">
        <f>IF(IX34=1,Stats!$N49,"")</f>
        <v/>
      </c>
      <c r="IZ34" s="68" t="str">
        <f>IF(IX34=1,Stats!$O49,"")</f>
        <v/>
      </c>
      <c r="JA34" s="68" t="str">
        <f>IF(IX34=1,Stats!$P49,"")</f>
        <v/>
      </c>
      <c r="JB34" s="68" t="str">
        <f>IF(IX34=1,Stats!$Q49,"")</f>
        <v/>
      </c>
      <c r="JC34" s="68" t="str">
        <f>IF(IX34=1,Stats!$R49,"")</f>
        <v/>
      </c>
      <c r="JD34" s="68" t="str">
        <f>IF(IX34=1,Stats!$S49,"")</f>
        <v/>
      </c>
      <c r="JE34" s="68">
        <f t="shared" si="102"/>
        <v>0</v>
      </c>
      <c r="JF34">
        <f t="shared" si="103"/>
        <v>0</v>
      </c>
      <c r="JG34" s="68">
        <f>IF(JF34=0,MAX(JG$2:JG33)+1,0)</f>
        <v>32</v>
      </c>
      <c r="JH34" s="5" t="str">
        <f t="shared" si="104"/>
        <v>Mundane</v>
      </c>
      <c r="JI34" s="5" t="str">
        <f t="shared" si="105"/>
        <v>Mundane</v>
      </c>
      <c r="JK34">
        <f t="shared" si="106"/>
        <v>32</v>
      </c>
      <c r="JL34" s="5" t="str">
        <f t="shared" si="107"/>
        <v>Mundane</v>
      </c>
      <c r="JM34" s="68">
        <f>COUNTIF(Builder!$K$23:$N$23,JL34)</f>
        <v>0</v>
      </c>
      <c r="JN34" s="68" t="str">
        <f>IF(JM34=1,Stats!$N49,"")</f>
        <v/>
      </c>
      <c r="JO34" s="68" t="str">
        <f>IF(JM34=1,Stats!$O49,"")</f>
        <v/>
      </c>
      <c r="JP34" s="68" t="str">
        <f>IF(JM34=1,Stats!$P49,"")</f>
        <v/>
      </c>
      <c r="JQ34" s="68" t="str">
        <f>IF(JM34=1,Stats!$Q49,"")</f>
        <v/>
      </c>
      <c r="JR34" s="68" t="str">
        <f>IF(JM34=1,Stats!$R49,"")</f>
        <v/>
      </c>
      <c r="JS34" s="68" t="str">
        <f>IF(JM34=1,Stats!$S49,"")</f>
        <v/>
      </c>
      <c r="JT34" s="68">
        <f t="shared" si="108"/>
        <v>0</v>
      </c>
      <c r="JU34">
        <f t="shared" si="109"/>
        <v>0</v>
      </c>
      <c r="JV34" s="68">
        <f>IF(JU34=0,MAX(JV$2:JV33)+1,0)</f>
        <v>32</v>
      </c>
      <c r="JW34" s="5" t="str">
        <f t="shared" si="110"/>
        <v>Mundane</v>
      </c>
      <c r="JX34" s="5" t="str">
        <f t="shared" si="111"/>
        <v>Mundane</v>
      </c>
      <c r="JZ34">
        <f t="shared" si="112"/>
        <v>32</v>
      </c>
      <c r="KA34" s="5" t="str">
        <f t="shared" si="113"/>
        <v>Mundane</v>
      </c>
      <c r="KB34" s="68">
        <f>COUNTIF(Builder!$K$24:$N$24,KA34)</f>
        <v>0</v>
      </c>
      <c r="KC34" s="68" t="str">
        <f>IF(KB34=1,Stats!$N49,"")</f>
        <v/>
      </c>
      <c r="KD34" s="68" t="str">
        <f>IF(KB34=1,Stats!$O49,"")</f>
        <v/>
      </c>
      <c r="KE34" s="68" t="str">
        <f>IF(KB34=1,Stats!$P49,"")</f>
        <v/>
      </c>
      <c r="KF34" s="68" t="str">
        <f>IF(KB34=1,Stats!$Q49,"")</f>
        <v/>
      </c>
      <c r="KG34" s="68" t="str">
        <f>IF(KB34=1,Stats!$R49,"")</f>
        <v/>
      </c>
      <c r="KH34" s="68" t="str">
        <f>IF(KB34=1,Stats!$S49,"")</f>
        <v/>
      </c>
      <c r="KI34" s="68">
        <f t="shared" si="114"/>
        <v>0</v>
      </c>
      <c r="KJ34">
        <f t="shared" si="115"/>
        <v>0</v>
      </c>
      <c r="KK34" s="68">
        <f>IF(KJ34=0,MAX(KK$2:KK33)+1,0)</f>
        <v>32</v>
      </c>
      <c r="KL34" s="5" t="str">
        <f t="shared" si="116"/>
        <v>Mundane</v>
      </c>
      <c r="KM34" s="5" t="str">
        <f t="shared" si="117"/>
        <v>Mundane</v>
      </c>
      <c r="KO34">
        <f t="shared" si="118"/>
        <v>32</v>
      </c>
      <c r="KP34" s="5" t="str">
        <f t="shared" si="119"/>
        <v>Mundane</v>
      </c>
      <c r="KQ34" s="68">
        <f>COUNTIF(Builder!$K$25:$N$25,KP34)</f>
        <v>0</v>
      </c>
      <c r="KR34" s="68" t="str">
        <f>IF(KQ34=1,Stats!$N49,"")</f>
        <v/>
      </c>
      <c r="KS34" s="68" t="str">
        <f>IF(KQ34=1,Stats!$O49,"")</f>
        <v/>
      </c>
      <c r="KT34" s="68" t="str">
        <f>IF(KQ34=1,Stats!$P49,"")</f>
        <v/>
      </c>
      <c r="KU34" s="68" t="str">
        <f>IF(KQ34=1,Stats!$Q49,"")</f>
        <v/>
      </c>
      <c r="KV34" s="68" t="str">
        <f>IF(KQ34=1,Stats!$R49,"")</f>
        <v/>
      </c>
      <c r="KW34" s="68" t="str">
        <f>IF(KQ34=1,Stats!$S49,"")</f>
        <v/>
      </c>
      <c r="KX34" s="68">
        <f t="shared" si="120"/>
        <v>0</v>
      </c>
      <c r="KY34">
        <f t="shared" si="121"/>
        <v>0</v>
      </c>
      <c r="KZ34" s="68">
        <f>IF(KY34=0,MAX(KZ$2:KZ33)+1,0)</f>
        <v>32</v>
      </c>
      <c r="LA34" s="5" t="str">
        <f t="shared" si="122"/>
        <v>Mundane</v>
      </c>
      <c r="LB34" s="5" t="str">
        <f t="shared" si="123"/>
        <v>Mundane</v>
      </c>
      <c r="LD34">
        <f t="shared" si="124"/>
        <v>32</v>
      </c>
      <c r="LE34" s="5" t="str">
        <f t="shared" si="125"/>
        <v>Mundane</v>
      </c>
      <c r="LF34" s="68">
        <f>COUNTIF(Builder!$K$26:$N$26,LE34)</f>
        <v>0</v>
      </c>
      <c r="LG34" s="68" t="str">
        <f>IF(LF34=1,Stats!$N49,"")</f>
        <v/>
      </c>
      <c r="LH34" s="68" t="str">
        <f>IF(LF34=1,Stats!$O49,"")</f>
        <v/>
      </c>
      <c r="LI34" s="68" t="str">
        <f>IF(LF34=1,Stats!$P49,"")</f>
        <v/>
      </c>
      <c r="LJ34" s="68" t="str">
        <f>IF(LF34=1,Stats!$Q49,"")</f>
        <v/>
      </c>
      <c r="LK34" s="68" t="str">
        <f>IF(LF34=1,Stats!$R49,"")</f>
        <v/>
      </c>
      <c r="LL34" s="68" t="str">
        <f>IF(LF34=1,Stats!$S49,"")</f>
        <v/>
      </c>
      <c r="LM34" s="68">
        <f t="shared" si="126"/>
        <v>0</v>
      </c>
      <c r="LN34">
        <f t="shared" si="127"/>
        <v>0</v>
      </c>
      <c r="LO34" s="68">
        <f>IF(LN34=0,MAX(LO$2:LO33)+1,0)</f>
        <v>32</v>
      </c>
      <c r="LP34" s="5" t="str">
        <f t="shared" si="128"/>
        <v>Mundane</v>
      </c>
      <c r="LQ34" s="5" t="str">
        <f t="shared" si="129"/>
        <v>Mundane</v>
      </c>
      <c r="LS34">
        <f t="shared" si="130"/>
        <v>32</v>
      </c>
      <c r="LT34" s="5" t="str">
        <f t="shared" si="131"/>
        <v>Mundane</v>
      </c>
      <c r="LU34" s="68">
        <f>COUNTIF(Builder!$K$27:$N$27,LT34)</f>
        <v>0</v>
      </c>
      <c r="LV34" s="68" t="str">
        <f>IF(LU34=1,Stats!$N49,"")</f>
        <v/>
      </c>
      <c r="LW34" s="68" t="str">
        <f>IF(LU34=1,Stats!$O49,"")</f>
        <v/>
      </c>
      <c r="LX34" s="68" t="str">
        <f>IF(LU34=1,Stats!$P49,"")</f>
        <v/>
      </c>
      <c r="LY34" s="68" t="str">
        <f>IF(LU34=1,Stats!$Q49,"")</f>
        <v/>
      </c>
      <c r="LZ34" s="68" t="str">
        <f>IF(LU34=1,Stats!$R49,"")</f>
        <v/>
      </c>
      <c r="MA34" s="68" t="str">
        <f>IF(LU34=1,Stats!$S49,"")</f>
        <v/>
      </c>
      <c r="MB34" s="68">
        <f t="shared" si="132"/>
        <v>0</v>
      </c>
      <c r="MC34">
        <f t="shared" si="133"/>
        <v>0</v>
      </c>
      <c r="MD34" s="68">
        <f>IF(MC34=0,MAX(MD$2:MD33)+1,0)</f>
        <v>32</v>
      </c>
      <c r="ME34" s="5" t="str">
        <f t="shared" si="134"/>
        <v>Mundane</v>
      </c>
      <c r="MF34" s="5" t="str">
        <f t="shared" si="135"/>
        <v>Mundane</v>
      </c>
      <c r="MH34">
        <f t="shared" si="136"/>
        <v>32</v>
      </c>
      <c r="MI34" s="5" t="str">
        <f t="shared" si="137"/>
        <v>Mundane</v>
      </c>
      <c r="MJ34" s="68">
        <f>COUNTIF(Builder!$K$28:$N$28,MI34)</f>
        <v>0</v>
      </c>
      <c r="MK34" s="68" t="str">
        <f>IF(MJ34=1,Stats!$N49,"")</f>
        <v/>
      </c>
      <c r="ML34" s="68" t="str">
        <f>IF(MJ34=1,Stats!$O49,"")</f>
        <v/>
      </c>
      <c r="MM34" s="68" t="str">
        <f>IF(MJ34=1,Stats!$P49,"")</f>
        <v/>
      </c>
      <c r="MN34" s="68" t="str">
        <f>IF(MJ34=1,Stats!$Q49,"")</f>
        <v/>
      </c>
      <c r="MO34" s="68" t="str">
        <f>IF(MJ34=1,Stats!$R49,"")</f>
        <v/>
      </c>
      <c r="MP34" s="68" t="str">
        <f>IF(MJ34=1,Stats!$S49,"")</f>
        <v/>
      </c>
      <c r="MQ34" s="68">
        <f t="shared" si="138"/>
        <v>0</v>
      </c>
      <c r="MR34">
        <f t="shared" si="139"/>
        <v>0</v>
      </c>
      <c r="MS34" s="68">
        <f>IF(MR34=0,MAX(MS$2:MS33)+1,0)</f>
        <v>32</v>
      </c>
      <c r="MT34" s="5" t="str">
        <f t="shared" si="140"/>
        <v>Mundane</v>
      </c>
      <c r="MU34" s="5" t="str">
        <f t="shared" si="141"/>
        <v>Mundane</v>
      </c>
      <c r="MW34">
        <f t="shared" si="142"/>
        <v>32</v>
      </c>
      <c r="MX34" s="5" t="str">
        <f t="shared" si="143"/>
        <v>Mundane</v>
      </c>
      <c r="MY34" s="68">
        <f>COUNTIF(Builder!$K$29:$N$29,MX34)</f>
        <v>0</v>
      </c>
      <c r="MZ34" s="68" t="str">
        <f>IF(MY34=1,Stats!$N49,"")</f>
        <v/>
      </c>
      <c r="NA34" s="68" t="str">
        <f>IF(MY34=1,Stats!$O49,"")</f>
        <v/>
      </c>
      <c r="NB34" s="68" t="str">
        <f>IF(MY34=1,Stats!$P49,"")</f>
        <v/>
      </c>
      <c r="NC34" s="68" t="str">
        <f>IF(MY34=1,Stats!$Q49,"")</f>
        <v/>
      </c>
      <c r="ND34" s="68" t="str">
        <f>IF(MY34=1,Stats!$R49,"")</f>
        <v/>
      </c>
      <c r="NE34" s="68" t="str">
        <f>IF(MY34=1,Stats!$S49,"")</f>
        <v/>
      </c>
      <c r="NF34" s="68">
        <f t="shared" si="144"/>
        <v>0</v>
      </c>
      <c r="NG34">
        <f t="shared" si="145"/>
        <v>0</v>
      </c>
      <c r="NH34" s="68">
        <f>IF(NG34=0,MAX(NH$2:NH33)+1,0)</f>
        <v>32</v>
      </c>
      <c r="NI34" s="5" t="str">
        <f t="shared" si="146"/>
        <v>Mundane</v>
      </c>
      <c r="NJ34" s="5" t="str">
        <f t="shared" si="147"/>
        <v>Mundane</v>
      </c>
    </row>
    <row r="35" spans="1:374" ht="15" x14ac:dyDescent="0.3">
      <c r="A35">
        <v>33</v>
      </c>
      <c r="B35" s="5" t="s">
        <v>37</v>
      </c>
      <c r="C35" s="68">
        <f>COUNTIF(Builder!$K$5:$N$5,B35)</f>
        <v>0</v>
      </c>
      <c r="D35" s="68" t="str">
        <f>IF(C35=1,Stats!$N50,"")</f>
        <v/>
      </c>
      <c r="E35" s="68" t="str">
        <f>IF(C35=1,Stats!$O50,"")</f>
        <v/>
      </c>
      <c r="F35" s="68" t="str">
        <f>IF(C35=1,Stats!$P50,"")</f>
        <v/>
      </c>
      <c r="G35" s="68" t="str">
        <f>IF(C35=1,Stats!$Q50,"")</f>
        <v/>
      </c>
      <c r="H35" s="68" t="str">
        <f>IF(C35=1,Stats!$R50,"")</f>
        <v/>
      </c>
      <c r="I35" s="68" t="str">
        <f>IF(C35=1,Stats!$S50,"")</f>
        <v/>
      </c>
      <c r="J35" s="68">
        <f t="shared" si="0"/>
        <v>0</v>
      </c>
      <c r="K35">
        <f t="shared" si="1"/>
        <v>0</v>
      </c>
      <c r="L35" s="68">
        <f>IF(K35=0,MAX($L$2:L34)+1,0)</f>
        <v>33</v>
      </c>
      <c r="M35" s="5" t="str">
        <f t="shared" si="2"/>
        <v>Passenger</v>
      </c>
      <c r="N35" s="5" t="str">
        <f t="shared" si="3"/>
        <v>Passenger</v>
      </c>
      <c r="O35" s="5"/>
      <c r="P35">
        <f t="shared" si="4"/>
        <v>33</v>
      </c>
      <c r="Q35" s="5" t="str">
        <f t="shared" si="5"/>
        <v>Passenger</v>
      </c>
      <c r="R35" s="68">
        <f>COUNTIF(Builder!$K$6:$N$6,Q35)</f>
        <v>0</v>
      </c>
      <c r="S35" s="68" t="str">
        <f>IF(R35=1,Stats!$N50,"")</f>
        <v/>
      </c>
      <c r="T35" s="68" t="str">
        <f>IF(R35=1,Stats!$O50,"")</f>
        <v/>
      </c>
      <c r="U35" s="68" t="str">
        <f>IF(R35=1,Stats!$P50,"")</f>
        <v/>
      </c>
      <c r="V35" s="68" t="str">
        <f>IF(R35=1,Stats!$Q50,"")</f>
        <v/>
      </c>
      <c r="W35" s="68" t="str">
        <f>IF(R35=1,Stats!$R50,"")</f>
        <v/>
      </c>
      <c r="X35" s="68" t="str">
        <f>IF(R35=1,Stats!$S50,"")</f>
        <v/>
      </c>
      <c r="Y35" s="68">
        <f t="shared" si="6"/>
        <v>0</v>
      </c>
      <c r="Z35">
        <f t="shared" si="7"/>
        <v>0</v>
      </c>
      <c r="AA35" s="68">
        <f>IF(Z35=0,MAX($AA$2:AA34)+1,0)</f>
        <v>33</v>
      </c>
      <c r="AB35" s="5" t="str">
        <f t="shared" si="8"/>
        <v>Passenger</v>
      </c>
      <c r="AC35" s="5" t="str">
        <f t="shared" si="9"/>
        <v>Passenger</v>
      </c>
      <c r="AD35" s="5"/>
      <c r="AE35">
        <f t="shared" si="10"/>
        <v>33</v>
      </c>
      <c r="AF35" s="5" t="str">
        <f t="shared" si="11"/>
        <v>Passenger</v>
      </c>
      <c r="AG35" s="68">
        <f>COUNTIF(Builder!$K$7:$N$7,AF35)</f>
        <v>0</v>
      </c>
      <c r="AH35" s="68" t="str">
        <f>IF(AG35=1,Stats!$N50,"")</f>
        <v/>
      </c>
      <c r="AI35" s="68" t="str">
        <f>IF(AG35=1,Stats!$O50,"")</f>
        <v/>
      </c>
      <c r="AJ35" s="68" t="str">
        <f>IF(AG35=1,Stats!$P50,"")</f>
        <v/>
      </c>
      <c r="AK35" s="68" t="str">
        <f>IF(AG35=1,Stats!$Q50,"")</f>
        <v/>
      </c>
      <c r="AL35" s="68" t="str">
        <f>IF(AG35=1,Stats!$R50,"")</f>
        <v/>
      </c>
      <c r="AM35" s="68" t="str">
        <f>IF(AG35=1,Stats!$S50,"")</f>
        <v/>
      </c>
      <c r="AN35" s="68">
        <f t="shared" si="12"/>
        <v>0</v>
      </c>
      <c r="AO35">
        <f t="shared" si="13"/>
        <v>0</v>
      </c>
      <c r="AP35" s="68">
        <f>IF(AO35=0,MAX($AP$2:AP34)+1,0)</f>
        <v>33</v>
      </c>
      <c r="AQ35" s="5" t="str">
        <f t="shared" si="14"/>
        <v>Passenger</v>
      </c>
      <c r="AR35" s="5" t="str">
        <f t="shared" si="15"/>
        <v>Passenger</v>
      </c>
      <c r="AS35" s="5"/>
      <c r="AT35">
        <f t="shared" si="16"/>
        <v>33</v>
      </c>
      <c r="AU35" s="5" t="str">
        <f t="shared" si="17"/>
        <v>Passenger</v>
      </c>
      <c r="AV35" s="68">
        <f>COUNTIF(Builder!$K$8:$N$8,AU35)</f>
        <v>0</v>
      </c>
      <c r="AW35" s="68" t="str">
        <f>IF(AV35=1,Stats!$N50,"")</f>
        <v/>
      </c>
      <c r="AX35" s="68" t="str">
        <f>IF(AV35=1,Stats!$O50,"")</f>
        <v/>
      </c>
      <c r="AY35" s="68" t="str">
        <f>IF(AV35=1,Stats!$P50,"")</f>
        <v/>
      </c>
      <c r="AZ35" s="68" t="str">
        <f>IF(AV35=1,Stats!$Q50,"")</f>
        <v/>
      </c>
      <c r="BA35" s="68" t="str">
        <f>IF(AV35=1,Stats!$R50,"")</f>
        <v/>
      </c>
      <c r="BB35" s="68" t="str">
        <f>IF(AV35=1,Stats!$S50,"")</f>
        <v/>
      </c>
      <c r="BC35" s="68">
        <f t="shared" si="18"/>
        <v>0</v>
      </c>
      <c r="BD35">
        <f t="shared" si="19"/>
        <v>0</v>
      </c>
      <c r="BE35" s="68">
        <f>IF(BD35=0,MAX($BE$2:BE34)+1,0)</f>
        <v>33</v>
      </c>
      <c r="BF35" s="5" t="str">
        <f t="shared" si="20"/>
        <v>Passenger</v>
      </c>
      <c r="BG35" s="5" t="str">
        <f t="shared" si="21"/>
        <v>Passenger</v>
      </c>
      <c r="BH35" s="5"/>
      <c r="BI35">
        <f t="shared" si="148"/>
        <v>33</v>
      </c>
      <c r="BJ35" s="5" t="str">
        <f t="shared" si="149"/>
        <v>Passenger</v>
      </c>
      <c r="BK35" s="68">
        <f>COUNTIF(Builder!$K$9:$N$9,BJ35)</f>
        <v>0</v>
      </c>
      <c r="BL35" s="68" t="str">
        <f>IF(BK35=1,Stats!$N50,"")</f>
        <v/>
      </c>
      <c r="BM35" s="68" t="str">
        <f>IF(BK35=1,Stats!$O50,"")</f>
        <v/>
      </c>
      <c r="BN35" s="68" t="str">
        <f>IF(BK35=1,Stats!$P50,"")</f>
        <v/>
      </c>
      <c r="BO35" s="68" t="str">
        <f>IF(BK35=1,Stats!$Q50,"")</f>
        <v/>
      </c>
      <c r="BP35" s="68" t="str">
        <f>IF(BK35=1,Stats!$R50,"")</f>
        <v/>
      </c>
      <c r="BQ35" s="68" t="str">
        <f>IF(BK35=1,Stats!$S50,"")</f>
        <v/>
      </c>
      <c r="BR35" s="68">
        <f t="shared" si="150"/>
        <v>0</v>
      </c>
      <c r="BS35">
        <f t="shared" si="151"/>
        <v>0</v>
      </c>
      <c r="BT35" s="68">
        <f>IF(BS35=0,MAX(BT$2:BT34)+1,0)</f>
        <v>33</v>
      </c>
      <c r="BU35" s="5" t="str">
        <f t="shared" si="152"/>
        <v>Passenger</v>
      </c>
      <c r="BV35" s="5" t="str">
        <f t="shared" si="27"/>
        <v>Passenger</v>
      </c>
      <c r="BX35">
        <f t="shared" si="153"/>
        <v>33</v>
      </c>
      <c r="BY35" s="5" t="str">
        <f t="shared" si="154"/>
        <v>Passenger</v>
      </c>
      <c r="BZ35" s="68">
        <f>COUNTIF(Builder!$K$10:$N$10,BY35)</f>
        <v>0</v>
      </c>
      <c r="CA35" s="68" t="str">
        <f>IF(BZ35=1,Stats!$N50,"")</f>
        <v/>
      </c>
      <c r="CB35" s="68" t="str">
        <f>IF(BZ35=1,Stats!$O50,"")</f>
        <v/>
      </c>
      <c r="CC35" s="68" t="str">
        <f>IF(BZ35=1,Stats!$P50,"")</f>
        <v/>
      </c>
      <c r="CD35" s="68" t="str">
        <f>IF(BZ35=1,Stats!$Q50,"")</f>
        <v/>
      </c>
      <c r="CE35" s="68" t="str">
        <f>IF(BZ35=1,Stats!$R50,"")</f>
        <v/>
      </c>
      <c r="CF35" s="68" t="str">
        <f>IF(BZ35=1,Stats!$S50,"")</f>
        <v/>
      </c>
      <c r="CG35" s="68">
        <f t="shared" si="155"/>
        <v>0</v>
      </c>
      <c r="CH35">
        <f t="shared" si="156"/>
        <v>0</v>
      </c>
      <c r="CI35" s="68">
        <f>IF(CH35=0,MAX(CI$2:CI34)+1,0)</f>
        <v>33</v>
      </c>
      <c r="CJ35" s="5" t="str">
        <f t="shared" si="157"/>
        <v>Passenger</v>
      </c>
      <c r="CK35" s="5" t="str">
        <f t="shared" si="33"/>
        <v>Passenger</v>
      </c>
      <c r="CM35">
        <f t="shared" si="34"/>
        <v>33</v>
      </c>
      <c r="CN35" s="5" t="str">
        <f t="shared" si="35"/>
        <v>Passenger</v>
      </c>
      <c r="CO35" s="68">
        <f>COUNTIF(Builder!$K$11:$N$11,CN35)</f>
        <v>0</v>
      </c>
      <c r="CP35" s="68" t="str">
        <f>IF(CO35=1,Stats!$N50,"")</f>
        <v/>
      </c>
      <c r="CQ35" s="68" t="str">
        <f>IF(CO35=1,Stats!$O50,"")</f>
        <v/>
      </c>
      <c r="CR35" s="68" t="str">
        <f>IF(CO35=1,Stats!$P50,"")</f>
        <v/>
      </c>
      <c r="CS35" s="68" t="str">
        <f>IF(CO35=1,Stats!$Q50,"")</f>
        <v/>
      </c>
      <c r="CT35" s="68" t="str">
        <f>IF(CO35=1,Stats!$R50,"")</f>
        <v/>
      </c>
      <c r="CU35" s="68" t="str">
        <f>IF(CO35=1,Stats!$S50,"")</f>
        <v/>
      </c>
      <c r="CV35" s="68">
        <f t="shared" si="36"/>
        <v>0</v>
      </c>
      <c r="CW35">
        <f t="shared" si="37"/>
        <v>0</v>
      </c>
      <c r="CX35" s="68">
        <f>IF(CW35=0,MAX(CX$2:CX34)+1,0)</f>
        <v>33</v>
      </c>
      <c r="CY35" s="5" t="str">
        <f t="shared" si="38"/>
        <v>Passenger</v>
      </c>
      <c r="CZ35" s="5" t="str">
        <f t="shared" si="39"/>
        <v>Passenger</v>
      </c>
      <c r="DB35">
        <f t="shared" si="158"/>
        <v>33</v>
      </c>
      <c r="DC35" s="5" t="str">
        <f t="shared" si="159"/>
        <v>Passenger</v>
      </c>
      <c r="DD35" s="68">
        <f>COUNTIF(Builder!$K$12:$N$12,DC35)</f>
        <v>0</v>
      </c>
      <c r="DE35" s="68" t="str">
        <f>IF(DD35=1,Stats!$N50,"")</f>
        <v/>
      </c>
      <c r="DF35" s="68" t="str">
        <f>IF(DD35=1,Stats!$O50,"")</f>
        <v/>
      </c>
      <c r="DG35" s="68" t="str">
        <f>IF(DD35=1,Stats!$P50,"")</f>
        <v/>
      </c>
      <c r="DH35" s="68" t="str">
        <f>IF(DD35=1,Stats!$Q50,"")</f>
        <v/>
      </c>
      <c r="DI35" s="68" t="str">
        <f>IF(DD35=1,Stats!$R50,"")</f>
        <v/>
      </c>
      <c r="DJ35" s="68" t="str">
        <f>IF(DD35=1,Stats!$S50,"")</f>
        <v/>
      </c>
      <c r="DK35" s="68">
        <f t="shared" si="160"/>
        <v>0</v>
      </c>
      <c r="DL35">
        <f t="shared" si="161"/>
        <v>0</v>
      </c>
      <c r="DM35" s="68">
        <f>IF(DL35=0,MAX(DM$2:DM34)+1,0)</f>
        <v>33</v>
      </c>
      <c r="DN35" s="5" t="str">
        <f t="shared" si="162"/>
        <v>Passenger</v>
      </c>
      <c r="DO35" s="5" t="str">
        <f t="shared" si="45"/>
        <v>Passenger</v>
      </c>
      <c r="DQ35">
        <f t="shared" si="163"/>
        <v>33</v>
      </c>
      <c r="DR35" s="5" t="str">
        <f t="shared" si="164"/>
        <v>Passenger</v>
      </c>
      <c r="DS35" s="68">
        <f>COUNTIF(Builder!$K$13:$N$13,DR35)</f>
        <v>0</v>
      </c>
      <c r="DT35" s="68" t="str">
        <f>IF(DS35=1,Stats!$N50,"")</f>
        <v/>
      </c>
      <c r="DU35" s="68" t="str">
        <f>IF(DS35=1,Stats!$O50,"")</f>
        <v/>
      </c>
      <c r="DV35" s="68" t="str">
        <f>IF(DS35=1,Stats!$P50,"")</f>
        <v/>
      </c>
      <c r="DW35" s="68" t="str">
        <f>IF(DS35=1,Stats!$Q50,"")</f>
        <v/>
      </c>
      <c r="DX35" s="68" t="str">
        <f>IF(DS35=1,Stats!$R50,"")</f>
        <v/>
      </c>
      <c r="DY35" s="68" t="str">
        <f>IF(DS35=1,Stats!$S50,"")</f>
        <v/>
      </c>
      <c r="DZ35" s="68">
        <f t="shared" si="165"/>
        <v>0</v>
      </c>
      <c r="EA35">
        <f t="shared" si="166"/>
        <v>0</v>
      </c>
      <c r="EB35" s="68">
        <f>IF(EA35=0,MAX(EB$2:EB34)+1,0)</f>
        <v>33</v>
      </c>
      <c r="EC35" s="5" t="str">
        <f t="shared" si="167"/>
        <v>Passenger</v>
      </c>
      <c r="ED35" s="5" t="str">
        <f t="shared" si="51"/>
        <v>Passenger</v>
      </c>
      <c r="EF35">
        <f t="shared" si="52"/>
        <v>33</v>
      </c>
      <c r="EG35" s="5" t="str">
        <f t="shared" si="53"/>
        <v>Passenger</v>
      </c>
      <c r="EH35" s="68">
        <f>COUNTIF(Builder!$K$14:$N$14,EG35)</f>
        <v>0</v>
      </c>
      <c r="EI35" s="68" t="str">
        <f>IF(EH35=1,Stats!$N50,"")</f>
        <v/>
      </c>
      <c r="EJ35" s="68" t="str">
        <f>IF(EH35=1,Stats!$O50,"")</f>
        <v/>
      </c>
      <c r="EK35" s="68" t="str">
        <f>IF(EH35=1,Stats!$P50,"")</f>
        <v/>
      </c>
      <c r="EL35" s="68" t="str">
        <f>IF(EH35=1,Stats!$Q50,"")</f>
        <v/>
      </c>
      <c r="EM35" s="68" t="str">
        <f>IF(EH35=1,Stats!$R50,"")</f>
        <v/>
      </c>
      <c r="EN35" s="68" t="str">
        <f>IF(EH35=1,Stats!$S50,"")</f>
        <v/>
      </c>
      <c r="EO35" s="68">
        <f t="shared" si="54"/>
        <v>0</v>
      </c>
      <c r="EP35">
        <f t="shared" si="55"/>
        <v>0</v>
      </c>
      <c r="EQ35" s="68">
        <f>IF(EP35=0,MAX(EQ$2:EQ34)+1,0)</f>
        <v>33</v>
      </c>
      <c r="ER35" s="5" t="str">
        <f t="shared" si="56"/>
        <v>Passenger</v>
      </c>
      <c r="ES35" s="5" t="str">
        <f t="shared" si="57"/>
        <v>Passenger</v>
      </c>
      <c r="EU35">
        <f t="shared" si="58"/>
        <v>33</v>
      </c>
      <c r="EV35" s="5" t="str">
        <f t="shared" si="59"/>
        <v>Passenger</v>
      </c>
      <c r="EW35" s="68">
        <f>COUNTIF(Builder!$K$15:$N$15,EV35)</f>
        <v>0</v>
      </c>
      <c r="EX35" s="68" t="str">
        <f>IF(EW35=1,Stats!$N50,"")</f>
        <v/>
      </c>
      <c r="EY35" s="68" t="str">
        <f>IF(EW35=1,Stats!$O50,"")</f>
        <v/>
      </c>
      <c r="EZ35" s="68" t="str">
        <f>IF(EW35=1,Stats!$P50,"")</f>
        <v/>
      </c>
      <c r="FA35" s="68" t="str">
        <f>IF(EW35=1,Stats!$Q50,"")</f>
        <v/>
      </c>
      <c r="FB35" s="68" t="str">
        <f>IF(EW35=1,Stats!$R50,"")</f>
        <v/>
      </c>
      <c r="FC35" s="68" t="str">
        <f>IF(EW35=1,Stats!$S50,"")</f>
        <v/>
      </c>
      <c r="FD35" s="68">
        <f t="shared" si="60"/>
        <v>0</v>
      </c>
      <c r="FE35">
        <f t="shared" si="61"/>
        <v>0</v>
      </c>
      <c r="FF35" s="68">
        <f>IF(FE35=0,MAX(FF$2:FF34)+1,0)</f>
        <v>33</v>
      </c>
      <c r="FG35" s="5" t="str">
        <f t="shared" si="62"/>
        <v>Passenger</v>
      </c>
      <c r="FH35" s="5" t="str">
        <f t="shared" si="63"/>
        <v>Passenger</v>
      </c>
      <c r="FJ35">
        <f t="shared" si="64"/>
        <v>33</v>
      </c>
      <c r="FK35" s="5" t="str">
        <f t="shared" si="65"/>
        <v>Passenger</v>
      </c>
      <c r="FL35" s="68">
        <f>COUNTIF(Builder!$K$16:$N$16,FK35)</f>
        <v>0</v>
      </c>
      <c r="FM35" s="68" t="str">
        <f>IF(FL35=1,Stats!$N50,"")</f>
        <v/>
      </c>
      <c r="FN35" s="68" t="str">
        <f>IF(FL35=1,Stats!$O50,"")</f>
        <v/>
      </c>
      <c r="FO35" s="68" t="str">
        <f>IF(FL35=1,Stats!$P50,"")</f>
        <v/>
      </c>
      <c r="FP35" s="68" t="str">
        <f>IF(FL35=1,Stats!$Q50,"")</f>
        <v/>
      </c>
      <c r="FQ35" s="68" t="str">
        <f>IF(FL35=1,Stats!$R50,"")</f>
        <v/>
      </c>
      <c r="FR35" s="68" t="str">
        <f>IF(FL35=1,Stats!$S50,"")</f>
        <v/>
      </c>
      <c r="FS35" s="68">
        <f t="shared" si="66"/>
        <v>0</v>
      </c>
      <c r="FT35">
        <f t="shared" si="67"/>
        <v>0</v>
      </c>
      <c r="FU35" s="68">
        <f>IF(FT35=0,MAX(FU$2:FU34)+1,0)</f>
        <v>33</v>
      </c>
      <c r="FV35" s="5" t="str">
        <f t="shared" si="68"/>
        <v>Passenger</v>
      </c>
      <c r="FW35" s="5" t="str">
        <f t="shared" si="69"/>
        <v>Passenger</v>
      </c>
      <c r="FY35">
        <f t="shared" si="168"/>
        <v>33</v>
      </c>
      <c r="FZ35" s="5" t="str">
        <f t="shared" si="169"/>
        <v>Passenger</v>
      </c>
      <c r="GA35" s="68">
        <f>COUNTIF(Builder!$K$17:$N$17,FZ35)</f>
        <v>0</v>
      </c>
      <c r="GB35" s="68" t="str">
        <f>IF(GA35=1,Stats!$N50,"")</f>
        <v/>
      </c>
      <c r="GC35" s="68" t="str">
        <f>IF(GA35=1,Stats!$O50,"")</f>
        <v/>
      </c>
      <c r="GD35" s="68" t="str">
        <f>IF(GA35=1,Stats!$P50,"")</f>
        <v/>
      </c>
      <c r="GE35" s="68" t="str">
        <f>IF(GA35=1,Stats!$Q50,"")</f>
        <v/>
      </c>
      <c r="GF35" s="68" t="str">
        <f>IF(GA35=1,Stats!$R50,"")</f>
        <v/>
      </c>
      <c r="GG35" s="68" t="str">
        <f>IF(GA35=1,Stats!$S50,"")</f>
        <v/>
      </c>
      <c r="GH35" s="68">
        <f t="shared" si="170"/>
        <v>0</v>
      </c>
      <c r="GI35">
        <f t="shared" si="171"/>
        <v>0</v>
      </c>
      <c r="GJ35" s="68">
        <f>IF(GI35=0,MAX(GJ$2:GJ34)+1,0)</f>
        <v>33</v>
      </c>
      <c r="GK35" s="5" t="str">
        <f t="shared" si="172"/>
        <v>Passenger</v>
      </c>
      <c r="GL35" s="5" t="str">
        <f t="shared" si="75"/>
        <v>Passenger</v>
      </c>
      <c r="GN35">
        <f t="shared" si="76"/>
        <v>33</v>
      </c>
      <c r="GO35" s="5" t="str">
        <f t="shared" si="77"/>
        <v>Passenger</v>
      </c>
      <c r="GP35" s="68">
        <f>COUNTIF(Builder!$K$18:$N$18,GO35)</f>
        <v>0</v>
      </c>
      <c r="GQ35" s="68" t="str">
        <f>IF(GP35=1,Stats!$N50,"")</f>
        <v/>
      </c>
      <c r="GR35" s="68" t="str">
        <f>IF(GP35=1,Stats!$O50,"")</f>
        <v/>
      </c>
      <c r="GS35" s="68" t="str">
        <f>IF(GP35=1,Stats!$P50,"")</f>
        <v/>
      </c>
      <c r="GT35" s="68" t="str">
        <f>IF(GP35=1,Stats!$Q50,"")</f>
        <v/>
      </c>
      <c r="GU35" s="68" t="str">
        <f>IF(GP35=1,Stats!$R50,"")</f>
        <v/>
      </c>
      <c r="GV35" s="68" t="str">
        <f>IF(GP35=1,Stats!$S50,"")</f>
        <v/>
      </c>
      <c r="GW35" s="68">
        <f t="shared" si="78"/>
        <v>0</v>
      </c>
      <c r="GX35">
        <f t="shared" si="79"/>
        <v>0</v>
      </c>
      <c r="GY35" s="68">
        <f>IF(GX35=0,MAX(GY$2:GY34)+1,0)</f>
        <v>33</v>
      </c>
      <c r="GZ35" s="5" t="str">
        <f t="shared" si="80"/>
        <v>Passenger</v>
      </c>
      <c r="HA35" s="5" t="str">
        <f t="shared" si="81"/>
        <v>Passenger</v>
      </c>
      <c r="HC35">
        <f t="shared" si="82"/>
        <v>33</v>
      </c>
      <c r="HD35" s="5" t="str">
        <f t="shared" si="83"/>
        <v>Passenger</v>
      </c>
      <c r="HE35" s="68">
        <f>COUNTIF(Builder!$K$19:$N$19,HD35)</f>
        <v>0</v>
      </c>
      <c r="HF35" s="68" t="str">
        <f>IF(HE35=1,Stats!$N50,"")</f>
        <v/>
      </c>
      <c r="HG35" s="68" t="str">
        <f>IF(HE35=1,Stats!$O50,"")</f>
        <v/>
      </c>
      <c r="HH35" s="68" t="str">
        <f>IF(HE35=1,Stats!$P50,"")</f>
        <v/>
      </c>
      <c r="HI35" s="68" t="str">
        <f>IF(HE35=1,Stats!$Q50,"")</f>
        <v/>
      </c>
      <c r="HJ35" s="68" t="str">
        <f>IF(HE35=1,Stats!$R50,"")</f>
        <v/>
      </c>
      <c r="HK35" s="68" t="str">
        <f>IF(HE35=1,Stats!$S50,"")</f>
        <v/>
      </c>
      <c r="HL35" s="68">
        <f t="shared" si="84"/>
        <v>0</v>
      </c>
      <c r="HM35">
        <f t="shared" si="85"/>
        <v>0</v>
      </c>
      <c r="HN35" s="68">
        <f>IF(HM35=0,MAX(HN$2:HN34)+1,0)</f>
        <v>33</v>
      </c>
      <c r="HO35" s="5" t="str">
        <f t="shared" si="86"/>
        <v>Passenger</v>
      </c>
      <c r="HP35" s="5" t="str">
        <f t="shared" si="87"/>
        <v>Passenger</v>
      </c>
      <c r="HR35">
        <f t="shared" si="88"/>
        <v>33</v>
      </c>
      <c r="HS35" s="5" t="str">
        <f t="shared" si="89"/>
        <v>Passenger</v>
      </c>
      <c r="HT35" s="68">
        <f>COUNTIF(Builder!$K$20:$N$20,HS35)</f>
        <v>0</v>
      </c>
      <c r="HU35" s="68" t="str">
        <f>IF(HT35=1,Stats!$N50,"")</f>
        <v/>
      </c>
      <c r="HV35" s="68" t="str">
        <f>IF(HT35=1,Stats!$O50,"")</f>
        <v/>
      </c>
      <c r="HW35" s="68" t="str">
        <f>IF(HT35=1,Stats!$P50,"")</f>
        <v/>
      </c>
      <c r="HX35" s="68" t="str">
        <f>IF(HT35=1,Stats!$Q50,"")</f>
        <v/>
      </c>
      <c r="HY35" s="68" t="str">
        <f>IF(HT35=1,Stats!$R50,"")</f>
        <v/>
      </c>
      <c r="HZ35" s="68" t="str">
        <f>IF(HT35=1,Stats!$S50,"")</f>
        <v/>
      </c>
      <c r="IA35" s="68">
        <f t="shared" si="90"/>
        <v>0</v>
      </c>
      <c r="IB35">
        <f t="shared" si="91"/>
        <v>0</v>
      </c>
      <c r="IC35" s="68">
        <f>IF(IB35=0,MAX(IC$2:IC34)+1,0)</f>
        <v>33</v>
      </c>
      <c r="ID35" s="5" t="str">
        <f t="shared" si="92"/>
        <v>Passenger</v>
      </c>
      <c r="IE35" s="5" t="str">
        <f t="shared" si="93"/>
        <v>Passenger</v>
      </c>
      <c r="IG35">
        <f t="shared" si="94"/>
        <v>33</v>
      </c>
      <c r="IH35" s="5" t="str">
        <f t="shared" si="95"/>
        <v>Passenger</v>
      </c>
      <c r="II35" s="68">
        <f>COUNTIF(Builder!$K$21:$N$21,IH35)</f>
        <v>0</v>
      </c>
      <c r="IJ35" s="68" t="str">
        <f>IF(II35=1,Stats!$N50,"")</f>
        <v/>
      </c>
      <c r="IK35" s="68" t="str">
        <f>IF(II35=1,Stats!$O50,"")</f>
        <v/>
      </c>
      <c r="IL35" s="68" t="str">
        <f>IF(II35=1,Stats!$P50,"")</f>
        <v/>
      </c>
      <c r="IM35" s="68" t="str">
        <f>IF(II35=1,Stats!$Q50,"")</f>
        <v/>
      </c>
      <c r="IN35" s="68" t="str">
        <f>IF(II35=1,Stats!$R50,"")</f>
        <v/>
      </c>
      <c r="IO35" s="68" t="str">
        <f>IF(II35=1,Stats!$S50,"")</f>
        <v/>
      </c>
      <c r="IP35" s="68">
        <f t="shared" si="96"/>
        <v>0</v>
      </c>
      <c r="IQ35">
        <f t="shared" si="97"/>
        <v>0</v>
      </c>
      <c r="IR35" s="68">
        <f>IF(IQ35=0,MAX(IR$2:IR34)+1,0)</f>
        <v>33</v>
      </c>
      <c r="IS35" s="5" t="str">
        <f t="shared" si="98"/>
        <v>Passenger</v>
      </c>
      <c r="IT35" s="5" t="str">
        <f t="shared" si="99"/>
        <v>Passenger</v>
      </c>
      <c r="IV35">
        <f t="shared" si="100"/>
        <v>33</v>
      </c>
      <c r="IW35" s="5" t="str">
        <f t="shared" si="101"/>
        <v>Passenger</v>
      </c>
      <c r="IX35" s="68">
        <f>COUNTIF(Builder!$K$22:$N$22,IW35)</f>
        <v>0</v>
      </c>
      <c r="IY35" s="68" t="str">
        <f>IF(IX35=1,Stats!$N50,"")</f>
        <v/>
      </c>
      <c r="IZ35" s="68" t="str">
        <f>IF(IX35=1,Stats!$O50,"")</f>
        <v/>
      </c>
      <c r="JA35" s="68" t="str">
        <f>IF(IX35=1,Stats!$P50,"")</f>
        <v/>
      </c>
      <c r="JB35" s="68" t="str">
        <f>IF(IX35=1,Stats!$Q50,"")</f>
        <v/>
      </c>
      <c r="JC35" s="68" t="str">
        <f>IF(IX35=1,Stats!$R50,"")</f>
        <v/>
      </c>
      <c r="JD35" s="68" t="str">
        <f>IF(IX35=1,Stats!$S50,"")</f>
        <v/>
      </c>
      <c r="JE35" s="68">
        <f t="shared" si="102"/>
        <v>0</v>
      </c>
      <c r="JF35">
        <f t="shared" si="103"/>
        <v>0</v>
      </c>
      <c r="JG35" s="68">
        <f>IF(JF35=0,MAX(JG$2:JG34)+1,0)</f>
        <v>33</v>
      </c>
      <c r="JH35" s="5" t="str">
        <f t="shared" si="104"/>
        <v>Passenger</v>
      </c>
      <c r="JI35" s="5" t="str">
        <f t="shared" si="105"/>
        <v>Passenger</v>
      </c>
      <c r="JK35">
        <f t="shared" si="106"/>
        <v>33</v>
      </c>
      <c r="JL35" s="5" t="str">
        <f t="shared" si="107"/>
        <v>Passenger</v>
      </c>
      <c r="JM35" s="68">
        <f>COUNTIF(Builder!$K$23:$N$23,JL35)</f>
        <v>0</v>
      </c>
      <c r="JN35" s="68" t="str">
        <f>IF(JM35=1,Stats!$N50,"")</f>
        <v/>
      </c>
      <c r="JO35" s="68" t="str">
        <f>IF(JM35=1,Stats!$O50,"")</f>
        <v/>
      </c>
      <c r="JP35" s="68" t="str">
        <f>IF(JM35=1,Stats!$P50,"")</f>
        <v/>
      </c>
      <c r="JQ35" s="68" t="str">
        <f>IF(JM35=1,Stats!$Q50,"")</f>
        <v/>
      </c>
      <c r="JR35" s="68" t="str">
        <f>IF(JM35=1,Stats!$R50,"")</f>
        <v/>
      </c>
      <c r="JS35" s="68" t="str">
        <f>IF(JM35=1,Stats!$S50,"")</f>
        <v/>
      </c>
      <c r="JT35" s="68">
        <f t="shared" si="108"/>
        <v>0</v>
      </c>
      <c r="JU35">
        <f t="shared" si="109"/>
        <v>0</v>
      </c>
      <c r="JV35" s="68">
        <f>IF(JU35=0,MAX(JV$2:JV34)+1,0)</f>
        <v>33</v>
      </c>
      <c r="JW35" s="5" t="str">
        <f t="shared" si="110"/>
        <v>Passenger</v>
      </c>
      <c r="JX35" s="5" t="str">
        <f t="shared" si="111"/>
        <v>Passenger</v>
      </c>
      <c r="JZ35">
        <f t="shared" si="112"/>
        <v>33</v>
      </c>
      <c r="KA35" s="5" t="str">
        <f t="shared" si="113"/>
        <v>Passenger</v>
      </c>
      <c r="KB35" s="68">
        <f>COUNTIF(Builder!$K$24:$N$24,KA35)</f>
        <v>0</v>
      </c>
      <c r="KC35" s="68" t="str">
        <f>IF(KB35=1,Stats!$N50,"")</f>
        <v/>
      </c>
      <c r="KD35" s="68" t="str">
        <f>IF(KB35=1,Stats!$O50,"")</f>
        <v/>
      </c>
      <c r="KE35" s="68" t="str">
        <f>IF(KB35=1,Stats!$P50,"")</f>
        <v/>
      </c>
      <c r="KF35" s="68" t="str">
        <f>IF(KB35=1,Stats!$Q50,"")</f>
        <v/>
      </c>
      <c r="KG35" s="68" t="str">
        <f>IF(KB35=1,Stats!$R50,"")</f>
        <v/>
      </c>
      <c r="KH35" s="68" t="str">
        <f>IF(KB35=1,Stats!$S50,"")</f>
        <v/>
      </c>
      <c r="KI35" s="68">
        <f t="shared" si="114"/>
        <v>0</v>
      </c>
      <c r="KJ35">
        <f t="shared" si="115"/>
        <v>0</v>
      </c>
      <c r="KK35" s="68">
        <f>IF(KJ35=0,MAX(KK$2:KK34)+1,0)</f>
        <v>33</v>
      </c>
      <c r="KL35" s="5" t="str">
        <f t="shared" si="116"/>
        <v>Passenger</v>
      </c>
      <c r="KM35" s="5" t="str">
        <f t="shared" si="117"/>
        <v>Passenger</v>
      </c>
      <c r="KO35">
        <f t="shared" si="118"/>
        <v>33</v>
      </c>
      <c r="KP35" s="5" t="str">
        <f t="shared" si="119"/>
        <v>Passenger</v>
      </c>
      <c r="KQ35" s="68">
        <f>COUNTIF(Builder!$K$25:$N$25,KP35)</f>
        <v>0</v>
      </c>
      <c r="KR35" s="68" t="str">
        <f>IF(KQ35=1,Stats!$N50,"")</f>
        <v/>
      </c>
      <c r="KS35" s="68" t="str">
        <f>IF(KQ35=1,Stats!$O50,"")</f>
        <v/>
      </c>
      <c r="KT35" s="68" t="str">
        <f>IF(KQ35=1,Stats!$P50,"")</f>
        <v/>
      </c>
      <c r="KU35" s="68" t="str">
        <f>IF(KQ35=1,Stats!$Q50,"")</f>
        <v/>
      </c>
      <c r="KV35" s="68" t="str">
        <f>IF(KQ35=1,Stats!$R50,"")</f>
        <v/>
      </c>
      <c r="KW35" s="68" t="str">
        <f>IF(KQ35=1,Stats!$S50,"")</f>
        <v/>
      </c>
      <c r="KX35" s="68">
        <f t="shared" si="120"/>
        <v>0</v>
      </c>
      <c r="KY35">
        <f t="shared" si="121"/>
        <v>0</v>
      </c>
      <c r="KZ35" s="68">
        <f>IF(KY35=0,MAX(KZ$2:KZ34)+1,0)</f>
        <v>33</v>
      </c>
      <c r="LA35" s="5" t="str">
        <f t="shared" si="122"/>
        <v>Passenger</v>
      </c>
      <c r="LB35" s="5" t="str">
        <f t="shared" si="123"/>
        <v>Passenger</v>
      </c>
      <c r="LD35">
        <f t="shared" si="124"/>
        <v>33</v>
      </c>
      <c r="LE35" s="5" t="str">
        <f t="shared" si="125"/>
        <v>Passenger</v>
      </c>
      <c r="LF35" s="68">
        <f>COUNTIF(Builder!$K$26:$N$26,LE35)</f>
        <v>0</v>
      </c>
      <c r="LG35" s="68" t="str">
        <f>IF(LF35=1,Stats!$N50,"")</f>
        <v/>
      </c>
      <c r="LH35" s="68" t="str">
        <f>IF(LF35=1,Stats!$O50,"")</f>
        <v/>
      </c>
      <c r="LI35" s="68" t="str">
        <f>IF(LF35=1,Stats!$P50,"")</f>
        <v/>
      </c>
      <c r="LJ35" s="68" t="str">
        <f>IF(LF35=1,Stats!$Q50,"")</f>
        <v/>
      </c>
      <c r="LK35" s="68" t="str">
        <f>IF(LF35=1,Stats!$R50,"")</f>
        <v/>
      </c>
      <c r="LL35" s="68" t="str">
        <f>IF(LF35=1,Stats!$S50,"")</f>
        <v/>
      </c>
      <c r="LM35" s="68">
        <f t="shared" si="126"/>
        <v>0</v>
      </c>
      <c r="LN35">
        <f t="shared" si="127"/>
        <v>0</v>
      </c>
      <c r="LO35" s="68">
        <f>IF(LN35=0,MAX(LO$2:LO34)+1,0)</f>
        <v>33</v>
      </c>
      <c r="LP35" s="5" t="str">
        <f t="shared" si="128"/>
        <v>Passenger</v>
      </c>
      <c r="LQ35" s="5" t="str">
        <f t="shared" si="129"/>
        <v>Passenger</v>
      </c>
      <c r="LS35">
        <f t="shared" si="130"/>
        <v>33</v>
      </c>
      <c r="LT35" s="5" t="str">
        <f t="shared" si="131"/>
        <v>Passenger</v>
      </c>
      <c r="LU35" s="68">
        <f>COUNTIF(Builder!$K$27:$N$27,LT35)</f>
        <v>0</v>
      </c>
      <c r="LV35" s="68" t="str">
        <f>IF(LU35=1,Stats!$N50,"")</f>
        <v/>
      </c>
      <c r="LW35" s="68" t="str">
        <f>IF(LU35=1,Stats!$O50,"")</f>
        <v/>
      </c>
      <c r="LX35" s="68" t="str">
        <f>IF(LU35=1,Stats!$P50,"")</f>
        <v/>
      </c>
      <c r="LY35" s="68" t="str">
        <f>IF(LU35=1,Stats!$Q50,"")</f>
        <v/>
      </c>
      <c r="LZ35" s="68" t="str">
        <f>IF(LU35=1,Stats!$R50,"")</f>
        <v/>
      </c>
      <c r="MA35" s="68" t="str">
        <f>IF(LU35=1,Stats!$S50,"")</f>
        <v/>
      </c>
      <c r="MB35" s="68">
        <f t="shared" si="132"/>
        <v>0</v>
      </c>
      <c r="MC35">
        <f t="shared" si="133"/>
        <v>0</v>
      </c>
      <c r="MD35" s="68">
        <f>IF(MC35=0,MAX(MD$2:MD34)+1,0)</f>
        <v>33</v>
      </c>
      <c r="ME35" s="5" t="str">
        <f t="shared" si="134"/>
        <v>Passenger</v>
      </c>
      <c r="MF35" s="5" t="str">
        <f t="shared" si="135"/>
        <v>Passenger</v>
      </c>
      <c r="MH35">
        <f t="shared" si="136"/>
        <v>33</v>
      </c>
      <c r="MI35" s="5" t="str">
        <f t="shared" si="137"/>
        <v>Passenger</v>
      </c>
      <c r="MJ35" s="68">
        <f>COUNTIF(Builder!$K$28:$N$28,MI35)</f>
        <v>0</v>
      </c>
      <c r="MK35" s="68" t="str">
        <f>IF(MJ35=1,Stats!$N50,"")</f>
        <v/>
      </c>
      <c r="ML35" s="68" t="str">
        <f>IF(MJ35=1,Stats!$O50,"")</f>
        <v/>
      </c>
      <c r="MM35" s="68" t="str">
        <f>IF(MJ35=1,Stats!$P50,"")</f>
        <v/>
      </c>
      <c r="MN35" s="68" t="str">
        <f>IF(MJ35=1,Stats!$Q50,"")</f>
        <v/>
      </c>
      <c r="MO35" s="68" t="str">
        <f>IF(MJ35=1,Stats!$R50,"")</f>
        <v/>
      </c>
      <c r="MP35" s="68" t="str">
        <f>IF(MJ35=1,Stats!$S50,"")</f>
        <v/>
      </c>
      <c r="MQ35" s="68">
        <f t="shared" si="138"/>
        <v>0</v>
      </c>
      <c r="MR35">
        <f t="shared" si="139"/>
        <v>0</v>
      </c>
      <c r="MS35" s="68">
        <f>IF(MR35=0,MAX(MS$2:MS34)+1,0)</f>
        <v>33</v>
      </c>
      <c r="MT35" s="5" t="str">
        <f t="shared" si="140"/>
        <v>Passenger</v>
      </c>
      <c r="MU35" s="5" t="str">
        <f t="shared" si="141"/>
        <v>Passenger</v>
      </c>
      <c r="MW35">
        <f t="shared" si="142"/>
        <v>33</v>
      </c>
      <c r="MX35" s="5" t="str">
        <f t="shared" si="143"/>
        <v>Passenger</v>
      </c>
      <c r="MY35" s="68">
        <f>COUNTIF(Builder!$K$29:$N$29,MX35)</f>
        <v>0</v>
      </c>
      <c r="MZ35" s="68" t="str">
        <f>IF(MY35=1,Stats!$N50,"")</f>
        <v/>
      </c>
      <c r="NA35" s="68" t="str">
        <f>IF(MY35=1,Stats!$O50,"")</f>
        <v/>
      </c>
      <c r="NB35" s="68" t="str">
        <f>IF(MY35=1,Stats!$P50,"")</f>
        <v/>
      </c>
      <c r="NC35" s="68" t="str">
        <f>IF(MY35=1,Stats!$Q50,"")</f>
        <v/>
      </c>
      <c r="ND35" s="68" t="str">
        <f>IF(MY35=1,Stats!$R50,"")</f>
        <v/>
      </c>
      <c r="NE35" s="68" t="str">
        <f>IF(MY35=1,Stats!$S50,"")</f>
        <v/>
      </c>
      <c r="NF35" s="68">
        <f t="shared" si="144"/>
        <v>0</v>
      </c>
      <c r="NG35">
        <f t="shared" si="145"/>
        <v>0</v>
      </c>
      <c r="NH35" s="68">
        <f>IF(NG35=0,MAX(NH$2:NH34)+1,0)</f>
        <v>33</v>
      </c>
      <c r="NI35" s="5" t="str">
        <f t="shared" si="146"/>
        <v>Passenger</v>
      </c>
      <c r="NJ35" s="5" t="str">
        <f t="shared" si="147"/>
        <v>Passenger</v>
      </c>
    </row>
    <row r="36" spans="1:374" ht="15" x14ac:dyDescent="0.3">
      <c r="A36">
        <v>34</v>
      </c>
      <c r="B36" s="5" t="s">
        <v>215</v>
      </c>
      <c r="C36" s="68">
        <f>COUNTIF(Builder!$K$5:$N$5,B36)</f>
        <v>0</v>
      </c>
      <c r="D36" s="68" t="str">
        <f>IF(C36=1,Stats!$N51,"")</f>
        <v/>
      </c>
      <c r="E36" s="68" t="str">
        <f>IF(C36=1,Stats!$O51,"")</f>
        <v/>
      </c>
      <c r="F36" s="68" t="str">
        <f>IF(C36=1,Stats!$P51,"")</f>
        <v/>
      </c>
      <c r="G36" s="68" t="str">
        <f>IF(C36=1,Stats!$Q51,"")</f>
        <v/>
      </c>
      <c r="H36" s="68" t="str">
        <f>IF(C36=1,Stats!$R51,"")</f>
        <v/>
      </c>
      <c r="I36" s="68" t="str">
        <f>IF(C36=1,Stats!$S51,"")</f>
        <v/>
      </c>
      <c r="J36" s="68">
        <f t="shared" si="0"/>
        <v>0</v>
      </c>
      <c r="K36">
        <f t="shared" si="1"/>
        <v>0</v>
      </c>
      <c r="L36" s="68">
        <f>IF(K36=0,MAX($L$2:L35)+1,0)</f>
        <v>34</v>
      </c>
      <c r="M36" s="5" t="str">
        <f t="shared" si="2"/>
        <v>Pikes</v>
      </c>
      <c r="N36" s="5" t="str">
        <f t="shared" si="3"/>
        <v>Pikes</v>
      </c>
      <c r="O36" s="5"/>
      <c r="P36">
        <f t="shared" si="4"/>
        <v>34</v>
      </c>
      <c r="Q36" s="5" t="str">
        <f t="shared" si="5"/>
        <v>Pikes</v>
      </c>
      <c r="R36" s="68">
        <f>COUNTIF(Builder!$K$6:$N$6,Q36)</f>
        <v>0</v>
      </c>
      <c r="S36" s="68" t="str">
        <f>IF(R36=1,Stats!$N51,"")</f>
        <v/>
      </c>
      <c r="T36" s="68" t="str">
        <f>IF(R36=1,Stats!$O51,"")</f>
        <v/>
      </c>
      <c r="U36" s="68" t="str">
        <f>IF(R36=1,Stats!$P51,"")</f>
        <v/>
      </c>
      <c r="V36" s="68" t="str">
        <f>IF(R36=1,Stats!$Q51,"")</f>
        <v/>
      </c>
      <c r="W36" s="68" t="str">
        <f>IF(R36=1,Stats!$R51,"")</f>
        <v/>
      </c>
      <c r="X36" s="68" t="str">
        <f>IF(R36=1,Stats!$S51,"")</f>
        <v/>
      </c>
      <c r="Y36" s="68">
        <f t="shared" si="6"/>
        <v>0</v>
      </c>
      <c r="Z36">
        <f t="shared" si="7"/>
        <v>0</v>
      </c>
      <c r="AA36" s="68">
        <f>IF(Z36=0,MAX($AA$2:AA35)+1,0)</f>
        <v>34</v>
      </c>
      <c r="AB36" s="5" t="str">
        <f t="shared" si="8"/>
        <v>Pikes</v>
      </c>
      <c r="AC36" s="5" t="str">
        <f t="shared" si="9"/>
        <v>Pikes</v>
      </c>
      <c r="AD36" s="5"/>
      <c r="AE36">
        <f t="shared" si="10"/>
        <v>34</v>
      </c>
      <c r="AF36" s="5" t="str">
        <f t="shared" si="11"/>
        <v>Pikes</v>
      </c>
      <c r="AG36" s="68">
        <f>COUNTIF(Builder!$K$7:$N$7,AF36)</f>
        <v>0</v>
      </c>
      <c r="AH36" s="68" t="str">
        <f>IF(AG36=1,Stats!$N51,"")</f>
        <v/>
      </c>
      <c r="AI36" s="68" t="str">
        <f>IF(AG36=1,Stats!$O51,"")</f>
        <v/>
      </c>
      <c r="AJ36" s="68" t="str">
        <f>IF(AG36=1,Stats!$P51,"")</f>
        <v/>
      </c>
      <c r="AK36" s="68" t="str">
        <f>IF(AG36=1,Stats!$Q51,"")</f>
        <v/>
      </c>
      <c r="AL36" s="68" t="str">
        <f>IF(AG36=1,Stats!$R51,"")</f>
        <v/>
      </c>
      <c r="AM36" s="68" t="str">
        <f>IF(AG36=1,Stats!$S51,"")</f>
        <v/>
      </c>
      <c r="AN36" s="68">
        <f t="shared" si="12"/>
        <v>0</v>
      </c>
      <c r="AO36">
        <f t="shared" si="13"/>
        <v>0</v>
      </c>
      <c r="AP36" s="68">
        <f>IF(AO36=0,MAX($AP$2:AP35)+1,0)</f>
        <v>34</v>
      </c>
      <c r="AQ36" s="5" t="str">
        <f t="shared" si="14"/>
        <v>Pikes</v>
      </c>
      <c r="AR36" s="5" t="str">
        <f t="shared" si="15"/>
        <v>Pikes</v>
      </c>
      <c r="AS36" s="5"/>
      <c r="AT36">
        <f t="shared" si="16"/>
        <v>34</v>
      </c>
      <c r="AU36" s="5" t="str">
        <f t="shared" si="17"/>
        <v>Pikes</v>
      </c>
      <c r="AV36" s="68">
        <f>COUNTIF(Builder!$K$8:$N$8,AU36)</f>
        <v>0</v>
      </c>
      <c r="AW36" s="68" t="str">
        <f>IF(AV36=1,Stats!$N51,"")</f>
        <v/>
      </c>
      <c r="AX36" s="68" t="str">
        <f>IF(AV36=1,Stats!$O51,"")</f>
        <v/>
      </c>
      <c r="AY36" s="68" t="str">
        <f>IF(AV36=1,Stats!$P51,"")</f>
        <v/>
      </c>
      <c r="AZ36" s="68" t="str">
        <f>IF(AV36=1,Stats!$Q51,"")</f>
        <v/>
      </c>
      <c r="BA36" s="68" t="str">
        <f>IF(AV36=1,Stats!$R51,"")</f>
        <v/>
      </c>
      <c r="BB36" s="68" t="str">
        <f>IF(AV36=1,Stats!$S51,"")</f>
        <v/>
      </c>
      <c r="BC36" s="68">
        <f t="shared" si="18"/>
        <v>0</v>
      </c>
      <c r="BD36">
        <f t="shared" si="19"/>
        <v>0</v>
      </c>
      <c r="BE36" s="68">
        <f>IF(BD36=0,MAX($BE$2:BE35)+1,0)</f>
        <v>34</v>
      </c>
      <c r="BF36" s="5" t="str">
        <f t="shared" si="20"/>
        <v>Pikes</v>
      </c>
      <c r="BG36" s="5" t="str">
        <f t="shared" si="21"/>
        <v>Pikes</v>
      </c>
      <c r="BH36" s="5"/>
      <c r="BI36">
        <f t="shared" si="148"/>
        <v>34</v>
      </c>
      <c r="BJ36" s="5" t="str">
        <f t="shared" si="149"/>
        <v>Pikes</v>
      </c>
      <c r="BK36" s="68">
        <f>COUNTIF(Builder!$K$9:$N$9,BJ36)</f>
        <v>0</v>
      </c>
      <c r="BL36" s="68" t="str">
        <f>IF(BK36=1,Stats!$N51,"")</f>
        <v/>
      </c>
      <c r="BM36" s="68" t="str">
        <f>IF(BK36=1,Stats!$O51,"")</f>
        <v/>
      </c>
      <c r="BN36" s="68" t="str">
        <f>IF(BK36=1,Stats!$P51,"")</f>
        <v/>
      </c>
      <c r="BO36" s="68" t="str">
        <f>IF(BK36=1,Stats!$Q51,"")</f>
        <v/>
      </c>
      <c r="BP36" s="68" t="str">
        <f>IF(BK36=1,Stats!$R51,"")</f>
        <v/>
      </c>
      <c r="BQ36" s="68" t="str">
        <f>IF(BK36=1,Stats!$S51,"")</f>
        <v/>
      </c>
      <c r="BR36" s="68">
        <f t="shared" si="150"/>
        <v>0</v>
      </c>
      <c r="BS36">
        <f t="shared" si="151"/>
        <v>0</v>
      </c>
      <c r="BT36" s="68">
        <f>IF(BS36=0,MAX(BT$2:BT35)+1,0)</f>
        <v>34</v>
      </c>
      <c r="BU36" s="5" t="str">
        <f t="shared" si="152"/>
        <v>Pikes</v>
      </c>
      <c r="BV36" s="5" t="str">
        <f t="shared" si="27"/>
        <v>Pikes</v>
      </c>
      <c r="BX36">
        <f t="shared" si="153"/>
        <v>34</v>
      </c>
      <c r="BY36" s="5" t="str">
        <f t="shared" si="154"/>
        <v>Pikes</v>
      </c>
      <c r="BZ36" s="68">
        <f>COUNTIF(Builder!$K$10:$N$10,BY36)</f>
        <v>0</v>
      </c>
      <c r="CA36" s="68" t="str">
        <f>IF(BZ36=1,Stats!$N51,"")</f>
        <v/>
      </c>
      <c r="CB36" s="68" t="str">
        <f>IF(BZ36=1,Stats!$O51,"")</f>
        <v/>
      </c>
      <c r="CC36" s="68" t="str">
        <f>IF(BZ36=1,Stats!$P51,"")</f>
        <v/>
      </c>
      <c r="CD36" s="68" t="str">
        <f>IF(BZ36=1,Stats!$Q51,"")</f>
        <v/>
      </c>
      <c r="CE36" s="68" t="str">
        <f>IF(BZ36=1,Stats!$R51,"")</f>
        <v/>
      </c>
      <c r="CF36" s="68" t="str">
        <f>IF(BZ36=1,Stats!$S51,"")</f>
        <v/>
      </c>
      <c r="CG36" s="68">
        <f t="shared" si="155"/>
        <v>0</v>
      </c>
      <c r="CH36">
        <f t="shared" si="156"/>
        <v>0</v>
      </c>
      <c r="CI36" s="68">
        <f>IF(CH36=0,MAX(CI$2:CI35)+1,0)</f>
        <v>34</v>
      </c>
      <c r="CJ36" s="5" t="str">
        <f t="shared" si="157"/>
        <v>Pikes</v>
      </c>
      <c r="CK36" s="5" t="str">
        <f t="shared" si="33"/>
        <v>Pikes</v>
      </c>
      <c r="CM36">
        <f t="shared" si="34"/>
        <v>34</v>
      </c>
      <c r="CN36" s="5" t="str">
        <f t="shared" si="35"/>
        <v>Pikes</v>
      </c>
      <c r="CO36" s="68">
        <f>COUNTIF(Builder!$K$11:$N$11,CN36)</f>
        <v>0</v>
      </c>
      <c r="CP36" s="68" t="str">
        <f>IF(CO36=1,Stats!$N51,"")</f>
        <v/>
      </c>
      <c r="CQ36" s="68" t="str">
        <f>IF(CO36=1,Stats!$O51,"")</f>
        <v/>
      </c>
      <c r="CR36" s="68" t="str">
        <f>IF(CO36=1,Stats!$P51,"")</f>
        <v/>
      </c>
      <c r="CS36" s="68" t="str">
        <f>IF(CO36=1,Stats!$Q51,"")</f>
        <v/>
      </c>
      <c r="CT36" s="68" t="str">
        <f>IF(CO36=1,Stats!$R51,"")</f>
        <v/>
      </c>
      <c r="CU36" s="68" t="str">
        <f>IF(CO36=1,Stats!$S51,"")</f>
        <v/>
      </c>
      <c r="CV36" s="68">
        <f t="shared" si="36"/>
        <v>0</v>
      </c>
      <c r="CW36">
        <f t="shared" si="37"/>
        <v>0</v>
      </c>
      <c r="CX36" s="68">
        <f>IF(CW36=0,MAX(CX$2:CX35)+1,0)</f>
        <v>34</v>
      </c>
      <c r="CY36" s="5" t="str">
        <f t="shared" si="38"/>
        <v>Pikes</v>
      </c>
      <c r="CZ36" s="5" t="str">
        <f t="shared" si="39"/>
        <v>Pikes</v>
      </c>
      <c r="DB36">
        <f t="shared" si="158"/>
        <v>34</v>
      </c>
      <c r="DC36" s="5" t="str">
        <f t="shared" si="159"/>
        <v>Pikes</v>
      </c>
      <c r="DD36" s="68">
        <f>COUNTIF(Builder!$K$12:$N$12,DC36)</f>
        <v>0</v>
      </c>
      <c r="DE36" s="68" t="str">
        <f>IF(DD36=1,Stats!$N51,"")</f>
        <v/>
      </c>
      <c r="DF36" s="68" t="str">
        <f>IF(DD36=1,Stats!$O51,"")</f>
        <v/>
      </c>
      <c r="DG36" s="68" t="str">
        <f>IF(DD36=1,Stats!$P51,"")</f>
        <v/>
      </c>
      <c r="DH36" s="68" t="str">
        <f>IF(DD36=1,Stats!$Q51,"")</f>
        <v/>
      </c>
      <c r="DI36" s="68" t="str">
        <f>IF(DD36=1,Stats!$R51,"")</f>
        <v/>
      </c>
      <c r="DJ36" s="68" t="str">
        <f>IF(DD36=1,Stats!$S51,"")</f>
        <v/>
      </c>
      <c r="DK36" s="68">
        <f t="shared" si="160"/>
        <v>0</v>
      </c>
      <c r="DL36">
        <f t="shared" si="161"/>
        <v>0</v>
      </c>
      <c r="DM36" s="68">
        <f>IF(DL36=0,MAX(DM$2:DM35)+1,0)</f>
        <v>34</v>
      </c>
      <c r="DN36" s="5" t="str">
        <f t="shared" si="162"/>
        <v>Pikes</v>
      </c>
      <c r="DO36" s="5" t="str">
        <f t="shared" si="45"/>
        <v>Pikes</v>
      </c>
      <c r="DQ36">
        <f t="shared" si="163"/>
        <v>34</v>
      </c>
      <c r="DR36" s="5" t="str">
        <f t="shared" si="164"/>
        <v>Pikes</v>
      </c>
      <c r="DS36" s="68">
        <f>COUNTIF(Builder!$K$13:$N$13,DR36)</f>
        <v>0</v>
      </c>
      <c r="DT36" s="68" t="str">
        <f>IF(DS36=1,Stats!$N51,"")</f>
        <v/>
      </c>
      <c r="DU36" s="68" t="str">
        <f>IF(DS36=1,Stats!$O51,"")</f>
        <v/>
      </c>
      <c r="DV36" s="68" t="str">
        <f>IF(DS36=1,Stats!$P51,"")</f>
        <v/>
      </c>
      <c r="DW36" s="68" t="str">
        <f>IF(DS36=1,Stats!$Q51,"")</f>
        <v/>
      </c>
      <c r="DX36" s="68" t="str">
        <f>IF(DS36=1,Stats!$R51,"")</f>
        <v/>
      </c>
      <c r="DY36" s="68" t="str">
        <f>IF(DS36=1,Stats!$S51,"")</f>
        <v/>
      </c>
      <c r="DZ36" s="68">
        <f t="shared" si="165"/>
        <v>0</v>
      </c>
      <c r="EA36">
        <f t="shared" si="166"/>
        <v>0</v>
      </c>
      <c r="EB36" s="68">
        <f>IF(EA36=0,MAX(EB$2:EB35)+1,0)</f>
        <v>34</v>
      </c>
      <c r="EC36" s="5" t="str">
        <f t="shared" si="167"/>
        <v>Pikes</v>
      </c>
      <c r="ED36" s="5" t="str">
        <f t="shared" si="51"/>
        <v>Pikes</v>
      </c>
      <c r="EF36">
        <f t="shared" si="52"/>
        <v>34</v>
      </c>
      <c r="EG36" s="5" t="str">
        <f t="shared" si="53"/>
        <v>Pikes</v>
      </c>
      <c r="EH36" s="68">
        <f>COUNTIF(Builder!$K$14:$N$14,EG36)</f>
        <v>0</v>
      </c>
      <c r="EI36" s="68" t="str">
        <f>IF(EH36=1,Stats!$N51,"")</f>
        <v/>
      </c>
      <c r="EJ36" s="68" t="str">
        <f>IF(EH36=1,Stats!$O51,"")</f>
        <v/>
      </c>
      <c r="EK36" s="68" t="str">
        <f>IF(EH36=1,Stats!$P51,"")</f>
        <v/>
      </c>
      <c r="EL36" s="68" t="str">
        <f>IF(EH36=1,Stats!$Q51,"")</f>
        <v/>
      </c>
      <c r="EM36" s="68" t="str">
        <f>IF(EH36=1,Stats!$R51,"")</f>
        <v/>
      </c>
      <c r="EN36" s="68" t="str">
        <f>IF(EH36=1,Stats!$S51,"")</f>
        <v/>
      </c>
      <c r="EO36" s="68">
        <f t="shared" si="54"/>
        <v>0</v>
      </c>
      <c r="EP36">
        <f t="shared" si="55"/>
        <v>0</v>
      </c>
      <c r="EQ36" s="68">
        <f>IF(EP36=0,MAX(EQ$2:EQ35)+1,0)</f>
        <v>34</v>
      </c>
      <c r="ER36" s="5" t="str">
        <f t="shared" si="56"/>
        <v>Pikes</v>
      </c>
      <c r="ES36" s="5" t="str">
        <f t="shared" si="57"/>
        <v>Pikes</v>
      </c>
      <c r="EU36">
        <f t="shared" si="58"/>
        <v>34</v>
      </c>
      <c r="EV36" s="5" t="str">
        <f t="shared" si="59"/>
        <v>Pikes</v>
      </c>
      <c r="EW36" s="68">
        <f>COUNTIF(Builder!$K$15:$N$15,EV36)</f>
        <v>0</v>
      </c>
      <c r="EX36" s="68" t="str">
        <f>IF(EW36=1,Stats!$N51,"")</f>
        <v/>
      </c>
      <c r="EY36" s="68" t="str">
        <f>IF(EW36=1,Stats!$O51,"")</f>
        <v/>
      </c>
      <c r="EZ36" s="68" t="str">
        <f>IF(EW36=1,Stats!$P51,"")</f>
        <v/>
      </c>
      <c r="FA36" s="68" t="str">
        <f>IF(EW36=1,Stats!$Q51,"")</f>
        <v/>
      </c>
      <c r="FB36" s="68" t="str">
        <f>IF(EW36=1,Stats!$R51,"")</f>
        <v/>
      </c>
      <c r="FC36" s="68" t="str">
        <f>IF(EW36=1,Stats!$S51,"")</f>
        <v/>
      </c>
      <c r="FD36" s="68">
        <f t="shared" si="60"/>
        <v>0</v>
      </c>
      <c r="FE36">
        <f t="shared" si="61"/>
        <v>0</v>
      </c>
      <c r="FF36" s="68">
        <f>IF(FE36=0,MAX(FF$2:FF35)+1,0)</f>
        <v>34</v>
      </c>
      <c r="FG36" s="5" t="str">
        <f t="shared" si="62"/>
        <v>Pikes</v>
      </c>
      <c r="FH36" s="5" t="str">
        <f t="shared" si="63"/>
        <v>Pikes</v>
      </c>
      <c r="FJ36">
        <f t="shared" si="64"/>
        <v>34</v>
      </c>
      <c r="FK36" s="5" t="str">
        <f t="shared" si="65"/>
        <v>Pikes</v>
      </c>
      <c r="FL36" s="68">
        <f>COUNTIF(Builder!$K$16:$N$16,FK36)</f>
        <v>0</v>
      </c>
      <c r="FM36" s="68" t="str">
        <f>IF(FL36=1,Stats!$N51,"")</f>
        <v/>
      </c>
      <c r="FN36" s="68" t="str">
        <f>IF(FL36=1,Stats!$O51,"")</f>
        <v/>
      </c>
      <c r="FO36" s="68" t="str">
        <f>IF(FL36=1,Stats!$P51,"")</f>
        <v/>
      </c>
      <c r="FP36" s="68" t="str">
        <f>IF(FL36=1,Stats!$Q51,"")</f>
        <v/>
      </c>
      <c r="FQ36" s="68" t="str">
        <f>IF(FL36=1,Stats!$R51,"")</f>
        <v/>
      </c>
      <c r="FR36" s="68" t="str">
        <f>IF(FL36=1,Stats!$S51,"")</f>
        <v/>
      </c>
      <c r="FS36" s="68">
        <f t="shared" si="66"/>
        <v>0</v>
      </c>
      <c r="FT36">
        <f t="shared" si="67"/>
        <v>0</v>
      </c>
      <c r="FU36" s="68">
        <f>IF(FT36=0,MAX(FU$2:FU35)+1,0)</f>
        <v>34</v>
      </c>
      <c r="FV36" s="5" t="str">
        <f t="shared" si="68"/>
        <v>Pikes</v>
      </c>
      <c r="FW36" s="5" t="str">
        <f t="shared" si="69"/>
        <v>Pikes</v>
      </c>
      <c r="FY36">
        <f t="shared" si="168"/>
        <v>34</v>
      </c>
      <c r="FZ36" s="5" t="str">
        <f t="shared" si="169"/>
        <v>Pikes</v>
      </c>
      <c r="GA36" s="68">
        <f>COUNTIF(Builder!$K$17:$N$17,FZ36)</f>
        <v>0</v>
      </c>
      <c r="GB36" s="68" t="str">
        <f>IF(GA36=1,Stats!$N51,"")</f>
        <v/>
      </c>
      <c r="GC36" s="68" t="str">
        <f>IF(GA36=1,Stats!$O51,"")</f>
        <v/>
      </c>
      <c r="GD36" s="68" t="str">
        <f>IF(GA36=1,Stats!$P51,"")</f>
        <v/>
      </c>
      <c r="GE36" s="68" t="str">
        <f>IF(GA36=1,Stats!$Q51,"")</f>
        <v/>
      </c>
      <c r="GF36" s="68" t="str">
        <f>IF(GA36=1,Stats!$R51,"")</f>
        <v/>
      </c>
      <c r="GG36" s="68" t="str">
        <f>IF(GA36=1,Stats!$S51,"")</f>
        <v/>
      </c>
      <c r="GH36" s="68">
        <f t="shared" si="170"/>
        <v>0</v>
      </c>
      <c r="GI36">
        <f t="shared" si="171"/>
        <v>0</v>
      </c>
      <c r="GJ36" s="68">
        <f>IF(GI36=0,MAX(GJ$2:GJ35)+1,0)</f>
        <v>34</v>
      </c>
      <c r="GK36" s="5" t="str">
        <f t="shared" si="172"/>
        <v>Pikes</v>
      </c>
      <c r="GL36" s="5" t="str">
        <f t="shared" si="75"/>
        <v>Pikes</v>
      </c>
      <c r="GN36">
        <f t="shared" si="76"/>
        <v>34</v>
      </c>
      <c r="GO36" s="5" t="str">
        <f t="shared" si="77"/>
        <v>Pikes</v>
      </c>
      <c r="GP36" s="68">
        <f>COUNTIF(Builder!$K$18:$N$18,GO36)</f>
        <v>0</v>
      </c>
      <c r="GQ36" s="68" t="str">
        <f>IF(GP36=1,Stats!$N51,"")</f>
        <v/>
      </c>
      <c r="GR36" s="68" t="str">
        <f>IF(GP36=1,Stats!$O51,"")</f>
        <v/>
      </c>
      <c r="GS36" s="68" t="str">
        <f>IF(GP36=1,Stats!$P51,"")</f>
        <v/>
      </c>
      <c r="GT36" s="68" t="str">
        <f>IF(GP36=1,Stats!$Q51,"")</f>
        <v/>
      </c>
      <c r="GU36" s="68" t="str">
        <f>IF(GP36=1,Stats!$R51,"")</f>
        <v/>
      </c>
      <c r="GV36" s="68" t="str">
        <f>IF(GP36=1,Stats!$S51,"")</f>
        <v/>
      </c>
      <c r="GW36" s="68">
        <f t="shared" si="78"/>
        <v>0</v>
      </c>
      <c r="GX36">
        <f t="shared" si="79"/>
        <v>0</v>
      </c>
      <c r="GY36" s="68">
        <f>IF(GX36=0,MAX(GY$2:GY35)+1,0)</f>
        <v>34</v>
      </c>
      <c r="GZ36" s="5" t="str">
        <f t="shared" si="80"/>
        <v>Pikes</v>
      </c>
      <c r="HA36" s="5" t="str">
        <f t="shared" si="81"/>
        <v>Pikes</v>
      </c>
      <c r="HC36">
        <f t="shared" si="82"/>
        <v>34</v>
      </c>
      <c r="HD36" s="5" t="str">
        <f t="shared" si="83"/>
        <v>Pikes</v>
      </c>
      <c r="HE36" s="68">
        <f>COUNTIF(Builder!$K$19:$N$19,HD36)</f>
        <v>0</v>
      </c>
      <c r="HF36" s="68" t="str">
        <f>IF(HE36=1,Stats!$N51,"")</f>
        <v/>
      </c>
      <c r="HG36" s="68" t="str">
        <f>IF(HE36=1,Stats!$O51,"")</f>
        <v/>
      </c>
      <c r="HH36" s="68" t="str">
        <f>IF(HE36=1,Stats!$P51,"")</f>
        <v/>
      </c>
      <c r="HI36" s="68" t="str">
        <f>IF(HE36=1,Stats!$Q51,"")</f>
        <v/>
      </c>
      <c r="HJ36" s="68" t="str">
        <f>IF(HE36=1,Stats!$R51,"")</f>
        <v/>
      </c>
      <c r="HK36" s="68" t="str">
        <f>IF(HE36=1,Stats!$S51,"")</f>
        <v/>
      </c>
      <c r="HL36" s="68">
        <f t="shared" si="84"/>
        <v>0</v>
      </c>
      <c r="HM36">
        <f t="shared" si="85"/>
        <v>0</v>
      </c>
      <c r="HN36" s="68">
        <f>IF(HM36=0,MAX(HN$2:HN35)+1,0)</f>
        <v>34</v>
      </c>
      <c r="HO36" s="5" t="str">
        <f t="shared" si="86"/>
        <v>Pikes</v>
      </c>
      <c r="HP36" s="5" t="str">
        <f t="shared" si="87"/>
        <v>Pikes</v>
      </c>
      <c r="HR36">
        <f t="shared" si="88"/>
        <v>34</v>
      </c>
      <c r="HS36" s="5" t="str">
        <f t="shared" si="89"/>
        <v>Pikes</v>
      </c>
      <c r="HT36" s="68">
        <f>COUNTIF(Builder!$K$20:$N$20,HS36)</f>
        <v>0</v>
      </c>
      <c r="HU36" s="68" t="str">
        <f>IF(HT36=1,Stats!$N51,"")</f>
        <v/>
      </c>
      <c r="HV36" s="68" t="str">
        <f>IF(HT36=1,Stats!$O51,"")</f>
        <v/>
      </c>
      <c r="HW36" s="68" t="str">
        <f>IF(HT36=1,Stats!$P51,"")</f>
        <v/>
      </c>
      <c r="HX36" s="68" t="str">
        <f>IF(HT36=1,Stats!$Q51,"")</f>
        <v/>
      </c>
      <c r="HY36" s="68" t="str">
        <f>IF(HT36=1,Stats!$R51,"")</f>
        <v/>
      </c>
      <c r="HZ36" s="68" t="str">
        <f>IF(HT36=1,Stats!$S51,"")</f>
        <v/>
      </c>
      <c r="IA36" s="68">
        <f t="shared" si="90"/>
        <v>0</v>
      </c>
      <c r="IB36">
        <f t="shared" si="91"/>
        <v>0</v>
      </c>
      <c r="IC36" s="68">
        <f>IF(IB36=0,MAX(IC$2:IC35)+1,0)</f>
        <v>34</v>
      </c>
      <c r="ID36" s="5" t="str">
        <f t="shared" si="92"/>
        <v>Pikes</v>
      </c>
      <c r="IE36" s="5" t="str">
        <f t="shared" si="93"/>
        <v>Pikes</v>
      </c>
      <c r="IG36">
        <f t="shared" si="94"/>
        <v>34</v>
      </c>
      <c r="IH36" s="5" t="str">
        <f t="shared" si="95"/>
        <v>Pikes</v>
      </c>
      <c r="II36" s="68">
        <f>COUNTIF(Builder!$K$21:$N$21,IH36)</f>
        <v>0</v>
      </c>
      <c r="IJ36" s="68" t="str">
        <f>IF(II36=1,Stats!$N51,"")</f>
        <v/>
      </c>
      <c r="IK36" s="68" t="str">
        <f>IF(II36=1,Stats!$O51,"")</f>
        <v/>
      </c>
      <c r="IL36" s="68" t="str">
        <f>IF(II36=1,Stats!$P51,"")</f>
        <v/>
      </c>
      <c r="IM36" s="68" t="str">
        <f>IF(II36=1,Stats!$Q51,"")</f>
        <v/>
      </c>
      <c r="IN36" s="68" t="str">
        <f>IF(II36=1,Stats!$R51,"")</f>
        <v/>
      </c>
      <c r="IO36" s="68" t="str">
        <f>IF(II36=1,Stats!$S51,"")</f>
        <v/>
      </c>
      <c r="IP36" s="68">
        <f t="shared" si="96"/>
        <v>0</v>
      </c>
      <c r="IQ36">
        <f t="shared" si="97"/>
        <v>0</v>
      </c>
      <c r="IR36" s="68">
        <f>IF(IQ36=0,MAX(IR$2:IR35)+1,0)</f>
        <v>34</v>
      </c>
      <c r="IS36" s="5" t="str">
        <f t="shared" si="98"/>
        <v>Pikes</v>
      </c>
      <c r="IT36" s="5" t="str">
        <f t="shared" si="99"/>
        <v>Pikes</v>
      </c>
      <c r="IV36">
        <f t="shared" si="100"/>
        <v>34</v>
      </c>
      <c r="IW36" s="5" t="str">
        <f t="shared" si="101"/>
        <v>Pikes</v>
      </c>
      <c r="IX36" s="68">
        <f>COUNTIF(Builder!$K$22:$N$22,IW36)</f>
        <v>0</v>
      </c>
      <c r="IY36" s="68" t="str">
        <f>IF(IX36=1,Stats!$N51,"")</f>
        <v/>
      </c>
      <c r="IZ36" s="68" t="str">
        <f>IF(IX36=1,Stats!$O51,"")</f>
        <v/>
      </c>
      <c r="JA36" s="68" t="str">
        <f>IF(IX36=1,Stats!$P51,"")</f>
        <v/>
      </c>
      <c r="JB36" s="68" t="str">
        <f>IF(IX36=1,Stats!$Q51,"")</f>
        <v/>
      </c>
      <c r="JC36" s="68" t="str">
        <f>IF(IX36=1,Stats!$R51,"")</f>
        <v/>
      </c>
      <c r="JD36" s="68" t="str">
        <f>IF(IX36=1,Stats!$S51,"")</f>
        <v/>
      </c>
      <c r="JE36" s="68">
        <f t="shared" si="102"/>
        <v>0</v>
      </c>
      <c r="JF36">
        <f t="shared" si="103"/>
        <v>0</v>
      </c>
      <c r="JG36" s="68">
        <f>IF(JF36=0,MAX(JG$2:JG35)+1,0)</f>
        <v>34</v>
      </c>
      <c r="JH36" s="5" t="str">
        <f t="shared" si="104"/>
        <v>Pikes</v>
      </c>
      <c r="JI36" s="5" t="str">
        <f t="shared" si="105"/>
        <v>Pikes</v>
      </c>
      <c r="JK36">
        <f t="shared" si="106"/>
        <v>34</v>
      </c>
      <c r="JL36" s="5" t="str">
        <f t="shared" si="107"/>
        <v>Pikes</v>
      </c>
      <c r="JM36" s="68">
        <f>COUNTIF(Builder!$K$23:$N$23,JL36)</f>
        <v>0</v>
      </c>
      <c r="JN36" s="68" t="str">
        <f>IF(JM36=1,Stats!$N51,"")</f>
        <v/>
      </c>
      <c r="JO36" s="68" t="str">
        <f>IF(JM36=1,Stats!$O51,"")</f>
        <v/>
      </c>
      <c r="JP36" s="68" t="str">
        <f>IF(JM36=1,Stats!$P51,"")</f>
        <v/>
      </c>
      <c r="JQ36" s="68" t="str">
        <f>IF(JM36=1,Stats!$Q51,"")</f>
        <v/>
      </c>
      <c r="JR36" s="68" t="str">
        <f>IF(JM36=1,Stats!$R51,"")</f>
        <v/>
      </c>
      <c r="JS36" s="68" t="str">
        <f>IF(JM36=1,Stats!$S51,"")</f>
        <v/>
      </c>
      <c r="JT36" s="68">
        <f t="shared" si="108"/>
        <v>0</v>
      </c>
      <c r="JU36">
        <f t="shared" si="109"/>
        <v>0</v>
      </c>
      <c r="JV36" s="68">
        <f>IF(JU36=0,MAX(JV$2:JV35)+1,0)</f>
        <v>34</v>
      </c>
      <c r="JW36" s="5" t="str">
        <f t="shared" si="110"/>
        <v>Pikes</v>
      </c>
      <c r="JX36" s="5" t="str">
        <f t="shared" si="111"/>
        <v>Pikes</v>
      </c>
      <c r="JZ36">
        <f t="shared" si="112"/>
        <v>34</v>
      </c>
      <c r="KA36" s="5" t="str">
        <f t="shared" si="113"/>
        <v>Pikes</v>
      </c>
      <c r="KB36" s="68">
        <f>COUNTIF(Builder!$K$24:$N$24,KA36)</f>
        <v>0</v>
      </c>
      <c r="KC36" s="68" t="str">
        <f>IF(KB36=1,Stats!$N51,"")</f>
        <v/>
      </c>
      <c r="KD36" s="68" t="str">
        <f>IF(KB36=1,Stats!$O51,"")</f>
        <v/>
      </c>
      <c r="KE36" s="68" t="str">
        <f>IF(KB36=1,Stats!$P51,"")</f>
        <v/>
      </c>
      <c r="KF36" s="68" t="str">
        <f>IF(KB36=1,Stats!$Q51,"")</f>
        <v/>
      </c>
      <c r="KG36" s="68" t="str">
        <f>IF(KB36=1,Stats!$R51,"")</f>
        <v/>
      </c>
      <c r="KH36" s="68" t="str">
        <f>IF(KB36=1,Stats!$S51,"")</f>
        <v/>
      </c>
      <c r="KI36" s="68">
        <f t="shared" si="114"/>
        <v>0</v>
      </c>
      <c r="KJ36">
        <f t="shared" si="115"/>
        <v>0</v>
      </c>
      <c r="KK36" s="68">
        <f>IF(KJ36=0,MAX(KK$2:KK35)+1,0)</f>
        <v>34</v>
      </c>
      <c r="KL36" s="5" t="str">
        <f t="shared" si="116"/>
        <v>Pikes</v>
      </c>
      <c r="KM36" s="5" t="str">
        <f t="shared" si="117"/>
        <v>Pikes</v>
      </c>
      <c r="KO36">
        <f t="shared" si="118"/>
        <v>34</v>
      </c>
      <c r="KP36" s="5" t="str">
        <f t="shared" si="119"/>
        <v>Pikes</v>
      </c>
      <c r="KQ36" s="68">
        <f>COUNTIF(Builder!$K$25:$N$25,KP36)</f>
        <v>0</v>
      </c>
      <c r="KR36" s="68" t="str">
        <f>IF(KQ36=1,Stats!$N51,"")</f>
        <v/>
      </c>
      <c r="KS36" s="68" t="str">
        <f>IF(KQ36=1,Stats!$O51,"")</f>
        <v/>
      </c>
      <c r="KT36" s="68" t="str">
        <f>IF(KQ36=1,Stats!$P51,"")</f>
        <v/>
      </c>
      <c r="KU36" s="68" t="str">
        <f>IF(KQ36=1,Stats!$Q51,"")</f>
        <v/>
      </c>
      <c r="KV36" s="68" t="str">
        <f>IF(KQ36=1,Stats!$R51,"")</f>
        <v/>
      </c>
      <c r="KW36" s="68" t="str">
        <f>IF(KQ36=1,Stats!$S51,"")</f>
        <v/>
      </c>
      <c r="KX36" s="68">
        <f t="shared" si="120"/>
        <v>0</v>
      </c>
      <c r="KY36">
        <f t="shared" si="121"/>
        <v>0</v>
      </c>
      <c r="KZ36" s="68">
        <f>IF(KY36=0,MAX(KZ$2:KZ35)+1,0)</f>
        <v>34</v>
      </c>
      <c r="LA36" s="5" t="str">
        <f t="shared" si="122"/>
        <v>Pikes</v>
      </c>
      <c r="LB36" s="5" t="str">
        <f t="shared" si="123"/>
        <v>Pikes</v>
      </c>
      <c r="LD36">
        <f t="shared" si="124"/>
        <v>34</v>
      </c>
      <c r="LE36" s="5" t="str">
        <f t="shared" si="125"/>
        <v>Pikes</v>
      </c>
      <c r="LF36" s="68">
        <f>COUNTIF(Builder!$K$26:$N$26,LE36)</f>
        <v>0</v>
      </c>
      <c r="LG36" s="68" t="str">
        <f>IF(LF36=1,Stats!$N51,"")</f>
        <v/>
      </c>
      <c r="LH36" s="68" t="str">
        <f>IF(LF36=1,Stats!$O51,"")</f>
        <v/>
      </c>
      <c r="LI36" s="68" t="str">
        <f>IF(LF36=1,Stats!$P51,"")</f>
        <v/>
      </c>
      <c r="LJ36" s="68" t="str">
        <f>IF(LF36=1,Stats!$Q51,"")</f>
        <v/>
      </c>
      <c r="LK36" s="68" t="str">
        <f>IF(LF36=1,Stats!$R51,"")</f>
        <v/>
      </c>
      <c r="LL36" s="68" t="str">
        <f>IF(LF36=1,Stats!$S51,"")</f>
        <v/>
      </c>
      <c r="LM36" s="68">
        <f t="shared" si="126"/>
        <v>0</v>
      </c>
      <c r="LN36">
        <f t="shared" si="127"/>
        <v>0</v>
      </c>
      <c r="LO36" s="68">
        <f>IF(LN36=0,MAX(LO$2:LO35)+1,0)</f>
        <v>34</v>
      </c>
      <c r="LP36" s="5" t="str">
        <f t="shared" si="128"/>
        <v>Pikes</v>
      </c>
      <c r="LQ36" s="5" t="str">
        <f t="shared" si="129"/>
        <v>Pikes</v>
      </c>
      <c r="LS36">
        <f t="shared" si="130"/>
        <v>34</v>
      </c>
      <c r="LT36" s="5" t="str">
        <f t="shared" si="131"/>
        <v>Pikes</v>
      </c>
      <c r="LU36" s="68">
        <f>COUNTIF(Builder!$K$27:$N$27,LT36)</f>
        <v>0</v>
      </c>
      <c r="LV36" s="68" t="str">
        <f>IF(LU36=1,Stats!$N51,"")</f>
        <v/>
      </c>
      <c r="LW36" s="68" t="str">
        <f>IF(LU36=1,Stats!$O51,"")</f>
        <v/>
      </c>
      <c r="LX36" s="68" t="str">
        <f>IF(LU36=1,Stats!$P51,"")</f>
        <v/>
      </c>
      <c r="LY36" s="68" t="str">
        <f>IF(LU36=1,Stats!$Q51,"")</f>
        <v/>
      </c>
      <c r="LZ36" s="68" t="str">
        <f>IF(LU36=1,Stats!$R51,"")</f>
        <v/>
      </c>
      <c r="MA36" s="68" t="str">
        <f>IF(LU36=1,Stats!$S51,"")</f>
        <v/>
      </c>
      <c r="MB36" s="68">
        <f t="shared" si="132"/>
        <v>0</v>
      </c>
      <c r="MC36">
        <f t="shared" si="133"/>
        <v>0</v>
      </c>
      <c r="MD36" s="68">
        <f>IF(MC36=0,MAX(MD$2:MD35)+1,0)</f>
        <v>34</v>
      </c>
      <c r="ME36" s="5" t="str">
        <f t="shared" si="134"/>
        <v>Pikes</v>
      </c>
      <c r="MF36" s="5" t="str">
        <f t="shared" si="135"/>
        <v>Pikes</v>
      </c>
      <c r="MH36">
        <f t="shared" si="136"/>
        <v>34</v>
      </c>
      <c r="MI36" s="5" t="str">
        <f t="shared" si="137"/>
        <v>Pikes</v>
      </c>
      <c r="MJ36" s="68">
        <f>COUNTIF(Builder!$K$28:$N$28,MI36)</f>
        <v>0</v>
      </c>
      <c r="MK36" s="68" t="str">
        <f>IF(MJ36=1,Stats!$N51,"")</f>
        <v/>
      </c>
      <c r="ML36" s="68" t="str">
        <f>IF(MJ36=1,Stats!$O51,"")</f>
        <v/>
      </c>
      <c r="MM36" s="68" t="str">
        <f>IF(MJ36=1,Stats!$P51,"")</f>
        <v/>
      </c>
      <c r="MN36" s="68" t="str">
        <f>IF(MJ36=1,Stats!$Q51,"")</f>
        <v/>
      </c>
      <c r="MO36" s="68" t="str">
        <f>IF(MJ36=1,Stats!$R51,"")</f>
        <v/>
      </c>
      <c r="MP36" s="68" t="str">
        <f>IF(MJ36=1,Stats!$S51,"")</f>
        <v/>
      </c>
      <c r="MQ36" s="68">
        <f t="shared" si="138"/>
        <v>0</v>
      </c>
      <c r="MR36">
        <f t="shared" si="139"/>
        <v>0</v>
      </c>
      <c r="MS36" s="68">
        <f>IF(MR36=0,MAX(MS$2:MS35)+1,0)</f>
        <v>34</v>
      </c>
      <c r="MT36" s="5" t="str">
        <f t="shared" si="140"/>
        <v>Pikes</v>
      </c>
      <c r="MU36" s="5" t="str">
        <f t="shared" si="141"/>
        <v>Pikes</v>
      </c>
      <c r="MW36">
        <f t="shared" si="142"/>
        <v>34</v>
      </c>
      <c r="MX36" s="5" t="str">
        <f t="shared" si="143"/>
        <v>Pikes</v>
      </c>
      <c r="MY36" s="68">
        <f>COUNTIF(Builder!$K$29:$N$29,MX36)</f>
        <v>0</v>
      </c>
      <c r="MZ36" s="68" t="str">
        <f>IF(MY36=1,Stats!$N51,"")</f>
        <v/>
      </c>
      <c r="NA36" s="68" t="str">
        <f>IF(MY36=1,Stats!$O51,"")</f>
        <v/>
      </c>
      <c r="NB36" s="68" t="str">
        <f>IF(MY36=1,Stats!$P51,"")</f>
        <v/>
      </c>
      <c r="NC36" s="68" t="str">
        <f>IF(MY36=1,Stats!$Q51,"")</f>
        <v/>
      </c>
      <c r="ND36" s="68" t="str">
        <f>IF(MY36=1,Stats!$R51,"")</f>
        <v/>
      </c>
      <c r="NE36" s="68" t="str">
        <f>IF(MY36=1,Stats!$S51,"")</f>
        <v/>
      </c>
      <c r="NF36" s="68">
        <f t="shared" si="144"/>
        <v>0</v>
      </c>
      <c r="NG36">
        <f t="shared" si="145"/>
        <v>0</v>
      </c>
      <c r="NH36" s="68">
        <f>IF(NG36=0,MAX(NH$2:NH35)+1,0)</f>
        <v>34</v>
      </c>
      <c r="NI36" s="5" t="str">
        <f t="shared" si="146"/>
        <v>Pikes</v>
      </c>
      <c r="NJ36" s="5" t="str">
        <f t="shared" si="147"/>
        <v>Pikes</v>
      </c>
    </row>
    <row r="37" spans="1:374" ht="15" x14ac:dyDescent="0.3">
      <c r="A37">
        <v>35</v>
      </c>
      <c r="B37" s="5" t="s">
        <v>38</v>
      </c>
      <c r="C37" s="68">
        <f>COUNTIF(Builder!$K$5:$N$5,B37)</f>
        <v>0</v>
      </c>
      <c r="D37" s="68" t="str">
        <f>IF(C37=1,Stats!$N52,"")</f>
        <v/>
      </c>
      <c r="E37" s="68" t="str">
        <f>IF(C37=1,Stats!$O52,"")</f>
        <v/>
      </c>
      <c r="F37" s="68" t="str">
        <f>IF(C37=1,Stats!$P52,"")</f>
        <v/>
      </c>
      <c r="G37" s="68" t="str">
        <f>IF(C37=1,Stats!$Q52,"")</f>
        <v/>
      </c>
      <c r="H37" s="68" t="str">
        <f>IF(C37=1,Stats!$R52,"")</f>
        <v/>
      </c>
      <c r="I37" s="68" t="str">
        <f>IF(C37=1,Stats!$S52,"")</f>
        <v/>
      </c>
      <c r="J37" s="68">
        <f t="shared" si="0"/>
        <v>0</v>
      </c>
      <c r="K37">
        <f t="shared" si="1"/>
        <v>0</v>
      </c>
      <c r="L37" s="68">
        <f>IF(K37=0,MAX($L$2:L36)+1,0)</f>
        <v>35</v>
      </c>
      <c r="M37" s="5" t="str">
        <f t="shared" si="2"/>
        <v>Poison</v>
      </c>
      <c r="N37" s="5" t="str">
        <f t="shared" si="3"/>
        <v>Poison</v>
      </c>
      <c r="O37" s="5"/>
      <c r="P37">
        <f t="shared" si="4"/>
        <v>35</v>
      </c>
      <c r="Q37" s="5" t="str">
        <f t="shared" si="5"/>
        <v>Poison</v>
      </c>
      <c r="R37" s="68">
        <f>COUNTIF(Builder!$K$6:$N$6,Q37)</f>
        <v>0</v>
      </c>
      <c r="S37" s="68" t="str">
        <f>IF(R37=1,Stats!$N52,"")</f>
        <v/>
      </c>
      <c r="T37" s="68" t="str">
        <f>IF(R37=1,Stats!$O52,"")</f>
        <v/>
      </c>
      <c r="U37" s="68" t="str">
        <f>IF(R37=1,Stats!$P52,"")</f>
        <v/>
      </c>
      <c r="V37" s="68" t="str">
        <f>IF(R37=1,Stats!$Q52,"")</f>
        <v/>
      </c>
      <c r="W37" s="68" t="str">
        <f>IF(R37=1,Stats!$R52,"")</f>
        <v/>
      </c>
      <c r="X37" s="68" t="str">
        <f>IF(R37=1,Stats!$S52,"")</f>
        <v/>
      </c>
      <c r="Y37" s="68">
        <f t="shared" si="6"/>
        <v>0</v>
      </c>
      <c r="Z37">
        <f t="shared" si="7"/>
        <v>0</v>
      </c>
      <c r="AA37" s="68">
        <f>IF(Z37=0,MAX($AA$2:AA36)+1,0)</f>
        <v>35</v>
      </c>
      <c r="AB37" s="5" t="str">
        <f t="shared" si="8"/>
        <v>Poison</v>
      </c>
      <c r="AC37" s="5" t="str">
        <f t="shared" si="9"/>
        <v>Poison</v>
      </c>
      <c r="AD37" s="5"/>
      <c r="AE37">
        <f t="shared" si="10"/>
        <v>35</v>
      </c>
      <c r="AF37" s="5" t="str">
        <f t="shared" si="11"/>
        <v>Poison</v>
      </c>
      <c r="AG37" s="68">
        <f>COUNTIF(Builder!$K$7:$N$7,AF37)</f>
        <v>0</v>
      </c>
      <c r="AH37" s="68" t="str">
        <f>IF(AG37=1,Stats!$N52,"")</f>
        <v/>
      </c>
      <c r="AI37" s="68" t="str">
        <f>IF(AG37=1,Stats!$O52,"")</f>
        <v/>
      </c>
      <c r="AJ37" s="68" t="str">
        <f>IF(AG37=1,Stats!$P52,"")</f>
        <v/>
      </c>
      <c r="AK37" s="68" t="str">
        <f>IF(AG37=1,Stats!$Q52,"")</f>
        <v/>
      </c>
      <c r="AL37" s="68" t="str">
        <f>IF(AG37=1,Stats!$R52,"")</f>
        <v/>
      </c>
      <c r="AM37" s="68" t="str">
        <f>IF(AG37=1,Stats!$S52,"")</f>
        <v/>
      </c>
      <c r="AN37" s="68">
        <f t="shared" si="12"/>
        <v>0</v>
      </c>
      <c r="AO37">
        <f t="shared" si="13"/>
        <v>0</v>
      </c>
      <c r="AP37" s="68">
        <f>IF(AO37=0,MAX($AP$2:AP36)+1,0)</f>
        <v>35</v>
      </c>
      <c r="AQ37" s="5" t="str">
        <f t="shared" si="14"/>
        <v>Poison</v>
      </c>
      <c r="AR37" s="5" t="str">
        <f t="shared" si="15"/>
        <v>Poison</v>
      </c>
      <c r="AS37" s="5"/>
      <c r="AT37">
        <f t="shared" si="16"/>
        <v>35</v>
      </c>
      <c r="AU37" s="5" t="str">
        <f t="shared" si="17"/>
        <v>Poison</v>
      </c>
      <c r="AV37" s="68">
        <f>COUNTIF(Builder!$K$8:$N$8,AU37)</f>
        <v>0</v>
      </c>
      <c r="AW37" s="68" t="str">
        <f>IF(AV37=1,Stats!$N52,"")</f>
        <v/>
      </c>
      <c r="AX37" s="68" t="str">
        <f>IF(AV37=1,Stats!$O52,"")</f>
        <v/>
      </c>
      <c r="AY37" s="68" t="str">
        <f>IF(AV37=1,Stats!$P52,"")</f>
        <v/>
      </c>
      <c r="AZ37" s="68" t="str">
        <f>IF(AV37=1,Stats!$Q52,"")</f>
        <v/>
      </c>
      <c r="BA37" s="68" t="str">
        <f>IF(AV37=1,Stats!$R52,"")</f>
        <v/>
      </c>
      <c r="BB37" s="68" t="str">
        <f>IF(AV37=1,Stats!$S52,"")</f>
        <v/>
      </c>
      <c r="BC37" s="68">
        <f t="shared" si="18"/>
        <v>0</v>
      </c>
      <c r="BD37">
        <f t="shared" si="19"/>
        <v>0</v>
      </c>
      <c r="BE37" s="68">
        <f>IF(BD37=0,MAX($BE$2:BE36)+1,0)</f>
        <v>35</v>
      </c>
      <c r="BF37" s="5" t="str">
        <f t="shared" si="20"/>
        <v>Poison</v>
      </c>
      <c r="BG37" s="5" t="str">
        <f t="shared" si="21"/>
        <v>Poison</v>
      </c>
      <c r="BH37" s="5"/>
      <c r="BI37">
        <f t="shared" si="148"/>
        <v>35</v>
      </c>
      <c r="BJ37" s="5" t="str">
        <f t="shared" si="149"/>
        <v>Poison</v>
      </c>
      <c r="BK37" s="68">
        <f>COUNTIF(Builder!$K$9:$N$9,BJ37)</f>
        <v>0</v>
      </c>
      <c r="BL37" s="68" t="str">
        <f>IF(BK37=1,Stats!$N52,"")</f>
        <v/>
      </c>
      <c r="BM37" s="68" t="str">
        <f>IF(BK37=1,Stats!$O52,"")</f>
        <v/>
      </c>
      <c r="BN37" s="68" t="str">
        <f>IF(BK37=1,Stats!$P52,"")</f>
        <v/>
      </c>
      <c r="BO37" s="68" t="str">
        <f>IF(BK37=1,Stats!$Q52,"")</f>
        <v/>
      </c>
      <c r="BP37" s="68" t="str">
        <f>IF(BK37=1,Stats!$R52,"")</f>
        <v/>
      </c>
      <c r="BQ37" s="68" t="str">
        <f>IF(BK37=1,Stats!$S52,"")</f>
        <v/>
      </c>
      <c r="BR37" s="68">
        <f t="shared" si="150"/>
        <v>0</v>
      </c>
      <c r="BS37">
        <f t="shared" si="151"/>
        <v>0</v>
      </c>
      <c r="BT37" s="68">
        <f>IF(BS37=0,MAX(BT$2:BT36)+1,0)</f>
        <v>35</v>
      </c>
      <c r="BU37" s="5" t="str">
        <f t="shared" si="152"/>
        <v>Poison</v>
      </c>
      <c r="BV37" s="5" t="str">
        <f t="shared" si="27"/>
        <v>Poison</v>
      </c>
      <c r="BX37">
        <f t="shared" si="153"/>
        <v>35</v>
      </c>
      <c r="BY37" s="5" t="str">
        <f t="shared" si="154"/>
        <v>Poison</v>
      </c>
      <c r="BZ37" s="68">
        <f>COUNTIF(Builder!$K$10:$N$10,BY37)</f>
        <v>0</v>
      </c>
      <c r="CA37" s="68" t="str">
        <f>IF(BZ37=1,Stats!$N52,"")</f>
        <v/>
      </c>
      <c r="CB37" s="68" t="str">
        <f>IF(BZ37=1,Stats!$O52,"")</f>
        <v/>
      </c>
      <c r="CC37" s="68" t="str">
        <f>IF(BZ37=1,Stats!$P52,"")</f>
        <v/>
      </c>
      <c r="CD37" s="68" t="str">
        <f>IF(BZ37=1,Stats!$Q52,"")</f>
        <v/>
      </c>
      <c r="CE37" s="68" t="str">
        <f>IF(BZ37=1,Stats!$R52,"")</f>
        <v/>
      </c>
      <c r="CF37" s="68" t="str">
        <f>IF(BZ37=1,Stats!$S52,"")</f>
        <v/>
      </c>
      <c r="CG37" s="68">
        <f t="shared" si="155"/>
        <v>0</v>
      </c>
      <c r="CH37">
        <f t="shared" si="156"/>
        <v>0</v>
      </c>
      <c r="CI37" s="68">
        <f>IF(CH37=0,MAX(CI$2:CI36)+1,0)</f>
        <v>35</v>
      </c>
      <c r="CJ37" s="5" t="str">
        <f t="shared" si="157"/>
        <v>Poison</v>
      </c>
      <c r="CK37" s="5" t="str">
        <f t="shared" si="33"/>
        <v>Poison</v>
      </c>
      <c r="CM37">
        <f t="shared" si="34"/>
        <v>35</v>
      </c>
      <c r="CN37" s="5" t="str">
        <f t="shared" si="35"/>
        <v>Poison</v>
      </c>
      <c r="CO37" s="68">
        <f>COUNTIF(Builder!$K$11:$N$11,CN37)</f>
        <v>0</v>
      </c>
      <c r="CP37" s="68" t="str">
        <f>IF(CO37=1,Stats!$N52,"")</f>
        <v/>
      </c>
      <c r="CQ37" s="68" t="str">
        <f>IF(CO37=1,Stats!$O52,"")</f>
        <v/>
      </c>
      <c r="CR37" s="68" t="str">
        <f>IF(CO37=1,Stats!$P52,"")</f>
        <v/>
      </c>
      <c r="CS37" s="68" t="str">
        <f>IF(CO37=1,Stats!$Q52,"")</f>
        <v/>
      </c>
      <c r="CT37" s="68" t="str">
        <f>IF(CO37=1,Stats!$R52,"")</f>
        <v/>
      </c>
      <c r="CU37" s="68" t="str">
        <f>IF(CO37=1,Stats!$S52,"")</f>
        <v/>
      </c>
      <c r="CV37" s="68">
        <f t="shared" si="36"/>
        <v>0</v>
      </c>
      <c r="CW37">
        <f t="shared" si="37"/>
        <v>0</v>
      </c>
      <c r="CX37" s="68">
        <f>IF(CW37=0,MAX(CX$2:CX36)+1,0)</f>
        <v>35</v>
      </c>
      <c r="CY37" s="5" t="str">
        <f t="shared" si="38"/>
        <v>Poison</v>
      </c>
      <c r="CZ37" s="5" t="str">
        <f t="shared" si="39"/>
        <v>Poison</v>
      </c>
      <c r="DB37">
        <f t="shared" si="158"/>
        <v>35</v>
      </c>
      <c r="DC37" s="5" t="str">
        <f t="shared" si="159"/>
        <v>Poison</v>
      </c>
      <c r="DD37" s="68">
        <f>COUNTIF(Builder!$K$12:$N$12,DC37)</f>
        <v>0</v>
      </c>
      <c r="DE37" s="68" t="str">
        <f>IF(DD37=1,Stats!$N52,"")</f>
        <v/>
      </c>
      <c r="DF37" s="68" t="str">
        <f>IF(DD37=1,Stats!$O52,"")</f>
        <v/>
      </c>
      <c r="DG37" s="68" t="str">
        <f>IF(DD37=1,Stats!$P52,"")</f>
        <v/>
      </c>
      <c r="DH37" s="68" t="str">
        <f>IF(DD37=1,Stats!$Q52,"")</f>
        <v/>
      </c>
      <c r="DI37" s="68" t="str">
        <f>IF(DD37=1,Stats!$R52,"")</f>
        <v/>
      </c>
      <c r="DJ37" s="68" t="str">
        <f>IF(DD37=1,Stats!$S52,"")</f>
        <v/>
      </c>
      <c r="DK37" s="68">
        <f t="shared" si="160"/>
        <v>0</v>
      </c>
      <c r="DL37">
        <f t="shared" si="161"/>
        <v>0</v>
      </c>
      <c r="DM37" s="68">
        <f>IF(DL37=0,MAX(DM$2:DM36)+1,0)</f>
        <v>35</v>
      </c>
      <c r="DN37" s="5" t="str">
        <f t="shared" si="162"/>
        <v>Poison</v>
      </c>
      <c r="DO37" s="5" t="str">
        <f t="shared" si="45"/>
        <v>Poison</v>
      </c>
      <c r="DQ37">
        <f t="shared" si="163"/>
        <v>35</v>
      </c>
      <c r="DR37" s="5" t="str">
        <f t="shared" si="164"/>
        <v>Poison</v>
      </c>
      <c r="DS37" s="68">
        <f>COUNTIF(Builder!$K$13:$N$13,DR37)</f>
        <v>0</v>
      </c>
      <c r="DT37" s="68" t="str">
        <f>IF(DS37=1,Stats!$N52,"")</f>
        <v/>
      </c>
      <c r="DU37" s="68" t="str">
        <f>IF(DS37=1,Stats!$O52,"")</f>
        <v/>
      </c>
      <c r="DV37" s="68" t="str">
        <f>IF(DS37=1,Stats!$P52,"")</f>
        <v/>
      </c>
      <c r="DW37" s="68" t="str">
        <f>IF(DS37=1,Stats!$Q52,"")</f>
        <v/>
      </c>
      <c r="DX37" s="68" t="str">
        <f>IF(DS37=1,Stats!$R52,"")</f>
        <v/>
      </c>
      <c r="DY37" s="68" t="str">
        <f>IF(DS37=1,Stats!$S52,"")</f>
        <v/>
      </c>
      <c r="DZ37" s="68">
        <f t="shared" si="165"/>
        <v>0</v>
      </c>
      <c r="EA37">
        <f t="shared" si="166"/>
        <v>0</v>
      </c>
      <c r="EB37" s="68">
        <f>IF(EA37=0,MAX(EB$2:EB36)+1,0)</f>
        <v>35</v>
      </c>
      <c r="EC37" s="5" t="str">
        <f t="shared" si="167"/>
        <v>Poison</v>
      </c>
      <c r="ED37" s="5" t="str">
        <f t="shared" si="51"/>
        <v>Poison</v>
      </c>
      <c r="EF37">
        <f t="shared" si="52"/>
        <v>35</v>
      </c>
      <c r="EG37" s="5" t="str">
        <f t="shared" si="53"/>
        <v>Poison</v>
      </c>
      <c r="EH37" s="68">
        <f>COUNTIF(Builder!$K$14:$N$14,EG37)</f>
        <v>0</v>
      </c>
      <c r="EI37" s="68" t="str">
        <f>IF(EH37=1,Stats!$N52,"")</f>
        <v/>
      </c>
      <c r="EJ37" s="68" t="str">
        <f>IF(EH37=1,Stats!$O52,"")</f>
        <v/>
      </c>
      <c r="EK37" s="68" t="str">
        <f>IF(EH37=1,Stats!$P52,"")</f>
        <v/>
      </c>
      <c r="EL37" s="68" t="str">
        <f>IF(EH37=1,Stats!$Q52,"")</f>
        <v/>
      </c>
      <c r="EM37" s="68" t="str">
        <f>IF(EH37=1,Stats!$R52,"")</f>
        <v/>
      </c>
      <c r="EN37" s="68" t="str">
        <f>IF(EH37=1,Stats!$S52,"")</f>
        <v/>
      </c>
      <c r="EO37" s="68">
        <f t="shared" si="54"/>
        <v>0</v>
      </c>
      <c r="EP37">
        <f t="shared" si="55"/>
        <v>0</v>
      </c>
      <c r="EQ37" s="68">
        <f>IF(EP37=0,MAX(EQ$2:EQ36)+1,0)</f>
        <v>35</v>
      </c>
      <c r="ER37" s="5" t="str">
        <f t="shared" si="56"/>
        <v>Poison</v>
      </c>
      <c r="ES37" s="5" t="str">
        <f t="shared" si="57"/>
        <v>Poison</v>
      </c>
      <c r="EU37">
        <f t="shared" si="58"/>
        <v>35</v>
      </c>
      <c r="EV37" s="5" t="str">
        <f t="shared" si="59"/>
        <v>Poison</v>
      </c>
      <c r="EW37" s="68">
        <f>COUNTIF(Builder!$K$15:$N$15,EV37)</f>
        <v>0</v>
      </c>
      <c r="EX37" s="68" t="str">
        <f>IF(EW37=1,Stats!$N52,"")</f>
        <v/>
      </c>
      <c r="EY37" s="68" t="str">
        <f>IF(EW37=1,Stats!$O52,"")</f>
        <v/>
      </c>
      <c r="EZ37" s="68" t="str">
        <f>IF(EW37=1,Stats!$P52,"")</f>
        <v/>
      </c>
      <c r="FA37" s="68" t="str">
        <f>IF(EW37=1,Stats!$Q52,"")</f>
        <v/>
      </c>
      <c r="FB37" s="68" t="str">
        <f>IF(EW37=1,Stats!$R52,"")</f>
        <v/>
      </c>
      <c r="FC37" s="68" t="str">
        <f>IF(EW37=1,Stats!$S52,"")</f>
        <v/>
      </c>
      <c r="FD37" s="68">
        <f t="shared" si="60"/>
        <v>0</v>
      </c>
      <c r="FE37">
        <f t="shared" si="61"/>
        <v>0</v>
      </c>
      <c r="FF37" s="68">
        <f>IF(FE37=0,MAX(FF$2:FF36)+1,0)</f>
        <v>35</v>
      </c>
      <c r="FG37" s="5" t="str">
        <f t="shared" si="62"/>
        <v>Poison</v>
      </c>
      <c r="FH37" s="5" t="str">
        <f t="shared" si="63"/>
        <v>Poison</v>
      </c>
      <c r="FJ37">
        <f t="shared" si="64"/>
        <v>35</v>
      </c>
      <c r="FK37" s="5" t="str">
        <f t="shared" si="65"/>
        <v>Poison</v>
      </c>
      <c r="FL37" s="68">
        <f>COUNTIF(Builder!$K$16:$N$16,FK37)</f>
        <v>0</v>
      </c>
      <c r="FM37" s="68" t="str">
        <f>IF(FL37=1,Stats!$N52,"")</f>
        <v/>
      </c>
      <c r="FN37" s="68" t="str">
        <f>IF(FL37=1,Stats!$O52,"")</f>
        <v/>
      </c>
      <c r="FO37" s="68" t="str">
        <f>IF(FL37=1,Stats!$P52,"")</f>
        <v/>
      </c>
      <c r="FP37" s="68" t="str">
        <f>IF(FL37=1,Stats!$Q52,"")</f>
        <v/>
      </c>
      <c r="FQ37" s="68" t="str">
        <f>IF(FL37=1,Stats!$R52,"")</f>
        <v/>
      </c>
      <c r="FR37" s="68" t="str">
        <f>IF(FL37=1,Stats!$S52,"")</f>
        <v/>
      </c>
      <c r="FS37" s="68">
        <f t="shared" si="66"/>
        <v>0</v>
      </c>
      <c r="FT37">
        <f t="shared" si="67"/>
        <v>0</v>
      </c>
      <c r="FU37" s="68">
        <f>IF(FT37=0,MAX(FU$2:FU36)+1,0)</f>
        <v>35</v>
      </c>
      <c r="FV37" s="5" t="str">
        <f t="shared" si="68"/>
        <v>Poison</v>
      </c>
      <c r="FW37" s="5" t="str">
        <f t="shared" si="69"/>
        <v>Poison</v>
      </c>
      <c r="FY37">
        <f t="shared" si="168"/>
        <v>35</v>
      </c>
      <c r="FZ37" s="5" t="str">
        <f t="shared" si="169"/>
        <v>Poison</v>
      </c>
      <c r="GA37" s="68">
        <f>COUNTIF(Builder!$K$17:$N$17,FZ37)</f>
        <v>0</v>
      </c>
      <c r="GB37" s="68" t="str">
        <f>IF(GA37=1,Stats!$N52,"")</f>
        <v/>
      </c>
      <c r="GC37" s="68" t="str">
        <f>IF(GA37=1,Stats!$O52,"")</f>
        <v/>
      </c>
      <c r="GD37" s="68" t="str">
        <f>IF(GA37=1,Stats!$P52,"")</f>
        <v/>
      </c>
      <c r="GE37" s="68" t="str">
        <f>IF(GA37=1,Stats!$Q52,"")</f>
        <v/>
      </c>
      <c r="GF37" s="68" t="str">
        <f>IF(GA37=1,Stats!$R52,"")</f>
        <v/>
      </c>
      <c r="GG37" s="68" t="str">
        <f>IF(GA37=1,Stats!$S52,"")</f>
        <v/>
      </c>
      <c r="GH37" s="68">
        <f t="shared" si="170"/>
        <v>0</v>
      </c>
      <c r="GI37">
        <f t="shared" si="171"/>
        <v>0</v>
      </c>
      <c r="GJ37" s="68">
        <f>IF(GI37=0,MAX(GJ$2:GJ36)+1,0)</f>
        <v>35</v>
      </c>
      <c r="GK37" s="5" t="str">
        <f t="shared" si="172"/>
        <v>Poison</v>
      </c>
      <c r="GL37" s="5" t="str">
        <f t="shared" si="75"/>
        <v>Poison</v>
      </c>
      <c r="GN37">
        <f t="shared" si="76"/>
        <v>35</v>
      </c>
      <c r="GO37" s="5" t="str">
        <f t="shared" si="77"/>
        <v>Poison</v>
      </c>
      <c r="GP37" s="68">
        <f>COUNTIF(Builder!$K$18:$N$18,GO37)</f>
        <v>0</v>
      </c>
      <c r="GQ37" s="68" t="str">
        <f>IF(GP37=1,Stats!$N52,"")</f>
        <v/>
      </c>
      <c r="GR37" s="68" t="str">
        <f>IF(GP37=1,Stats!$O52,"")</f>
        <v/>
      </c>
      <c r="GS37" s="68" t="str">
        <f>IF(GP37=1,Stats!$P52,"")</f>
        <v/>
      </c>
      <c r="GT37" s="68" t="str">
        <f>IF(GP37=1,Stats!$Q52,"")</f>
        <v/>
      </c>
      <c r="GU37" s="68" t="str">
        <f>IF(GP37=1,Stats!$R52,"")</f>
        <v/>
      </c>
      <c r="GV37" s="68" t="str">
        <f>IF(GP37=1,Stats!$S52,"")</f>
        <v/>
      </c>
      <c r="GW37" s="68">
        <f t="shared" si="78"/>
        <v>0</v>
      </c>
      <c r="GX37">
        <f t="shared" si="79"/>
        <v>0</v>
      </c>
      <c r="GY37" s="68">
        <f>IF(GX37=0,MAX(GY$2:GY36)+1,0)</f>
        <v>35</v>
      </c>
      <c r="GZ37" s="5" t="str">
        <f t="shared" si="80"/>
        <v>Poison</v>
      </c>
      <c r="HA37" s="5" t="str">
        <f t="shared" si="81"/>
        <v>Poison</v>
      </c>
      <c r="HC37">
        <f t="shared" si="82"/>
        <v>35</v>
      </c>
      <c r="HD37" s="5" t="str">
        <f t="shared" si="83"/>
        <v>Poison</v>
      </c>
      <c r="HE37" s="68">
        <f>COUNTIF(Builder!$K$19:$N$19,HD37)</f>
        <v>0</v>
      </c>
      <c r="HF37" s="68" t="str">
        <f>IF(HE37=1,Stats!$N52,"")</f>
        <v/>
      </c>
      <c r="HG37" s="68" t="str">
        <f>IF(HE37=1,Stats!$O52,"")</f>
        <v/>
      </c>
      <c r="HH37" s="68" t="str">
        <f>IF(HE37=1,Stats!$P52,"")</f>
        <v/>
      </c>
      <c r="HI37" s="68" t="str">
        <f>IF(HE37=1,Stats!$Q52,"")</f>
        <v/>
      </c>
      <c r="HJ37" s="68" t="str">
        <f>IF(HE37=1,Stats!$R52,"")</f>
        <v/>
      </c>
      <c r="HK37" s="68" t="str">
        <f>IF(HE37=1,Stats!$S52,"")</f>
        <v/>
      </c>
      <c r="HL37" s="68">
        <f t="shared" si="84"/>
        <v>0</v>
      </c>
      <c r="HM37">
        <f t="shared" si="85"/>
        <v>0</v>
      </c>
      <c r="HN37" s="68">
        <f>IF(HM37=0,MAX(HN$2:HN36)+1,0)</f>
        <v>35</v>
      </c>
      <c r="HO37" s="5" t="str">
        <f t="shared" si="86"/>
        <v>Poison</v>
      </c>
      <c r="HP37" s="5" t="str">
        <f t="shared" si="87"/>
        <v>Poison</v>
      </c>
      <c r="HR37">
        <f t="shared" si="88"/>
        <v>35</v>
      </c>
      <c r="HS37" s="5" t="str">
        <f t="shared" si="89"/>
        <v>Poison</v>
      </c>
      <c r="HT37" s="68">
        <f>COUNTIF(Builder!$K$20:$N$20,HS37)</f>
        <v>0</v>
      </c>
      <c r="HU37" s="68" t="str">
        <f>IF(HT37=1,Stats!$N52,"")</f>
        <v/>
      </c>
      <c r="HV37" s="68" t="str">
        <f>IF(HT37=1,Stats!$O52,"")</f>
        <v/>
      </c>
      <c r="HW37" s="68" t="str">
        <f>IF(HT37=1,Stats!$P52,"")</f>
        <v/>
      </c>
      <c r="HX37" s="68" t="str">
        <f>IF(HT37=1,Stats!$Q52,"")</f>
        <v/>
      </c>
      <c r="HY37" s="68" t="str">
        <f>IF(HT37=1,Stats!$R52,"")</f>
        <v/>
      </c>
      <c r="HZ37" s="68" t="str">
        <f>IF(HT37=1,Stats!$S52,"")</f>
        <v/>
      </c>
      <c r="IA37" s="68">
        <f t="shared" si="90"/>
        <v>0</v>
      </c>
      <c r="IB37">
        <f t="shared" si="91"/>
        <v>0</v>
      </c>
      <c r="IC37" s="68">
        <f>IF(IB37=0,MAX(IC$2:IC36)+1,0)</f>
        <v>35</v>
      </c>
      <c r="ID37" s="5" t="str">
        <f t="shared" si="92"/>
        <v>Poison</v>
      </c>
      <c r="IE37" s="5" t="str">
        <f t="shared" si="93"/>
        <v>Poison</v>
      </c>
      <c r="IG37">
        <f t="shared" si="94"/>
        <v>35</v>
      </c>
      <c r="IH37" s="5" t="str">
        <f t="shared" si="95"/>
        <v>Poison</v>
      </c>
      <c r="II37" s="68">
        <f>COUNTIF(Builder!$K$21:$N$21,IH37)</f>
        <v>0</v>
      </c>
      <c r="IJ37" s="68" t="str">
        <f>IF(II37=1,Stats!$N52,"")</f>
        <v/>
      </c>
      <c r="IK37" s="68" t="str">
        <f>IF(II37=1,Stats!$O52,"")</f>
        <v/>
      </c>
      <c r="IL37" s="68" t="str">
        <f>IF(II37=1,Stats!$P52,"")</f>
        <v/>
      </c>
      <c r="IM37" s="68" t="str">
        <f>IF(II37=1,Stats!$Q52,"")</f>
        <v/>
      </c>
      <c r="IN37" s="68" t="str">
        <f>IF(II37=1,Stats!$R52,"")</f>
        <v/>
      </c>
      <c r="IO37" s="68" t="str">
        <f>IF(II37=1,Stats!$S52,"")</f>
        <v/>
      </c>
      <c r="IP37" s="68">
        <f t="shared" si="96"/>
        <v>0</v>
      </c>
      <c r="IQ37">
        <f t="shared" si="97"/>
        <v>0</v>
      </c>
      <c r="IR37" s="68">
        <f>IF(IQ37=0,MAX(IR$2:IR36)+1,0)</f>
        <v>35</v>
      </c>
      <c r="IS37" s="5" t="str">
        <f t="shared" si="98"/>
        <v>Poison</v>
      </c>
      <c r="IT37" s="5" t="str">
        <f t="shared" si="99"/>
        <v>Poison</v>
      </c>
      <c r="IV37">
        <f t="shared" si="100"/>
        <v>35</v>
      </c>
      <c r="IW37" s="5" t="str">
        <f t="shared" si="101"/>
        <v>Poison</v>
      </c>
      <c r="IX37" s="68">
        <f>COUNTIF(Builder!$K$22:$N$22,IW37)</f>
        <v>0</v>
      </c>
      <c r="IY37" s="68" t="str">
        <f>IF(IX37=1,Stats!$N52,"")</f>
        <v/>
      </c>
      <c r="IZ37" s="68" t="str">
        <f>IF(IX37=1,Stats!$O52,"")</f>
        <v/>
      </c>
      <c r="JA37" s="68" t="str">
        <f>IF(IX37=1,Stats!$P52,"")</f>
        <v/>
      </c>
      <c r="JB37" s="68" t="str">
        <f>IF(IX37=1,Stats!$Q52,"")</f>
        <v/>
      </c>
      <c r="JC37" s="68" t="str">
        <f>IF(IX37=1,Stats!$R52,"")</f>
        <v/>
      </c>
      <c r="JD37" s="68" t="str">
        <f>IF(IX37=1,Stats!$S52,"")</f>
        <v/>
      </c>
      <c r="JE37" s="68">
        <f t="shared" si="102"/>
        <v>0</v>
      </c>
      <c r="JF37">
        <f t="shared" si="103"/>
        <v>0</v>
      </c>
      <c r="JG37" s="68">
        <f>IF(JF37=0,MAX(JG$2:JG36)+1,0)</f>
        <v>35</v>
      </c>
      <c r="JH37" s="5" t="str">
        <f t="shared" si="104"/>
        <v>Poison</v>
      </c>
      <c r="JI37" s="5" t="str">
        <f t="shared" si="105"/>
        <v>Poison</v>
      </c>
      <c r="JK37">
        <f t="shared" si="106"/>
        <v>35</v>
      </c>
      <c r="JL37" s="5" t="str">
        <f t="shared" si="107"/>
        <v>Poison</v>
      </c>
      <c r="JM37" s="68">
        <f>COUNTIF(Builder!$K$23:$N$23,JL37)</f>
        <v>0</v>
      </c>
      <c r="JN37" s="68" t="str">
        <f>IF(JM37=1,Stats!$N52,"")</f>
        <v/>
      </c>
      <c r="JO37" s="68" t="str">
        <f>IF(JM37=1,Stats!$O52,"")</f>
        <v/>
      </c>
      <c r="JP37" s="68" t="str">
        <f>IF(JM37=1,Stats!$P52,"")</f>
        <v/>
      </c>
      <c r="JQ37" s="68" t="str">
        <f>IF(JM37=1,Stats!$Q52,"")</f>
        <v/>
      </c>
      <c r="JR37" s="68" t="str">
        <f>IF(JM37=1,Stats!$R52,"")</f>
        <v/>
      </c>
      <c r="JS37" s="68" t="str">
        <f>IF(JM37=1,Stats!$S52,"")</f>
        <v/>
      </c>
      <c r="JT37" s="68">
        <f t="shared" si="108"/>
        <v>0</v>
      </c>
      <c r="JU37">
        <f t="shared" si="109"/>
        <v>0</v>
      </c>
      <c r="JV37" s="68">
        <f>IF(JU37=0,MAX(JV$2:JV36)+1,0)</f>
        <v>35</v>
      </c>
      <c r="JW37" s="5" t="str">
        <f t="shared" si="110"/>
        <v>Poison</v>
      </c>
      <c r="JX37" s="5" t="str">
        <f t="shared" si="111"/>
        <v>Poison</v>
      </c>
      <c r="JZ37">
        <f t="shared" si="112"/>
        <v>35</v>
      </c>
      <c r="KA37" s="5" t="str">
        <f t="shared" si="113"/>
        <v>Poison</v>
      </c>
      <c r="KB37" s="68">
        <f>COUNTIF(Builder!$K$24:$N$24,KA37)</f>
        <v>0</v>
      </c>
      <c r="KC37" s="68" t="str">
        <f>IF(KB37=1,Stats!$N52,"")</f>
        <v/>
      </c>
      <c r="KD37" s="68" t="str">
        <f>IF(KB37=1,Stats!$O52,"")</f>
        <v/>
      </c>
      <c r="KE37" s="68" t="str">
        <f>IF(KB37=1,Stats!$P52,"")</f>
        <v/>
      </c>
      <c r="KF37" s="68" t="str">
        <f>IF(KB37=1,Stats!$Q52,"")</f>
        <v/>
      </c>
      <c r="KG37" s="68" t="str">
        <f>IF(KB37=1,Stats!$R52,"")</f>
        <v/>
      </c>
      <c r="KH37" s="68" t="str">
        <f>IF(KB37=1,Stats!$S52,"")</f>
        <v/>
      </c>
      <c r="KI37" s="68">
        <f t="shared" si="114"/>
        <v>0</v>
      </c>
      <c r="KJ37">
        <f t="shared" si="115"/>
        <v>0</v>
      </c>
      <c r="KK37" s="68">
        <f>IF(KJ37=0,MAX(KK$2:KK36)+1,0)</f>
        <v>35</v>
      </c>
      <c r="KL37" s="5" t="str">
        <f t="shared" si="116"/>
        <v>Poison</v>
      </c>
      <c r="KM37" s="5" t="str">
        <f t="shared" si="117"/>
        <v>Poison</v>
      </c>
      <c r="KO37">
        <f t="shared" si="118"/>
        <v>35</v>
      </c>
      <c r="KP37" s="5" t="str">
        <f t="shared" si="119"/>
        <v>Poison</v>
      </c>
      <c r="KQ37" s="68">
        <f>COUNTIF(Builder!$K$25:$N$25,KP37)</f>
        <v>0</v>
      </c>
      <c r="KR37" s="68" t="str">
        <f>IF(KQ37=1,Stats!$N52,"")</f>
        <v/>
      </c>
      <c r="KS37" s="68" t="str">
        <f>IF(KQ37=1,Stats!$O52,"")</f>
        <v/>
      </c>
      <c r="KT37" s="68" t="str">
        <f>IF(KQ37=1,Stats!$P52,"")</f>
        <v/>
      </c>
      <c r="KU37" s="68" t="str">
        <f>IF(KQ37=1,Stats!$Q52,"")</f>
        <v/>
      </c>
      <c r="KV37" s="68" t="str">
        <f>IF(KQ37=1,Stats!$R52,"")</f>
        <v/>
      </c>
      <c r="KW37" s="68" t="str">
        <f>IF(KQ37=1,Stats!$S52,"")</f>
        <v/>
      </c>
      <c r="KX37" s="68">
        <f t="shared" si="120"/>
        <v>0</v>
      </c>
      <c r="KY37">
        <f t="shared" si="121"/>
        <v>0</v>
      </c>
      <c r="KZ37" s="68">
        <f>IF(KY37=0,MAX(KZ$2:KZ36)+1,0)</f>
        <v>35</v>
      </c>
      <c r="LA37" s="5" t="str">
        <f t="shared" si="122"/>
        <v>Poison</v>
      </c>
      <c r="LB37" s="5" t="str">
        <f t="shared" si="123"/>
        <v>Poison</v>
      </c>
      <c r="LD37">
        <f t="shared" si="124"/>
        <v>35</v>
      </c>
      <c r="LE37" s="5" t="str">
        <f t="shared" si="125"/>
        <v>Poison</v>
      </c>
      <c r="LF37" s="68">
        <f>COUNTIF(Builder!$K$26:$N$26,LE37)</f>
        <v>0</v>
      </c>
      <c r="LG37" s="68" t="str">
        <f>IF(LF37=1,Stats!$N52,"")</f>
        <v/>
      </c>
      <c r="LH37" s="68" t="str">
        <f>IF(LF37=1,Stats!$O52,"")</f>
        <v/>
      </c>
      <c r="LI37" s="68" t="str">
        <f>IF(LF37=1,Stats!$P52,"")</f>
        <v/>
      </c>
      <c r="LJ37" s="68" t="str">
        <f>IF(LF37=1,Stats!$Q52,"")</f>
        <v/>
      </c>
      <c r="LK37" s="68" t="str">
        <f>IF(LF37=1,Stats!$R52,"")</f>
        <v/>
      </c>
      <c r="LL37" s="68" t="str">
        <f>IF(LF37=1,Stats!$S52,"")</f>
        <v/>
      </c>
      <c r="LM37" s="68">
        <f t="shared" si="126"/>
        <v>0</v>
      </c>
      <c r="LN37">
        <f t="shared" si="127"/>
        <v>0</v>
      </c>
      <c r="LO37" s="68">
        <f>IF(LN37=0,MAX(LO$2:LO36)+1,0)</f>
        <v>35</v>
      </c>
      <c r="LP37" s="5" t="str">
        <f t="shared" si="128"/>
        <v>Poison</v>
      </c>
      <c r="LQ37" s="5" t="str">
        <f t="shared" si="129"/>
        <v>Poison</v>
      </c>
      <c r="LS37">
        <f t="shared" si="130"/>
        <v>35</v>
      </c>
      <c r="LT37" s="5" t="str">
        <f t="shared" si="131"/>
        <v>Poison</v>
      </c>
      <c r="LU37" s="68">
        <f>COUNTIF(Builder!$K$27:$N$27,LT37)</f>
        <v>0</v>
      </c>
      <c r="LV37" s="68" t="str">
        <f>IF(LU37=1,Stats!$N52,"")</f>
        <v/>
      </c>
      <c r="LW37" s="68" t="str">
        <f>IF(LU37=1,Stats!$O52,"")</f>
        <v/>
      </c>
      <c r="LX37" s="68" t="str">
        <f>IF(LU37=1,Stats!$P52,"")</f>
        <v/>
      </c>
      <c r="LY37" s="68" t="str">
        <f>IF(LU37=1,Stats!$Q52,"")</f>
        <v/>
      </c>
      <c r="LZ37" s="68" t="str">
        <f>IF(LU37=1,Stats!$R52,"")</f>
        <v/>
      </c>
      <c r="MA37" s="68" t="str">
        <f>IF(LU37=1,Stats!$S52,"")</f>
        <v/>
      </c>
      <c r="MB37" s="68">
        <f t="shared" si="132"/>
        <v>0</v>
      </c>
      <c r="MC37">
        <f t="shared" si="133"/>
        <v>0</v>
      </c>
      <c r="MD37" s="68">
        <f>IF(MC37=0,MAX(MD$2:MD36)+1,0)</f>
        <v>35</v>
      </c>
      <c r="ME37" s="5" t="str">
        <f t="shared" si="134"/>
        <v>Poison</v>
      </c>
      <c r="MF37" s="5" t="str">
        <f t="shared" si="135"/>
        <v>Poison</v>
      </c>
      <c r="MH37">
        <f t="shared" si="136"/>
        <v>35</v>
      </c>
      <c r="MI37" s="5" t="str">
        <f t="shared" si="137"/>
        <v>Poison</v>
      </c>
      <c r="MJ37" s="68">
        <f>COUNTIF(Builder!$K$28:$N$28,MI37)</f>
        <v>0</v>
      </c>
      <c r="MK37" s="68" t="str">
        <f>IF(MJ37=1,Stats!$N52,"")</f>
        <v/>
      </c>
      <c r="ML37" s="68" t="str">
        <f>IF(MJ37=1,Stats!$O52,"")</f>
        <v/>
      </c>
      <c r="MM37" s="68" t="str">
        <f>IF(MJ37=1,Stats!$P52,"")</f>
        <v/>
      </c>
      <c r="MN37" s="68" t="str">
        <f>IF(MJ37=1,Stats!$Q52,"")</f>
        <v/>
      </c>
      <c r="MO37" s="68" t="str">
        <f>IF(MJ37=1,Stats!$R52,"")</f>
        <v/>
      </c>
      <c r="MP37" s="68" t="str">
        <f>IF(MJ37=1,Stats!$S52,"")</f>
        <v/>
      </c>
      <c r="MQ37" s="68">
        <f t="shared" si="138"/>
        <v>0</v>
      </c>
      <c r="MR37">
        <f t="shared" si="139"/>
        <v>0</v>
      </c>
      <c r="MS37" s="68">
        <f>IF(MR37=0,MAX(MS$2:MS36)+1,0)</f>
        <v>35</v>
      </c>
      <c r="MT37" s="5" t="str">
        <f t="shared" si="140"/>
        <v>Poison</v>
      </c>
      <c r="MU37" s="5" t="str">
        <f t="shared" si="141"/>
        <v>Poison</v>
      </c>
      <c r="MW37">
        <f t="shared" si="142"/>
        <v>35</v>
      </c>
      <c r="MX37" s="5" t="str">
        <f t="shared" si="143"/>
        <v>Poison</v>
      </c>
      <c r="MY37" s="68">
        <f>COUNTIF(Builder!$K$29:$N$29,MX37)</f>
        <v>0</v>
      </c>
      <c r="MZ37" s="68" t="str">
        <f>IF(MY37=1,Stats!$N52,"")</f>
        <v/>
      </c>
      <c r="NA37" s="68" t="str">
        <f>IF(MY37=1,Stats!$O52,"")</f>
        <v/>
      </c>
      <c r="NB37" s="68" t="str">
        <f>IF(MY37=1,Stats!$P52,"")</f>
        <v/>
      </c>
      <c r="NC37" s="68" t="str">
        <f>IF(MY37=1,Stats!$Q52,"")</f>
        <v/>
      </c>
      <c r="ND37" s="68" t="str">
        <f>IF(MY37=1,Stats!$R52,"")</f>
        <v/>
      </c>
      <c r="NE37" s="68" t="str">
        <f>IF(MY37=1,Stats!$S52,"")</f>
        <v/>
      </c>
      <c r="NF37" s="68">
        <f t="shared" si="144"/>
        <v>0</v>
      </c>
      <c r="NG37">
        <f t="shared" si="145"/>
        <v>0</v>
      </c>
      <c r="NH37" s="68">
        <f>IF(NG37=0,MAX(NH$2:NH36)+1,0)</f>
        <v>35</v>
      </c>
      <c r="NI37" s="5" t="str">
        <f t="shared" si="146"/>
        <v>Poison</v>
      </c>
      <c r="NJ37" s="5" t="str">
        <f t="shared" si="147"/>
        <v>Poison</v>
      </c>
    </row>
    <row r="38" spans="1:374" ht="15" x14ac:dyDescent="0.3">
      <c r="A38">
        <v>36</v>
      </c>
      <c r="B38" s="5" t="s">
        <v>39</v>
      </c>
      <c r="C38" s="68">
        <f>COUNTIF(Builder!$K$5:$N$5,B38)</f>
        <v>0</v>
      </c>
      <c r="D38" s="68" t="str">
        <f>IF(C38=1,Stats!$N53,"")</f>
        <v/>
      </c>
      <c r="E38" s="68" t="str">
        <f>IF(C38=1,Stats!$O53,"")</f>
        <v/>
      </c>
      <c r="F38" s="68" t="str">
        <f>IF(C38=1,Stats!$P53,"")</f>
        <v/>
      </c>
      <c r="G38" s="68" t="str">
        <f>IF(C38=1,Stats!$Q53,"")</f>
        <v/>
      </c>
      <c r="H38" s="68" t="str">
        <f>IF(C38=1,Stats!$R53,"")</f>
        <v/>
      </c>
      <c r="I38" s="68" t="str">
        <f>IF(C38=1,Stats!$S53,"")</f>
        <v/>
      </c>
      <c r="J38" s="68">
        <f t="shared" si="0"/>
        <v>0</v>
      </c>
      <c r="K38">
        <f t="shared" si="1"/>
        <v>0</v>
      </c>
      <c r="L38" s="68">
        <f>IF(K38=0,MAX($L$2:L37)+1,0)</f>
        <v>36</v>
      </c>
      <c r="M38" s="5" t="str">
        <f t="shared" si="2"/>
        <v>Powerful missile weapons</v>
      </c>
      <c r="N38" s="5" t="str">
        <f t="shared" si="3"/>
        <v>Powerful missile weapons</v>
      </c>
      <c r="O38" s="5"/>
      <c r="P38">
        <f t="shared" si="4"/>
        <v>36</v>
      </c>
      <c r="Q38" s="5" t="str">
        <f t="shared" si="5"/>
        <v>Powerful missile weapons</v>
      </c>
      <c r="R38" s="68">
        <f>COUNTIF(Builder!$K$6:$N$6,Q38)</f>
        <v>0</v>
      </c>
      <c r="S38" s="68" t="str">
        <f>IF(R38=1,Stats!$N53,"")</f>
        <v/>
      </c>
      <c r="T38" s="68" t="str">
        <f>IF(R38=1,Stats!$O53,"")</f>
        <v/>
      </c>
      <c r="U38" s="68" t="str">
        <f>IF(R38=1,Stats!$P53,"")</f>
        <v/>
      </c>
      <c r="V38" s="68" t="str">
        <f>IF(R38=1,Stats!$Q53,"")</f>
        <v/>
      </c>
      <c r="W38" s="68" t="str">
        <f>IF(R38=1,Stats!$R53,"")</f>
        <v/>
      </c>
      <c r="X38" s="68" t="str">
        <f>IF(R38=1,Stats!$S53,"")</f>
        <v/>
      </c>
      <c r="Y38" s="68">
        <f t="shared" si="6"/>
        <v>0</v>
      </c>
      <c r="Z38">
        <f t="shared" si="7"/>
        <v>0</v>
      </c>
      <c r="AA38" s="68">
        <f>IF(Z38=0,MAX($AA$2:AA37)+1,0)</f>
        <v>36</v>
      </c>
      <c r="AB38" s="5" t="str">
        <f t="shared" si="8"/>
        <v>Powerful missile weapons</v>
      </c>
      <c r="AC38" s="5" t="str">
        <f t="shared" si="9"/>
        <v>Powerful missile weapons</v>
      </c>
      <c r="AD38" s="5"/>
      <c r="AE38">
        <f t="shared" si="10"/>
        <v>36</v>
      </c>
      <c r="AF38" s="5" t="str">
        <f t="shared" si="11"/>
        <v>Powerful missile weapons</v>
      </c>
      <c r="AG38" s="68">
        <f>COUNTIF(Builder!$K$7:$N$7,AF38)</f>
        <v>0</v>
      </c>
      <c r="AH38" s="68" t="str">
        <f>IF(AG38=1,Stats!$N53,"")</f>
        <v/>
      </c>
      <c r="AI38" s="68" t="str">
        <f>IF(AG38=1,Stats!$O53,"")</f>
        <v/>
      </c>
      <c r="AJ38" s="68" t="str">
        <f>IF(AG38=1,Stats!$P53,"")</f>
        <v/>
      </c>
      <c r="AK38" s="68" t="str">
        <f>IF(AG38=1,Stats!$Q53,"")</f>
        <v/>
      </c>
      <c r="AL38" s="68" t="str">
        <f>IF(AG38=1,Stats!$R53,"")</f>
        <v/>
      </c>
      <c r="AM38" s="68" t="str">
        <f>IF(AG38=1,Stats!$S53,"")</f>
        <v/>
      </c>
      <c r="AN38" s="68">
        <f t="shared" si="12"/>
        <v>0</v>
      </c>
      <c r="AO38">
        <f t="shared" si="13"/>
        <v>0</v>
      </c>
      <c r="AP38" s="68">
        <f>IF(AO38=0,MAX($AP$2:AP37)+1,0)</f>
        <v>36</v>
      </c>
      <c r="AQ38" s="5" t="str">
        <f t="shared" si="14"/>
        <v>Powerful missile weapons</v>
      </c>
      <c r="AR38" s="5" t="str">
        <f t="shared" si="15"/>
        <v>Powerful missile weapons</v>
      </c>
      <c r="AS38" s="5"/>
      <c r="AT38">
        <f t="shared" si="16"/>
        <v>36</v>
      </c>
      <c r="AU38" s="5" t="str">
        <f t="shared" si="17"/>
        <v>Powerful missile weapons</v>
      </c>
      <c r="AV38" s="68">
        <f>COUNTIF(Builder!$K$8:$N$8,AU38)</f>
        <v>0</v>
      </c>
      <c r="AW38" s="68" t="str">
        <f>IF(AV38=1,Stats!$N53,"")</f>
        <v/>
      </c>
      <c r="AX38" s="68" t="str">
        <f>IF(AV38=1,Stats!$O53,"")</f>
        <v/>
      </c>
      <c r="AY38" s="68" t="str">
        <f>IF(AV38=1,Stats!$P53,"")</f>
        <v/>
      </c>
      <c r="AZ38" s="68" t="str">
        <f>IF(AV38=1,Stats!$Q53,"")</f>
        <v/>
      </c>
      <c r="BA38" s="68" t="str">
        <f>IF(AV38=1,Stats!$R53,"")</f>
        <v/>
      </c>
      <c r="BB38" s="68" t="str">
        <f>IF(AV38=1,Stats!$S53,"")</f>
        <v/>
      </c>
      <c r="BC38" s="68">
        <f t="shared" si="18"/>
        <v>0</v>
      </c>
      <c r="BD38">
        <f t="shared" si="19"/>
        <v>0</v>
      </c>
      <c r="BE38" s="68">
        <f>IF(BD38=0,MAX($BE$2:BE37)+1,0)</f>
        <v>36</v>
      </c>
      <c r="BF38" s="5" t="str">
        <f t="shared" si="20"/>
        <v>Powerful missile weapons</v>
      </c>
      <c r="BG38" s="5" t="str">
        <f t="shared" si="21"/>
        <v>Powerful missile weapons</v>
      </c>
      <c r="BH38" s="5"/>
      <c r="BI38">
        <f t="shared" si="148"/>
        <v>36</v>
      </c>
      <c r="BJ38" s="5" t="str">
        <f t="shared" si="149"/>
        <v>Powerful missile weapons</v>
      </c>
      <c r="BK38" s="68">
        <f>COUNTIF(Builder!$K$9:$N$9,BJ38)</f>
        <v>0</v>
      </c>
      <c r="BL38" s="68" t="str">
        <f>IF(BK38=1,Stats!$N53,"")</f>
        <v/>
      </c>
      <c r="BM38" s="68" t="str">
        <f>IF(BK38=1,Stats!$O53,"")</f>
        <v/>
      </c>
      <c r="BN38" s="68" t="str">
        <f>IF(BK38=1,Stats!$P53,"")</f>
        <v/>
      </c>
      <c r="BO38" s="68" t="str">
        <f>IF(BK38=1,Stats!$Q53,"")</f>
        <v/>
      </c>
      <c r="BP38" s="68" t="str">
        <f>IF(BK38=1,Stats!$R53,"")</f>
        <v/>
      </c>
      <c r="BQ38" s="68" t="str">
        <f>IF(BK38=1,Stats!$S53,"")</f>
        <v/>
      </c>
      <c r="BR38" s="68">
        <f t="shared" si="150"/>
        <v>0</v>
      </c>
      <c r="BS38">
        <f t="shared" si="151"/>
        <v>0</v>
      </c>
      <c r="BT38" s="68">
        <f>IF(BS38=0,MAX(BT$2:BT37)+1,0)</f>
        <v>36</v>
      </c>
      <c r="BU38" s="5" t="str">
        <f t="shared" si="152"/>
        <v>Powerful missile weapons</v>
      </c>
      <c r="BV38" s="5" t="str">
        <f t="shared" si="27"/>
        <v>Powerful missile weapons</v>
      </c>
      <c r="BX38">
        <f t="shared" si="153"/>
        <v>36</v>
      </c>
      <c r="BY38" s="5" t="str">
        <f t="shared" si="154"/>
        <v>Powerful missile weapons</v>
      </c>
      <c r="BZ38" s="68">
        <f>COUNTIF(Builder!$K$10:$N$10,BY38)</f>
        <v>0</v>
      </c>
      <c r="CA38" s="68" t="str">
        <f>IF(BZ38=1,Stats!$N53,"")</f>
        <v/>
      </c>
      <c r="CB38" s="68" t="str">
        <f>IF(BZ38=1,Stats!$O53,"")</f>
        <v/>
      </c>
      <c r="CC38" s="68" t="str">
        <f>IF(BZ38=1,Stats!$P53,"")</f>
        <v/>
      </c>
      <c r="CD38" s="68" t="str">
        <f>IF(BZ38=1,Stats!$Q53,"")</f>
        <v/>
      </c>
      <c r="CE38" s="68" t="str">
        <f>IF(BZ38=1,Stats!$R53,"")</f>
        <v/>
      </c>
      <c r="CF38" s="68" t="str">
        <f>IF(BZ38=1,Stats!$S53,"")</f>
        <v/>
      </c>
      <c r="CG38" s="68">
        <f t="shared" si="155"/>
        <v>0</v>
      </c>
      <c r="CH38">
        <f t="shared" si="156"/>
        <v>0</v>
      </c>
      <c r="CI38" s="68">
        <f>IF(CH38=0,MAX(CI$2:CI37)+1,0)</f>
        <v>36</v>
      </c>
      <c r="CJ38" s="5" t="str">
        <f t="shared" si="157"/>
        <v>Powerful missile weapons</v>
      </c>
      <c r="CK38" s="5" t="str">
        <f t="shared" si="33"/>
        <v>Powerful missile weapons</v>
      </c>
      <c r="CM38">
        <f t="shared" si="34"/>
        <v>36</v>
      </c>
      <c r="CN38" s="5" t="str">
        <f t="shared" si="35"/>
        <v>Powerful missile weapons</v>
      </c>
      <c r="CO38" s="68">
        <f>COUNTIF(Builder!$K$11:$N$11,CN38)</f>
        <v>0</v>
      </c>
      <c r="CP38" s="68" t="str">
        <f>IF(CO38=1,Stats!$N53,"")</f>
        <v/>
      </c>
      <c r="CQ38" s="68" t="str">
        <f>IF(CO38=1,Stats!$O53,"")</f>
        <v/>
      </c>
      <c r="CR38" s="68" t="str">
        <f>IF(CO38=1,Stats!$P53,"")</f>
        <v/>
      </c>
      <c r="CS38" s="68" t="str">
        <f>IF(CO38=1,Stats!$Q53,"")</f>
        <v/>
      </c>
      <c r="CT38" s="68" t="str">
        <f>IF(CO38=1,Stats!$R53,"")</f>
        <v/>
      </c>
      <c r="CU38" s="68" t="str">
        <f>IF(CO38=1,Stats!$S53,"")</f>
        <v/>
      </c>
      <c r="CV38" s="68">
        <f t="shared" si="36"/>
        <v>0</v>
      </c>
      <c r="CW38">
        <f t="shared" si="37"/>
        <v>0</v>
      </c>
      <c r="CX38" s="68">
        <f>IF(CW38=0,MAX(CX$2:CX37)+1,0)</f>
        <v>36</v>
      </c>
      <c r="CY38" s="5" t="str">
        <f t="shared" si="38"/>
        <v>Powerful missile weapons</v>
      </c>
      <c r="CZ38" s="5" t="str">
        <f t="shared" si="39"/>
        <v>Powerful missile weapons</v>
      </c>
      <c r="DB38">
        <f t="shared" si="158"/>
        <v>36</v>
      </c>
      <c r="DC38" s="5" t="str">
        <f t="shared" si="159"/>
        <v>Powerful missile weapons</v>
      </c>
      <c r="DD38" s="68">
        <f>COUNTIF(Builder!$K$12:$N$12,DC38)</f>
        <v>0</v>
      </c>
      <c r="DE38" s="68" t="str">
        <f>IF(DD38=1,Stats!$N53,"")</f>
        <v/>
      </c>
      <c r="DF38" s="68" t="str">
        <f>IF(DD38=1,Stats!$O53,"")</f>
        <v/>
      </c>
      <c r="DG38" s="68" t="str">
        <f>IF(DD38=1,Stats!$P53,"")</f>
        <v/>
      </c>
      <c r="DH38" s="68" t="str">
        <f>IF(DD38=1,Stats!$Q53,"")</f>
        <v/>
      </c>
      <c r="DI38" s="68" t="str">
        <f>IF(DD38=1,Stats!$R53,"")</f>
        <v/>
      </c>
      <c r="DJ38" s="68" t="str">
        <f>IF(DD38=1,Stats!$S53,"")</f>
        <v/>
      </c>
      <c r="DK38" s="68">
        <f t="shared" si="160"/>
        <v>0</v>
      </c>
      <c r="DL38">
        <f t="shared" si="161"/>
        <v>0</v>
      </c>
      <c r="DM38" s="68">
        <f>IF(DL38=0,MAX(DM$2:DM37)+1,0)</f>
        <v>36</v>
      </c>
      <c r="DN38" s="5" t="str">
        <f t="shared" si="162"/>
        <v>Powerful missile weapons</v>
      </c>
      <c r="DO38" s="5" t="str">
        <f t="shared" si="45"/>
        <v>Powerful missile weapons</v>
      </c>
      <c r="DQ38">
        <f t="shared" si="163"/>
        <v>36</v>
      </c>
      <c r="DR38" s="5" t="str">
        <f t="shared" si="164"/>
        <v>Powerful missile weapons</v>
      </c>
      <c r="DS38" s="68">
        <f>COUNTIF(Builder!$K$13:$N$13,DR38)</f>
        <v>0</v>
      </c>
      <c r="DT38" s="68" t="str">
        <f>IF(DS38=1,Stats!$N53,"")</f>
        <v/>
      </c>
      <c r="DU38" s="68" t="str">
        <f>IF(DS38=1,Stats!$O53,"")</f>
        <v/>
      </c>
      <c r="DV38" s="68" t="str">
        <f>IF(DS38=1,Stats!$P53,"")</f>
        <v/>
      </c>
      <c r="DW38" s="68" t="str">
        <f>IF(DS38=1,Stats!$Q53,"")</f>
        <v/>
      </c>
      <c r="DX38" s="68" t="str">
        <f>IF(DS38=1,Stats!$R53,"")</f>
        <v/>
      </c>
      <c r="DY38" s="68" t="str">
        <f>IF(DS38=1,Stats!$S53,"")</f>
        <v/>
      </c>
      <c r="DZ38" s="68">
        <f t="shared" si="165"/>
        <v>0</v>
      </c>
      <c r="EA38">
        <f t="shared" si="166"/>
        <v>0</v>
      </c>
      <c r="EB38" s="68">
        <f>IF(EA38=0,MAX(EB$2:EB37)+1,0)</f>
        <v>36</v>
      </c>
      <c r="EC38" s="5" t="str">
        <f t="shared" si="167"/>
        <v>Powerful missile weapons</v>
      </c>
      <c r="ED38" s="5" t="str">
        <f t="shared" si="51"/>
        <v>Powerful missile weapons</v>
      </c>
      <c r="EF38">
        <f t="shared" si="52"/>
        <v>36</v>
      </c>
      <c r="EG38" s="5" t="str">
        <f t="shared" si="53"/>
        <v>Powerful missile weapons</v>
      </c>
      <c r="EH38" s="68">
        <f>COUNTIF(Builder!$K$14:$N$14,EG38)</f>
        <v>0</v>
      </c>
      <c r="EI38" s="68" t="str">
        <f>IF(EH38=1,Stats!$N53,"")</f>
        <v/>
      </c>
      <c r="EJ38" s="68" t="str">
        <f>IF(EH38=1,Stats!$O53,"")</f>
        <v/>
      </c>
      <c r="EK38" s="68" t="str">
        <f>IF(EH38=1,Stats!$P53,"")</f>
        <v/>
      </c>
      <c r="EL38" s="68" t="str">
        <f>IF(EH38=1,Stats!$Q53,"")</f>
        <v/>
      </c>
      <c r="EM38" s="68" t="str">
        <f>IF(EH38=1,Stats!$R53,"")</f>
        <v/>
      </c>
      <c r="EN38" s="68" t="str">
        <f>IF(EH38=1,Stats!$S53,"")</f>
        <v/>
      </c>
      <c r="EO38" s="68">
        <f t="shared" si="54"/>
        <v>0</v>
      </c>
      <c r="EP38">
        <f t="shared" si="55"/>
        <v>0</v>
      </c>
      <c r="EQ38" s="68">
        <f>IF(EP38=0,MAX(EQ$2:EQ37)+1,0)</f>
        <v>36</v>
      </c>
      <c r="ER38" s="5" t="str">
        <f t="shared" si="56"/>
        <v>Powerful missile weapons</v>
      </c>
      <c r="ES38" s="5" t="str">
        <f t="shared" si="57"/>
        <v>Powerful missile weapons</v>
      </c>
      <c r="EU38">
        <f t="shared" si="58"/>
        <v>36</v>
      </c>
      <c r="EV38" s="5" t="str">
        <f t="shared" si="59"/>
        <v>Powerful missile weapons</v>
      </c>
      <c r="EW38" s="68">
        <f>COUNTIF(Builder!$K$15:$N$15,EV38)</f>
        <v>0</v>
      </c>
      <c r="EX38" s="68" t="str">
        <f>IF(EW38=1,Stats!$N53,"")</f>
        <v/>
      </c>
      <c r="EY38" s="68" t="str">
        <f>IF(EW38=1,Stats!$O53,"")</f>
        <v/>
      </c>
      <c r="EZ38" s="68" t="str">
        <f>IF(EW38=1,Stats!$P53,"")</f>
        <v/>
      </c>
      <c r="FA38" s="68" t="str">
        <f>IF(EW38=1,Stats!$Q53,"")</f>
        <v/>
      </c>
      <c r="FB38" s="68" t="str">
        <f>IF(EW38=1,Stats!$R53,"")</f>
        <v/>
      </c>
      <c r="FC38" s="68" t="str">
        <f>IF(EW38=1,Stats!$S53,"")</f>
        <v/>
      </c>
      <c r="FD38" s="68">
        <f t="shared" si="60"/>
        <v>0</v>
      </c>
      <c r="FE38">
        <f t="shared" si="61"/>
        <v>0</v>
      </c>
      <c r="FF38" s="68">
        <f>IF(FE38=0,MAX(FF$2:FF37)+1,0)</f>
        <v>36</v>
      </c>
      <c r="FG38" s="5" t="str">
        <f t="shared" si="62"/>
        <v>Powerful missile weapons</v>
      </c>
      <c r="FH38" s="5" t="str">
        <f t="shared" si="63"/>
        <v>Powerful missile weapons</v>
      </c>
      <c r="FJ38">
        <f t="shared" si="64"/>
        <v>36</v>
      </c>
      <c r="FK38" s="5" t="str">
        <f t="shared" si="65"/>
        <v>Powerful missile weapons</v>
      </c>
      <c r="FL38" s="68">
        <f>COUNTIF(Builder!$K$16:$N$16,FK38)</f>
        <v>0</v>
      </c>
      <c r="FM38" s="68" t="str">
        <f>IF(FL38=1,Stats!$N53,"")</f>
        <v/>
      </c>
      <c r="FN38" s="68" t="str">
        <f>IF(FL38=1,Stats!$O53,"")</f>
        <v/>
      </c>
      <c r="FO38" s="68" t="str">
        <f>IF(FL38=1,Stats!$P53,"")</f>
        <v/>
      </c>
      <c r="FP38" s="68" t="str">
        <f>IF(FL38=1,Stats!$Q53,"")</f>
        <v/>
      </c>
      <c r="FQ38" s="68" t="str">
        <f>IF(FL38=1,Stats!$R53,"")</f>
        <v/>
      </c>
      <c r="FR38" s="68" t="str">
        <f>IF(FL38=1,Stats!$S53,"")</f>
        <v/>
      </c>
      <c r="FS38" s="68">
        <f t="shared" si="66"/>
        <v>0</v>
      </c>
      <c r="FT38">
        <f t="shared" si="67"/>
        <v>0</v>
      </c>
      <c r="FU38" s="68">
        <f>IF(FT38=0,MAX(FU$2:FU37)+1,0)</f>
        <v>36</v>
      </c>
      <c r="FV38" s="5" t="str">
        <f t="shared" si="68"/>
        <v>Powerful missile weapons</v>
      </c>
      <c r="FW38" s="5" t="str">
        <f t="shared" si="69"/>
        <v>Powerful missile weapons</v>
      </c>
      <c r="FY38">
        <f t="shared" si="168"/>
        <v>36</v>
      </c>
      <c r="FZ38" s="5" t="str">
        <f t="shared" si="169"/>
        <v>Powerful missile weapons</v>
      </c>
      <c r="GA38" s="68">
        <f>COUNTIF(Builder!$K$17:$N$17,FZ38)</f>
        <v>0</v>
      </c>
      <c r="GB38" s="68" t="str">
        <f>IF(GA38=1,Stats!$N53,"")</f>
        <v/>
      </c>
      <c r="GC38" s="68" t="str">
        <f>IF(GA38=1,Stats!$O53,"")</f>
        <v/>
      </c>
      <c r="GD38" s="68" t="str">
        <f>IF(GA38=1,Stats!$P53,"")</f>
        <v/>
      </c>
      <c r="GE38" s="68" t="str">
        <f>IF(GA38=1,Stats!$Q53,"")</f>
        <v/>
      </c>
      <c r="GF38" s="68" t="str">
        <f>IF(GA38=1,Stats!$R53,"")</f>
        <v/>
      </c>
      <c r="GG38" s="68" t="str">
        <f>IF(GA38=1,Stats!$S53,"")</f>
        <v/>
      </c>
      <c r="GH38" s="68">
        <f t="shared" si="170"/>
        <v>0</v>
      </c>
      <c r="GI38">
        <f t="shared" si="171"/>
        <v>0</v>
      </c>
      <c r="GJ38" s="68">
        <f>IF(GI38=0,MAX(GJ$2:GJ37)+1,0)</f>
        <v>36</v>
      </c>
      <c r="GK38" s="5" t="str">
        <f t="shared" si="172"/>
        <v>Powerful missile weapons</v>
      </c>
      <c r="GL38" s="5" t="str">
        <f t="shared" si="75"/>
        <v>Powerful missile weapons</v>
      </c>
      <c r="GN38">
        <f t="shared" si="76"/>
        <v>36</v>
      </c>
      <c r="GO38" s="5" t="str">
        <f t="shared" si="77"/>
        <v>Powerful missile weapons</v>
      </c>
      <c r="GP38" s="68">
        <f>COUNTIF(Builder!$K$18:$N$18,GO38)</f>
        <v>0</v>
      </c>
      <c r="GQ38" s="68" t="str">
        <f>IF(GP38=1,Stats!$N53,"")</f>
        <v/>
      </c>
      <c r="GR38" s="68" t="str">
        <f>IF(GP38=1,Stats!$O53,"")</f>
        <v/>
      </c>
      <c r="GS38" s="68" t="str">
        <f>IF(GP38=1,Stats!$P53,"")</f>
        <v/>
      </c>
      <c r="GT38" s="68" t="str">
        <f>IF(GP38=1,Stats!$Q53,"")</f>
        <v/>
      </c>
      <c r="GU38" s="68" t="str">
        <f>IF(GP38=1,Stats!$R53,"")</f>
        <v/>
      </c>
      <c r="GV38" s="68" t="str">
        <f>IF(GP38=1,Stats!$S53,"")</f>
        <v/>
      </c>
      <c r="GW38" s="68">
        <f t="shared" si="78"/>
        <v>0</v>
      </c>
      <c r="GX38">
        <f t="shared" si="79"/>
        <v>0</v>
      </c>
      <c r="GY38" s="68">
        <f>IF(GX38=0,MAX(GY$2:GY37)+1,0)</f>
        <v>36</v>
      </c>
      <c r="GZ38" s="5" t="str">
        <f t="shared" si="80"/>
        <v>Powerful missile weapons</v>
      </c>
      <c r="HA38" s="5" t="str">
        <f t="shared" si="81"/>
        <v>Powerful missile weapons</v>
      </c>
      <c r="HC38">
        <f t="shared" si="82"/>
        <v>36</v>
      </c>
      <c r="HD38" s="5" t="str">
        <f t="shared" si="83"/>
        <v>Powerful missile weapons</v>
      </c>
      <c r="HE38" s="68">
        <f>COUNTIF(Builder!$K$19:$N$19,HD38)</f>
        <v>0</v>
      </c>
      <c r="HF38" s="68" t="str">
        <f>IF(HE38=1,Stats!$N53,"")</f>
        <v/>
      </c>
      <c r="HG38" s="68" t="str">
        <f>IF(HE38=1,Stats!$O53,"")</f>
        <v/>
      </c>
      <c r="HH38" s="68" t="str">
        <f>IF(HE38=1,Stats!$P53,"")</f>
        <v/>
      </c>
      <c r="HI38" s="68" t="str">
        <f>IF(HE38=1,Stats!$Q53,"")</f>
        <v/>
      </c>
      <c r="HJ38" s="68" t="str">
        <f>IF(HE38=1,Stats!$R53,"")</f>
        <v/>
      </c>
      <c r="HK38" s="68" t="str">
        <f>IF(HE38=1,Stats!$S53,"")</f>
        <v/>
      </c>
      <c r="HL38" s="68">
        <f t="shared" si="84"/>
        <v>0</v>
      </c>
      <c r="HM38">
        <f t="shared" si="85"/>
        <v>0</v>
      </c>
      <c r="HN38" s="68">
        <f>IF(HM38=0,MAX(HN$2:HN37)+1,0)</f>
        <v>36</v>
      </c>
      <c r="HO38" s="5" t="str">
        <f t="shared" si="86"/>
        <v>Powerful missile weapons</v>
      </c>
      <c r="HP38" s="5" t="str">
        <f t="shared" si="87"/>
        <v>Powerful missile weapons</v>
      </c>
      <c r="HR38">
        <f t="shared" si="88"/>
        <v>36</v>
      </c>
      <c r="HS38" s="5" t="str">
        <f t="shared" si="89"/>
        <v>Powerful missile weapons</v>
      </c>
      <c r="HT38" s="68">
        <f>COUNTIF(Builder!$K$20:$N$20,HS38)</f>
        <v>0</v>
      </c>
      <c r="HU38" s="68" t="str">
        <f>IF(HT38=1,Stats!$N53,"")</f>
        <v/>
      </c>
      <c r="HV38" s="68" t="str">
        <f>IF(HT38=1,Stats!$O53,"")</f>
        <v/>
      </c>
      <c r="HW38" s="68" t="str">
        <f>IF(HT38=1,Stats!$P53,"")</f>
        <v/>
      </c>
      <c r="HX38" s="68" t="str">
        <f>IF(HT38=1,Stats!$Q53,"")</f>
        <v/>
      </c>
      <c r="HY38" s="68" t="str">
        <f>IF(HT38=1,Stats!$R53,"")</f>
        <v/>
      </c>
      <c r="HZ38" s="68" t="str">
        <f>IF(HT38=1,Stats!$S53,"")</f>
        <v/>
      </c>
      <c r="IA38" s="68">
        <f t="shared" si="90"/>
        <v>0</v>
      </c>
      <c r="IB38">
        <f t="shared" si="91"/>
        <v>0</v>
      </c>
      <c r="IC38" s="68">
        <f>IF(IB38=0,MAX(IC$2:IC37)+1,0)</f>
        <v>36</v>
      </c>
      <c r="ID38" s="5" t="str">
        <f t="shared" si="92"/>
        <v>Powerful missile weapons</v>
      </c>
      <c r="IE38" s="5" t="str">
        <f t="shared" si="93"/>
        <v>Powerful missile weapons</v>
      </c>
      <c r="IG38">
        <f t="shared" si="94"/>
        <v>36</v>
      </c>
      <c r="IH38" s="5" t="str">
        <f t="shared" si="95"/>
        <v>Powerful missile weapons</v>
      </c>
      <c r="II38" s="68">
        <f>COUNTIF(Builder!$K$21:$N$21,IH38)</f>
        <v>0</v>
      </c>
      <c r="IJ38" s="68" t="str">
        <f>IF(II38=1,Stats!$N53,"")</f>
        <v/>
      </c>
      <c r="IK38" s="68" t="str">
        <f>IF(II38=1,Stats!$O53,"")</f>
        <v/>
      </c>
      <c r="IL38" s="68" t="str">
        <f>IF(II38=1,Stats!$P53,"")</f>
        <v/>
      </c>
      <c r="IM38" s="68" t="str">
        <f>IF(II38=1,Stats!$Q53,"")</f>
        <v/>
      </c>
      <c r="IN38" s="68" t="str">
        <f>IF(II38=1,Stats!$R53,"")</f>
        <v/>
      </c>
      <c r="IO38" s="68" t="str">
        <f>IF(II38=1,Stats!$S53,"")</f>
        <v/>
      </c>
      <c r="IP38" s="68">
        <f t="shared" si="96"/>
        <v>0</v>
      </c>
      <c r="IQ38">
        <f t="shared" si="97"/>
        <v>0</v>
      </c>
      <c r="IR38" s="68">
        <f>IF(IQ38=0,MAX(IR$2:IR37)+1,0)</f>
        <v>36</v>
      </c>
      <c r="IS38" s="5" t="str">
        <f t="shared" si="98"/>
        <v>Powerful missile weapons</v>
      </c>
      <c r="IT38" s="5" t="str">
        <f t="shared" si="99"/>
        <v>Powerful missile weapons</v>
      </c>
      <c r="IV38">
        <f t="shared" si="100"/>
        <v>36</v>
      </c>
      <c r="IW38" s="5" t="str">
        <f t="shared" si="101"/>
        <v>Powerful missile weapons</v>
      </c>
      <c r="IX38" s="68">
        <f>COUNTIF(Builder!$K$22:$N$22,IW38)</f>
        <v>0</v>
      </c>
      <c r="IY38" s="68" t="str">
        <f>IF(IX38=1,Stats!$N53,"")</f>
        <v/>
      </c>
      <c r="IZ38" s="68" t="str">
        <f>IF(IX38=1,Stats!$O53,"")</f>
        <v/>
      </c>
      <c r="JA38" s="68" t="str">
        <f>IF(IX38=1,Stats!$P53,"")</f>
        <v/>
      </c>
      <c r="JB38" s="68" t="str">
        <f>IF(IX38=1,Stats!$Q53,"")</f>
        <v/>
      </c>
      <c r="JC38" s="68" t="str">
        <f>IF(IX38=1,Stats!$R53,"")</f>
        <v/>
      </c>
      <c r="JD38" s="68" t="str">
        <f>IF(IX38=1,Stats!$S53,"")</f>
        <v/>
      </c>
      <c r="JE38" s="68">
        <f t="shared" si="102"/>
        <v>0</v>
      </c>
      <c r="JF38">
        <f t="shared" si="103"/>
        <v>0</v>
      </c>
      <c r="JG38" s="68">
        <f>IF(JF38=0,MAX(JG$2:JG37)+1,0)</f>
        <v>36</v>
      </c>
      <c r="JH38" s="5" t="str">
        <f t="shared" si="104"/>
        <v>Powerful missile weapons</v>
      </c>
      <c r="JI38" s="5" t="str">
        <f t="shared" si="105"/>
        <v>Powerful missile weapons</v>
      </c>
      <c r="JK38">
        <f t="shared" si="106"/>
        <v>36</v>
      </c>
      <c r="JL38" s="5" t="str">
        <f t="shared" si="107"/>
        <v>Powerful missile weapons</v>
      </c>
      <c r="JM38" s="68">
        <f>COUNTIF(Builder!$K$23:$N$23,JL38)</f>
        <v>0</v>
      </c>
      <c r="JN38" s="68" t="str">
        <f>IF(JM38=1,Stats!$N53,"")</f>
        <v/>
      </c>
      <c r="JO38" s="68" t="str">
        <f>IF(JM38=1,Stats!$O53,"")</f>
        <v/>
      </c>
      <c r="JP38" s="68" t="str">
        <f>IF(JM38=1,Stats!$P53,"")</f>
        <v/>
      </c>
      <c r="JQ38" s="68" t="str">
        <f>IF(JM38=1,Stats!$Q53,"")</f>
        <v/>
      </c>
      <c r="JR38" s="68" t="str">
        <f>IF(JM38=1,Stats!$R53,"")</f>
        <v/>
      </c>
      <c r="JS38" s="68" t="str">
        <f>IF(JM38=1,Stats!$S53,"")</f>
        <v/>
      </c>
      <c r="JT38" s="68">
        <f t="shared" si="108"/>
        <v>0</v>
      </c>
      <c r="JU38">
        <f t="shared" si="109"/>
        <v>0</v>
      </c>
      <c r="JV38" s="68">
        <f>IF(JU38=0,MAX(JV$2:JV37)+1,0)</f>
        <v>36</v>
      </c>
      <c r="JW38" s="5" t="str">
        <f t="shared" si="110"/>
        <v>Powerful missile weapons</v>
      </c>
      <c r="JX38" s="5" t="str">
        <f t="shared" si="111"/>
        <v>Powerful missile weapons</v>
      </c>
      <c r="JZ38">
        <f t="shared" si="112"/>
        <v>36</v>
      </c>
      <c r="KA38" s="5" t="str">
        <f t="shared" si="113"/>
        <v>Powerful missile weapons</v>
      </c>
      <c r="KB38" s="68">
        <f>COUNTIF(Builder!$K$24:$N$24,KA38)</f>
        <v>0</v>
      </c>
      <c r="KC38" s="68" t="str">
        <f>IF(KB38=1,Stats!$N53,"")</f>
        <v/>
      </c>
      <c r="KD38" s="68" t="str">
        <f>IF(KB38=1,Stats!$O53,"")</f>
        <v/>
      </c>
      <c r="KE38" s="68" t="str">
        <f>IF(KB38=1,Stats!$P53,"")</f>
        <v/>
      </c>
      <c r="KF38" s="68" t="str">
        <f>IF(KB38=1,Stats!$Q53,"")</f>
        <v/>
      </c>
      <c r="KG38" s="68" t="str">
        <f>IF(KB38=1,Stats!$R53,"")</f>
        <v/>
      </c>
      <c r="KH38" s="68" t="str">
        <f>IF(KB38=1,Stats!$S53,"")</f>
        <v/>
      </c>
      <c r="KI38" s="68">
        <f t="shared" si="114"/>
        <v>0</v>
      </c>
      <c r="KJ38">
        <f t="shared" si="115"/>
        <v>0</v>
      </c>
      <c r="KK38" s="68">
        <f>IF(KJ38=0,MAX(KK$2:KK37)+1,0)</f>
        <v>36</v>
      </c>
      <c r="KL38" s="5" t="str">
        <f t="shared" si="116"/>
        <v>Powerful missile weapons</v>
      </c>
      <c r="KM38" s="5" t="str">
        <f t="shared" si="117"/>
        <v>Powerful missile weapons</v>
      </c>
      <c r="KO38">
        <f t="shared" si="118"/>
        <v>36</v>
      </c>
      <c r="KP38" s="5" t="str">
        <f t="shared" si="119"/>
        <v>Powerful missile weapons</v>
      </c>
      <c r="KQ38" s="68">
        <f>COUNTIF(Builder!$K$25:$N$25,KP38)</f>
        <v>0</v>
      </c>
      <c r="KR38" s="68" t="str">
        <f>IF(KQ38=1,Stats!$N53,"")</f>
        <v/>
      </c>
      <c r="KS38" s="68" t="str">
        <f>IF(KQ38=1,Stats!$O53,"")</f>
        <v/>
      </c>
      <c r="KT38" s="68" t="str">
        <f>IF(KQ38=1,Stats!$P53,"")</f>
        <v/>
      </c>
      <c r="KU38" s="68" t="str">
        <f>IF(KQ38=1,Stats!$Q53,"")</f>
        <v/>
      </c>
      <c r="KV38" s="68" t="str">
        <f>IF(KQ38=1,Stats!$R53,"")</f>
        <v/>
      </c>
      <c r="KW38" s="68" t="str">
        <f>IF(KQ38=1,Stats!$S53,"")</f>
        <v/>
      </c>
      <c r="KX38" s="68">
        <f t="shared" si="120"/>
        <v>0</v>
      </c>
      <c r="KY38">
        <f t="shared" si="121"/>
        <v>0</v>
      </c>
      <c r="KZ38" s="68">
        <f>IF(KY38=0,MAX(KZ$2:KZ37)+1,0)</f>
        <v>36</v>
      </c>
      <c r="LA38" s="5" t="str">
        <f t="shared" si="122"/>
        <v>Powerful missile weapons</v>
      </c>
      <c r="LB38" s="5" t="str">
        <f t="shared" si="123"/>
        <v>Powerful missile weapons</v>
      </c>
      <c r="LD38">
        <f t="shared" si="124"/>
        <v>36</v>
      </c>
      <c r="LE38" s="5" t="str">
        <f t="shared" si="125"/>
        <v>Powerful missile weapons</v>
      </c>
      <c r="LF38" s="68">
        <f>COUNTIF(Builder!$K$26:$N$26,LE38)</f>
        <v>0</v>
      </c>
      <c r="LG38" s="68" t="str">
        <f>IF(LF38=1,Stats!$N53,"")</f>
        <v/>
      </c>
      <c r="LH38" s="68" t="str">
        <f>IF(LF38=1,Stats!$O53,"")</f>
        <v/>
      </c>
      <c r="LI38" s="68" t="str">
        <f>IF(LF38=1,Stats!$P53,"")</f>
        <v/>
      </c>
      <c r="LJ38" s="68" t="str">
        <f>IF(LF38=1,Stats!$Q53,"")</f>
        <v/>
      </c>
      <c r="LK38" s="68" t="str">
        <f>IF(LF38=1,Stats!$R53,"")</f>
        <v/>
      </c>
      <c r="LL38" s="68" t="str">
        <f>IF(LF38=1,Stats!$S53,"")</f>
        <v/>
      </c>
      <c r="LM38" s="68">
        <f t="shared" si="126"/>
        <v>0</v>
      </c>
      <c r="LN38">
        <f t="shared" si="127"/>
        <v>0</v>
      </c>
      <c r="LO38" s="68">
        <f>IF(LN38=0,MAX(LO$2:LO37)+1,0)</f>
        <v>36</v>
      </c>
      <c r="LP38" s="5" t="str">
        <f t="shared" si="128"/>
        <v>Powerful missile weapons</v>
      </c>
      <c r="LQ38" s="5" t="str">
        <f t="shared" si="129"/>
        <v>Powerful missile weapons</v>
      </c>
      <c r="LS38">
        <f t="shared" si="130"/>
        <v>36</v>
      </c>
      <c r="LT38" s="5" t="str">
        <f t="shared" si="131"/>
        <v>Powerful missile weapons</v>
      </c>
      <c r="LU38" s="68">
        <f>COUNTIF(Builder!$K$27:$N$27,LT38)</f>
        <v>0</v>
      </c>
      <c r="LV38" s="68" t="str">
        <f>IF(LU38=1,Stats!$N53,"")</f>
        <v/>
      </c>
      <c r="LW38" s="68" t="str">
        <f>IF(LU38=1,Stats!$O53,"")</f>
        <v/>
      </c>
      <c r="LX38" s="68" t="str">
        <f>IF(LU38=1,Stats!$P53,"")</f>
        <v/>
      </c>
      <c r="LY38" s="68" t="str">
        <f>IF(LU38=1,Stats!$Q53,"")</f>
        <v/>
      </c>
      <c r="LZ38" s="68" t="str">
        <f>IF(LU38=1,Stats!$R53,"")</f>
        <v/>
      </c>
      <c r="MA38" s="68" t="str">
        <f>IF(LU38=1,Stats!$S53,"")</f>
        <v/>
      </c>
      <c r="MB38" s="68">
        <f t="shared" si="132"/>
        <v>0</v>
      </c>
      <c r="MC38">
        <f t="shared" si="133"/>
        <v>0</v>
      </c>
      <c r="MD38" s="68">
        <f>IF(MC38=0,MAX(MD$2:MD37)+1,0)</f>
        <v>36</v>
      </c>
      <c r="ME38" s="5" t="str">
        <f t="shared" si="134"/>
        <v>Powerful missile weapons</v>
      </c>
      <c r="MF38" s="5" t="str">
        <f t="shared" si="135"/>
        <v>Powerful missile weapons</v>
      </c>
      <c r="MH38">
        <f t="shared" si="136"/>
        <v>36</v>
      </c>
      <c r="MI38" s="5" t="str">
        <f t="shared" si="137"/>
        <v>Powerful missile weapons</v>
      </c>
      <c r="MJ38" s="68">
        <f>COUNTIF(Builder!$K$28:$N$28,MI38)</f>
        <v>0</v>
      </c>
      <c r="MK38" s="68" t="str">
        <f>IF(MJ38=1,Stats!$N53,"")</f>
        <v/>
      </c>
      <c r="ML38" s="68" t="str">
        <f>IF(MJ38=1,Stats!$O53,"")</f>
        <v/>
      </c>
      <c r="MM38" s="68" t="str">
        <f>IF(MJ38=1,Stats!$P53,"")</f>
        <v/>
      </c>
      <c r="MN38" s="68" t="str">
        <f>IF(MJ38=1,Stats!$Q53,"")</f>
        <v/>
      </c>
      <c r="MO38" s="68" t="str">
        <f>IF(MJ38=1,Stats!$R53,"")</f>
        <v/>
      </c>
      <c r="MP38" s="68" t="str">
        <f>IF(MJ38=1,Stats!$S53,"")</f>
        <v/>
      </c>
      <c r="MQ38" s="68">
        <f t="shared" si="138"/>
        <v>0</v>
      </c>
      <c r="MR38">
        <f t="shared" si="139"/>
        <v>0</v>
      </c>
      <c r="MS38" s="68">
        <f>IF(MR38=0,MAX(MS$2:MS37)+1,0)</f>
        <v>36</v>
      </c>
      <c r="MT38" s="5" t="str">
        <f t="shared" si="140"/>
        <v>Powerful missile weapons</v>
      </c>
      <c r="MU38" s="5" t="str">
        <f t="shared" si="141"/>
        <v>Powerful missile weapons</v>
      </c>
      <c r="MW38">
        <f t="shared" si="142"/>
        <v>36</v>
      </c>
      <c r="MX38" s="5" t="str">
        <f t="shared" si="143"/>
        <v>Powerful missile weapons</v>
      </c>
      <c r="MY38" s="68">
        <f>COUNTIF(Builder!$K$29:$N$29,MX38)</f>
        <v>0</v>
      </c>
      <c r="MZ38" s="68" t="str">
        <f>IF(MY38=1,Stats!$N53,"")</f>
        <v/>
      </c>
      <c r="NA38" s="68" t="str">
        <f>IF(MY38=1,Stats!$O53,"")</f>
        <v/>
      </c>
      <c r="NB38" s="68" t="str">
        <f>IF(MY38=1,Stats!$P53,"")</f>
        <v/>
      </c>
      <c r="NC38" s="68" t="str">
        <f>IF(MY38=1,Stats!$Q53,"")</f>
        <v/>
      </c>
      <c r="ND38" s="68" t="str">
        <f>IF(MY38=1,Stats!$R53,"")</f>
        <v/>
      </c>
      <c r="NE38" s="68" t="str">
        <f>IF(MY38=1,Stats!$S53,"")</f>
        <v/>
      </c>
      <c r="NF38" s="68">
        <f t="shared" si="144"/>
        <v>0</v>
      </c>
      <c r="NG38">
        <f t="shared" si="145"/>
        <v>0</v>
      </c>
      <c r="NH38" s="68">
        <f>IF(NG38=0,MAX(NH$2:NH37)+1,0)</f>
        <v>36</v>
      </c>
      <c r="NI38" s="5" t="str">
        <f t="shared" si="146"/>
        <v>Powerful missile weapons</v>
      </c>
      <c r="NJ38" s="5" t="str">
        <f t="shared" si="147"/>
        <v>Powerful missile weapons</v>
      </c>
    </row>
    <row r="39" spans="1:374" ht="15" x14ac:dyDescent="0.3">
      <c r="A39">
        <v>37</v>
      </c>
      <c r="B39" s="5" t="s">
        <v>40</v>
      </c>
      <c r="C39" s="68">
        <f>COUNTIF(Builder!$K$5:$N$5,B39)</f>
        <v>0</v>
      </c>
      <c r="D39" s="68" t="str">
        <f>IF(C39=1,Stats!$N54,"")</f>
        <v/>
      </c>
      <c r="E39" s="68" t="str">
        <f>IF(C39=1,Stats!$O54,"")</f>
        <v/>
      </c>
      <c r="F39" s="68" t="str">
        <f>IF(C39=1,Stats!$P54,"")</f>
        <v/>
      </c>
      <c r="G39" s="68" t="str">
        <f>IF(C39=1,Stats!$Q54,"")</f>
        <v/>
      </c>
      <c r="H39" s="68" t="str">
        <f>IF(C39=1,Stats!$R54,"")</f>
        <v/>
      </c>
      <c r="I39" s="68" t="str">
        <f>IF(C39=1,Stats!$S54,"")</f>
        <v/>
      </c>
      <c r="J39" s="68">
        <f t="shared" si="0"/>
        <v>0</v>
      </c>
      <c r="K39">
        <f t="shared" si="1"/>
        <v>0</v>
      </c>
      <c r="L39" s="68">
        <f>IF(K39=0,MAX($L$2:L38)+1,0)</f>
        <v>37</v>
      </c>
      <c r="M39" s="5" t="str">
        <f t="shared" si="2"/>
        <v>Proud</v>
      </c>
      <c r="N39" s="5" t="str">
        <f t="shared" si="3"/>
        <v>Proud</v>
      </c>
      <c r="O39" s="5"/>
      <c r="P39">
        <f t="shared" si="4"/>
        <v>37</v>
      </c>
      <c r="Q39" s="5" t="str">
        <f t="shared" si="5"/>
        <v>Proud</v>
      </c>
      <c r="R39" s="68">
        <f>COUNTIF(Builder!$K$6:$N$6,Q39)</f>
        <v>0</v>
      </c>
      <c r="S39" s="68" t="str">
        <f>IF(R39=1,Stats!$N54,"")</f>
        <v/>
      </c>
      <c r="T39" s="68" t="str">
        <f>IF(R39=1,Stats!$O54,"")</f>
        <v/>
      </c>
      <c r="U39" s="68" t="str">
        <f>IF(R39=1,Stats!$P54,"")</f>
        <v/>
      </c>
      <c r="V39" s="68" t="str">
        <f>IF(R39=1,Stats!$Q54,"")</f>
        <v/>
      </c>
      <c r="W39" s="68" t="str">
        <f>IF(R39=1,Stats!$R54,"")</f>
        <v/>
      </c>
      <c r="X39" s="68" t="str">
        <f>IF(R39=1,Stats!$S54,"")</f>
        <v/>
      </c>
      <c r="Y39" s="68">
        <f t="shared" si="6"/>
        <v>0</v>
      </c>
      <c r="Z39">
        <f t="shared" si="7"/>
        <v>0</v>
      </c>
      <c r="AA39" s="68">
        <f>IF(Z39=0,MAX($AA$2:AA38)+1,0)</f>
        <v>37</v>
      </c>
      <c r="AB39" s="5" t="str">
        <f t="shared" si="8"/>
        <v>Proud</v>
      </c>
      <c r="AC39" s="5" t="str">
        <f t="shared" si="9"/>
        <v>Proud</v>
      </c>
      <c r="AD39" s="5"/>
      <c r="AE39">
        <f t="shared" si="10"/>
        <v>37</v>
      </c>
      <c r="AF39" s="5" t="str">
        <f t="shared" si="11"/>
        <v>Proud</v>
      </c>
      <c r="AG39" s="68">
        <f>COUNTIF(Builder!$K$7:$N$7,AF39)</f>
        <v>0</v>
      </c>
      <c r="AH39" s="68" t="str">
        <f>IF(AG39=1,Stats!$N54,"")</f>
        <v/>
      </c>
      <c r="AI39" s="68" t="str">
        <f>IF(AG39=1,Stats!$O54,"")</f>
        <v/>
      </c>
      <c r="AJ39" s="68" t="str">
        <f>IF(AG39=1,Stats!$P54,"")</f>
        <v/>
      </c>
      <c r="AK39" s="68" t="str">
        <f>IF(AG39=1,Stats!$Q54,"")</f>
        <v/>
      </c>
      <c r="AL39" s="68" t="str">
        <f>IF(AG39=1,Stats!$R54,"")</f>
        <v/>
      </c>
      <c r="AM39" s="68" t="str">
        <f>IF(AG39=1,Stats!$S54,"")</f>
        <v/>
      </c>
      <c r="AN39" s="68">
        <f t="shared" si="12"/>
        <v>0</v>
      </c>
      <c r="AO39">
        <f t="shared" si="13"/>
        <v>0</v>
      </c>
      <c r="AP39" s="68">
        <f>IF(AO39=0,MAX($AP$2:AP38)+1,0)</f>
        <v>37</v>
      </c>
      <c r="AQ39" s="5" t="str">
        <f t="shared" si="14"/>
        <v>Proud</v>
      </c>
      <c r="AR39" s="5" t="str">
        <f t="shared" si="15"/>
        <v>Proud</v>
      </c>
      <c r="AS39" s="5"/>
      <c r="AT39">
        <f t="shared" si="16"/>
        <v>37</v>
      </c>
      <c r="AU39" s="5" t="str">
        <f t="shared" si="17"/>
        <v>Proud</v>
      </c>
      <c r="AV39" s="68">
        <f>COUNTIF(Builder!$K$8:$N$8,AU39)</f>
        <v>0</v>
      </c>
      <c r="AW39" s="68" t="str">
        <f>IF(AV39=1,Stats!$N54,"")</f>
        <v/>
      </c>
      <c r="AX39" s="68" t="str">
        <f>IF(AV39=1,Stats!$O54,"")</f>
        <v/>
      </c>
      <c r="AY39" s="68" t="str">
        <f>IF(AV39=1,Stats!$P54,"")</f>
        <v/>
      </c>
      <c r="AZ39" s="68" t="str">
        <f>IF(AV39=1,Stats!$Q54,"")</f>
        <v/>
      </c>
      <c r="BA39" s="68" t="str">
        <f>IF(AV39=1,Stats!$R54,"")</f>
        <v/>
      </c>
      <c r="BB39" s="68" t="str">
        <f>IF(AV39=1,Stats!$S54,"")</f>
        <v/>
      </c>
      <c r="BC39" s="68">
        <f t="shared" si="18"/>
        <v>0</v>
      </c>
      <c r="BD39">
        <f t="shared" si="19"/>
        <v>0</v>
      </c>
      <c r="BE39" s="68">
        <f>IF(BD39=0,MAX($BE$2:BE38)+1,0)</f>
        <v>37</v>
      </c>
      <c r="BF39" s="5" t="str">
        <f t="shared" si="20"/>
        <v>Proud</v>
      </c>
      <c r="BG39" s="5" t="str">
        <f t="shared" si="21"/>
        <v>Proud</v>
      </c>
      <c r="BH39" s="5"/>
      <c r="BI39">
        <f t="shared" si="148"/>
        <v>37</v>
      </c>
      <c r="BJ39" s="5" t="str">
        <f t="shared" si="149"/>
        <v>Proud</v>
      </c>
      <c r="BK39" s="68">
        <f>COUNTIF(Builder!$K$9:$N$9,BJ39)</f>
        <v>0</v>
      </c>
      <c r="BL39" s="68" t="str">
        <f>IF(BK39=1,Stats!$N54,"")</f>
        <v/>
      </c>
      <c r="BM39" s="68" t="str">
        <f>IF(BK39=1,Stats!$O54,"")</f>
        <v/>
      </c>
      <c r="BN39" s="68" t="str">
        <f>IF(BK39=1,Stats!$P54,"")</f>
        <v/>
      </c>
      <c r="BO39" s="68" t="str">
        <f>IF(BK39=1,Stats!$Q54,"")</f>
        <v/>
      </c>
      <c r="BP39" s="68" t="str">
        <f>IF(BK39=1,Stats!$R54,"")</f>
        <v/>
      </c>
      <c r="BQ39" s="68" t="str">
        <f>IF(BK39=1,Stats!$S54,"")</f>
        <v/>
      </c>
      <c r="BR39" s="68">
        <f t="shared" si="150"/>
        <v>0</v>
      </c>
      <c r="BS39">
        <f t="shared" si="151"/>
        <v>0</v>
      </c>
      <c r="BT39" s="68">
        <f>IF(BS39=0,MAX(BT$2:BT38)+1,0)</f>
        <v>37</v>
      </c>
      <c r="BU39" s="5" t="str">
        <f t="shared" si="152"/>
        <v>Proud</v>
      </c>
      <c r="BV39" s="5" t="str">
        <f t="shared" si="27"/>
        <v>Proud</v>
      </c>
      <c r="BX39">
        <f t="shared" si="153"/>
        <v>37</v>
      </c>
      <c r="BY39" s="5" t="str">
        <f t="shared" si="154"/>
        <v>Proud</v>
      </c>
      <c r="BZ39" s="68">
        <f>COUNTIF(Builder!$K$10:$N$10,BY39)</f>
        <v>0</v>
      </c>
      <c r="CA39" s="68" t="str">
        <f>IF(BZ39=1,Stats!$N54,"")</f>
        <v/>
      </c>
      <c r="CB39" s="68" t="str">
        <f>IF(BZ39=1,Stats!$O54,"")</f>
        <v/>
      </c>
      <c r="CC39" s="68" t="str">
        <f>IF(BZ39=1,Stats!$P54,"")</f>
        <v/>
      </c>
      <c r="CD39" s="68" t="str">
        <f>IF(BZ39=1,Stats!$Q54,"")</f>
        <v/>
      </c>
      <c r="CE39" s="68" t="str">
        <f>IF(BZ39=1,Stats!$R54,"")</f>
        <v/>
      </c>
      <c r="CF39" s="68" t="str">
        <f>IF(BZ39=1,Stats!$S54,"")</f>
        <v/>
      </c>
      <c r="CG39" s="68">
        <f t="shared" si="155"/>
        <v>0</v>
      </c>
      <c r="CH39">
        <f t="shared" si="156"/>
        <v>0</v>
      </c>
      <c r="CI39" s="68">
        <f>IF(CH39=0,MAX(CI$2:CI38)+1,0)</f>
        <v>37</v>
      </c>
      <c r="CJ39" s="5" t="str">
        <f t="shared" si="157"/>
        <v>Proud</v>
      </c>
      <c r="CK39" s="5" t="str">
        <f t="shared" si="33"/>
        <v>Proud</v>
      </c>
      <c r="CM39">
        <f t="shared" si="34"/>
        <v>37</v>
      </c>
      <c r="CN39" s="5" t="str">
        <f t="shared" si="35"/>
        <v>Proud</v>
      </c>
      <c r="CO39" s="68">
        <f>COUNTIF(Builder!$K$11:$N$11,CN39)</f>
        <v>0</v>
      </c>
      <c r="CP39" s="68" t="str">
        <f>IF(CO39=1,Stats!$N54,"")</f>
        <v/>
      </c>
      <c r="CQ39" s="68" t="str">
        <f>IF(CO39=1,Stats!$O54,"")</f>
        <v/>
      </c>
      <c r="CR39" s="68" t="str">
        <f>IF(CO39=1,Stats!$P54,"")</f>
        <v/>
      </c>
      <c r="CS39" s="68" t="str">
        <f>IF(CO39=1,Stats!$Q54,"")</f>
        <v/>
      </c>
      <c r="CT39" s="68" t="str">
        <f>IF(CO39=1,Stats!$R54,"")</f>
        <v/>
      </c>
      <c r="CU39" s="68" t="str">
        <f>IF(CO39=1,Stats!$S54,"")</f>
        <v/>
      </c>
      <c r="CV39" s="68">
        <f t="shared" si="36"/>
        <v>0</v>
      </c>
      <c r="CW39">
        <f t="shared" si="37"/>
        <v>0</v>
      </c>
      <c r="CX39" s="68">
        <f>IF(CW39=0,MAX(CX$2:CX38)+1,0)</f>
        <v>37</v>
      </c>
      <c r="CY39" s="5" t="str">
        <f t="shared" si="38"/>
        <v>Proud</v>
      </c>
      <c r="CZ39" s="5" t="str">
        <f t="shared" si="39"/>
        <v>Proud</v>
      </c>
      <c r="DB39">
        <f t="shared" si="158"/>
        <v>37</v>
      </c>
      <c r="DC39" s="5" t="str">
        <f t="shared" si="159"/>
        <v>Proud</v>
      </c>
      <c r="DD39" s="68">
        <f>COUNTIF(Builder!$K$12:$N$12,DC39)</f>
        <v>0</v>
      </c>
      <c r="DE39" s="68" t="str">
        <f>IF(DD39=1,Stats!$N54,"")</f>
        <v/>
      </c>
      <c r="DF39" s="68" t="str">
        <f>IF(DD39=1,Stats!$O54,"")</f>
        <v/>
      </c>
      <c r="DG39" s="68" t="str">
        <f>IF(DD39=1,Stats!$P54,"")</f>
        <v/>
      </c>
      <c r="DH39" s="68" t="str">
        <f>IF(DD39=1,Stats!$Q54,"")</f>
        <v/>
      </c>
      <c r="DI39" s="68" t="str">
        <f>IF(DD39=1,Stats!$R54,"")</f>
        <v/>
      </c>
      <c r="DJ39" s="68" t="str">
        <f>IF(DD39=1,Stats!$S54,"")</f>
        <v/>
      </c>
      <c r="DK39" s="68">
        <f t="shared" si="160"/>
        <v>0</v>
      </c>
      <c r="DL39">
        <f t="shared" si="161"/>
        <v>0</v>
      </c>
      <c r="DM39" s="68">
        <f>IF(DL39=0,MAX(DM$2:DM38)+1,0)</f>
        <v>37</v>
      </c>
      <c r="DN39" s="5" t="str">
        <f t="shared" si="162"/>
        <v>Proud</v>
      </c>
      <c r="DO39" s="5" t="str">
        <f t="shared" si="45"/>
        <v>Proud</v>
      </c>
      <c r="DQ39">
        <f t="shared" si="163"/>
        <v>37</v>
      </c>
      <c r="DR39" s="5" t="str">
        <f t="shared" si="164"/>
        <v>Proud</v>
      </c>
      <c r="DS39" s="68">
        <f>COUNTIF(Builder!$K$13:$N$13,DR39)</f>
        <v>0</v>
      </c>
      <c r="DT39" s="68" t="str">
        <f>IF(DS39=1,Stats!$N54,"")</f>
        <v/>
      </c>
      <c r="DU39" s="68" t="str">
        <f>IF(DS39=1,Stats!$O54,"")</f>
        <v/>
      </c>
      <c r="DV39" s="68" t="str">
        <f>IF(DS39=1,Stats!$P54,"")</f>
        <v/>
      </c>
      <c r="DW39" s="68" t="str">
        <f>IF(DS39=1,Stats!$Q54,"")</f>
        <v/>
      </c>
      <c r="DX39" s="68" t="str">
        <f>IF(DS39=1,Stats!$R54,"")</f>
        <v/>
      </c>
      <c r="DY39" s="68" t="str">
        <f>IF(DS39=1,Stats!$S54,"")</f>
        <v/>
      </c>
      <c r="DZ39" s="68">
        <f t="shared" si="165"/>
        <v>0</v>
      </c>
      <c r="EA39">
        <f t="shared" si="166"/>
        <v>0</v>
      </c>
      <c r="EB39" s="68">
        <f>IF(EA39=0,MAX(EB$2:EB38)+1,0)</f>
        <v>37</v>
      </c>
      <c r="EC39" s="5" t="str">
        <f t="shared" si="167"/>
        <v>Proud</v>
      </c>
      <c r="ED39" s="5" t="str">
        <f t="shared" si="51"/>
        <v>Proud</v>
      </c>
      <c r="EF39">
        <f t="shared" si="52"/>
        <v>37</v>
      </c>
      <c r="EG39" s="5" t="str">
        <f t="shared" si="53"/>
        <v>Proud</v>
      </c>
      <c r="EH39" s="68">
        <f>COUNTIF(Builder!$K$14:$N$14,EG39)</f>
        <v>0</v>
      </c>
      <c r="EI39" s="68" t="str">
        <f>IF(EH39=1,Stats!$N54,"")</f>
        <v/>
      </c>
      <c r="EJ39" s="68" t="str">
        <f>IF(EH39=1,Stats!$O54,"")</f>
        <v/>
      </c>
      <c r="EK39" s="68" t="str">
        <f>IF(EH39=1,Stats!$P54,"")</f>
        <v/>
      </c>
      <c r="EL39" s="68" t="str">
        <f>IF(EH39=1,Stats!$Q54,"")</f>
        <v/>
      </c>
      <c r="EM39" s="68" t="str">
        <f>IF(EH39=1,Stats!$R54,"")</f>
        <v/>
      </c>
      <c r="EN39" s="68" t="str">
        <f>IF(EH39=1,Stats!$S54,"")</f>
        <v/>
      </c>
      <c r="EO39" s="68">
        <f t="shared" si="54"/>
        <v>0</v>
      </c>
      <c r="EP39">
        <f t="shared" si="55"/>
        <v>0</v>
      </c>
      <c r="EQ39" s="68">
        <f>IF(EP39=0,MAX(EQ$2:EQ38)+1,0)</f>
        <v>37</v>
      </c>
      <c r="ER39" s="5" t="str">
        <f t="shared" si="56"/>
        <v>Proud</v>
      </c>
      <c r="ES39" s="5" t="str">
        <f t="shared" si="57"/>
        <v>Proud</v>
      </c>
      <c r="EU39">
        <f t="shared" si="58"/>
        <v>37</v>
      </c>
      <c r="EV39" s="5" t="str">
        <f t="shared" si="59"/>
        <v>Proud</v>
      </c>
      <c r="EW39" s="68">
        <f>COUNTIF(Builder!$K$15:$N$15,EV39)</f>
        <v>0</v>
      </c>
      <c r="EX39" s="68" t="str">
        <f>IF(EW39=1,Stats!$N54,"")</f>
        <v/>
      </c>
      <c r="EY39" s="68" t="str">
        <f>IF(EW39=1,Stats!$O54,"")</f>
        <v/>
      </c>
      <c r="EZ39" s="68" t="str">
        <f>IF(EW39=1,Stats!$P54,"")</f>
        <v/>
      </c>
      <c r="FA39" s="68" t="str">
        <f>IF(EW39=1,Stats!$Q54,"")</f>
        <v/>
      </c>
      <c r="FB39" s="68" t="str">
        <f>IF(EW39=1,Stats!$R54,"")</f>
        <v/>
      </c>
      <c r="FC39" s="68" t="str">
        <f>IF(EW39=1,Stats!$S54,"")</f>
        <v/>
      </c>
      <c r="FD39" s="68">
        <f t="shared" si="60"/>
        <v>0</v>
      </c>
      <c r="FE39">
        <f t="shared" si="61"/>
        <v>0</v>
      </c>
      <c r="FF39" s="68">
        <f>IF(FE39=0,MAX(FF$2:FF38)+1,0)</f>
        <v>37</v>
      </c>
      <c r="FG39" s="5" t="str">
        <f t="shared" si="62"/>
        <v>Proud</v>
      </c>
      <c r="FH39" s="5" t="str">
        <f t="shared" si="63"/>
        <v>Proud</v>
      </c>
      <c r="FJ39">
        <f t="shared" si="64"/>
        <v>37</v>
      </c>
      <c r="FK39" s="5" t="str">
        <f t="shared" si="65"/>
        <v>Proud</v>
      </c>
      <c r="FL39" s="68">
        <f>COUNTIF(Builder!$K$16:$N$16,FK39)</f>
        <v>0</v>
      </c>
      <c r="FM39" s="68" t="str">
        <f>IF(FL39=1,Stats!$N54,"")</f>
        <v/>
      </c>
      <c r="FN39" s="68" t="str">
        <f>IF(FL39=1,Stats!$O54,"")</f>
        <v/>
      </c>
      <c r="FO39" s="68" t="str">
        <f>IF(FL39=1,Stats!$P54,"")</f>
        <v/>
      </c>
      <c r="FP39" s="68" t="str">
        <f>IF(FL39=1,Stats!$Q54,"")</f>
        <v/>
      </c>
      <c r="FQ39" s="68" t="str">
        <f>IF(FL39=1,Stats!$R54,"")</f>
        <v/>
      </c>
      <c r="FR39" s="68" t="str">
        <f>IF(FL39=1,Stats!$S54,"")</f>
        <v/>
      </c>
      <c r="FS39" s="68">
        <f t="shared" si="66"/>
        <v>0</v>
      </c>
      <c r="FT39">
        <f t="shared" si="67"/>
        <v>0</v>
      </c>
      <c r="FU39" s="68">
        <f>IF(FT39=0,MAX(FU$2:FU38)+1,0)</f>
        <v>37</v>
      </c>
      <c r="FV39" s="5" t="str">
        <f t="shared" si="68"/>
        <v>Proud</v>
      </c>
      <c r="FW39" s="5" t="str">
        <f t="shared" si="69"/>
        <v>Proud</v>
      </c>
      <c r="FY39">
        <f t="shared" si="168"/>
        <v>37</v>
      </c>
      <c r="FZ39" s="5" t="str">
        <f t="shared" si="169"/>
        <v>Proud</v>
      </c>
      <c r="GA39" s="68">
        <f>COUNTIF(Builder!$K$17:$N$17,FZ39)</f>
        <v>0</v>
      </c>
      <c r="GB39" s="68" t="str">
        <f>IF(GA39=1,Stats!$N54,"")</f>
        <v/>
      </c>
      <c r="GC39" s="68" t="str">
        <f>IF(GA39=1,Stats!$O54,"")</f>
        <v/>
      </c>
      <c r="GD39" s="68" t="str">
        <f>IF(GA39=1,Stats!$P54,"")</f>
        <v/>
      </c>
      <c r="GE39" s="68" t="str">
        <f>IF(GA39=1,Stats!$Q54,"")</f>
        <v/>
      </c>
      <c r="GF39" s="68" t="str">
        <f>IF(GA39=1,Stats!$R54,"")</f>
        <v/>
      </c>
      <c r="GG39" s="68" t="str">
        <f>IF(GA39=1,Stats!$S54,"")</f>
        <v/>
      </c>
      <c r="GH39" s="68">
        <f t="shared" si="170"/>
        <v>0</v>
      </c>
      <c r="GI39">
        <f t="shared" si="171"/>
        <v>0</v>
      </c>
      <c r="GJ39" s="68">
        <f>IF(GI39=0,MAX(GJ$2:GJ38)+1,0)</f>
        <v>37</v>
      </c>
      <c r="GK39" s="5" t="str">
        <f t="shared" si="172"/>
        <v>Proud</v>
      </c>
      <c r="GL39" s="5" t="str">
        <f t="shared" si="75"/>
        <v>Proud</v>
      </c>
      <c r="GN39">
        <f t="shared" si="76"/>
        <v>37</v>
      </c>
      <c r="GO39" s="5" t="str">
        <f t="shared" si="77"/>
        <v>Proud</v>
      </c>
      <c r="GP39" s="68">
        <f>COUNTIF(Builder!$K$18:$N$18,GO39)</f>
        <v>0</v>
      </c>
      <c r="GQ39" s="68" t="str">
        <f>IF(GP39=1,Stats!$N54,"")</f>
        <v/>
      </c>
      <c r="GR39" s="68" t="str">
        <f>IF(GP39=1,Stats!$O54,"")</f>
        <v/>
      </c>
      <c r="GS39" s="68" t="str">
        <f>IF(GP39=1,Stats!$P54,"")</f>
        <v/>
      </c>
      <c r="GT39" s="68" t="str">
        <f>IF(GP39=1,Stats!$Q54,"")</f>
        <v/>
      </c>
      <c r="GU39" s="68" t="str">
        <f>IF(GP39=1,Stats!$R54,"")</f>
        <v/>
      </c>
      <c r="GV39" s="68" t="str">
        <f>IF(GP39=1,Stats!$S54,"")</f>
        <v/>
      </c>
      <c r="GW39" s="68">
        <f t="shared" si="78"/>
        <v>0</v>
      </c>
      <c r="GX39">
        <f t="shared" si="79"/>
        <v>0</v>
      </c>
      <c r="GY39" s="68">
        <f>IF(GX39=0,MAX(GY$2:GY38)+1,0)</f>
        <v>37</v>
      </c>
      <c r="GZ39" s="5" t="str">
        <f t="shared" si="80"/>
        <v>Proud</v>
      </c>
      <c r="HA39" s="5" t="str">
        <f t="shared" si="81"/>
        <v>Proud</v>
      </c>
      <c r="HC39">
        <f t="shared" si="82"/>
        <v>37</v>
      </c>
      <c r="HD39" s="5" t="str">
        <f t="shared" si="83"/>
        <v>Proud</v>
      </c>
      <c r="HE39" s="68">
        <f>COUNTIF(Builder!$K$19:$N$19,HD39)</f>
        <v>0</v>
      </c>
      <c r="HF39" s="68" t="str">
        <f>IF(HE39=1,Stats!$N54,"")</f>
        <v/>
      </c>
      <c r="HG39" s="68" t="str">
        <f>IF(HE39=1,Stats!$O54,"")</f>
        <v/>
      </c>
      <c r="HH39" s="68" t="str">
        <f>IF(HE39=1,Stats!$P54,"")</f>
        <v/>
      </c>
      <c r="HI39" s="68" t="str">
        <f>IF(HE39=1,Stats!$Q54,"")</f>
        <v/>
      </c>
      <c r="HJ39" s="68" t="str">
        <f>IF(HE39=1,Stats!$R54,"")</f>
        <v/>
      </c>
      <c r="HK39" s="68" t="str">
        <f>IF(HE39=1,Stats!$S54,"")</f>
        <v/>
      </c>
      <c r="HL39" s="68">
        <f t="shared" si="84"/>
        <v>0</v>
      </c>
      <c r="HM39">
        <f t="shared" si="85"/>
        <v>0</v>
      </c>
      <c r="HN39" s="68">
        <f>IF(HM39=0,MAX(HN$2:HN38)+1,0)</f>
        <v>37</v>
      </c>
      <c r="HO39" s="5" t="str">
        <f t="shared" si="86"/>
        <v>Proud</v>
      </c>
      <c r="HP39" s="5" t="str">
        <f t="shared" si="87"/>
        <v>Proud</v>
      </c>
      <c r="HR39">
        <f t="shared" si="88"/>
        <v>37</v>
      </c>
      <c r="HS39" s="5" t="str">
        <f t="shared" si="89"/>
        <v>Proud</v>
      </c>
      <c r="HT39" s="68">
        <f>COUNTIF(Builder!$K$20:$N$20,HS39)</f>
        <v>0</v>
      </c>
      <c r="HU39" s="68" t="str">
        <f>IF(HT39=1,Stats!$N54,"")</f>
        <v/>
      </c>
      <c r="HV39" s="68" t="str">
        <f>IF(HT39=1,Stats!$O54,"")</f>
        <v/>
      </c>
      <c r="HW39" s="68" t="str">
        <f>IF(HT39=1,Stats!$P54,"")</f>
        <v/>
      </c>
      <c r="HX39" s="68" t="str">
        <f>IF(HT39=1,Stats!$Q54,"")</f>
        <v/>
      </c>
      <c r="HY39" s="68" t="str">
        <f>IF(HT39=1,Stats!$R54,"")</f>
        <v/>
      </c>
      <c r="HZ39" s="68" t="str">
        <f>IF(HT39=1,Stats!$S54,"")</f>
        <v/>
      </c>
      <c r="IA39" s="68">
        <f t="shared" si="90"/>
        <v>0</v>
      </c>
      <c r="IB39">
        <f t="shared" si="91"/>
        <v>0</v>
      </c>
      <c r="IC39" s="68">
        <f>IF(IB39=0,MAX(IC$2:IC38)+1,0)</f>
        <v>37</v>
      </c>
      <c r="ID39" s="5" t="str">
        <f t="shared" si="92"/>
        <v>Proud</v>
      </c>
      <c r="IE39" s="5" t="str">
        <f t="shared" si="93"/>
        <v>Proud</v>
      </c>
      <c r="IG39">
        <f t="shared" si="94"/>
        <v>37</v>
      </c>
      <c r="IH39" s="5" t="str">
        <f t="shared" si="95"/>
        <v>Proud</v>
      </c>
      <c r="II39" s="68">
        <f>COUNTIF(Builder!$K$21:$N$21,IH39)</f>
        <v>0</v>
      </c>
      <c r="IJ39" s="68" t="str">
        <f>IF(II39=1,Stats!$N54,"")</f>
        <v/>
      </c>
      <c r="IK39" s="68" t="str">
        <f>IF(II39=1,Stats!$O54,"")</f>
        <v/>
      </c>
      <c r="IL39" s="68" t="str">
        <f>IF(II39=1,Stats!$P54,"")</f>
        <v/>
      </c>
      <c r="IM39" s="68" t="str">
        <f>IF(II39=1,Stats!$Q54,"")</f>
        <v/>
      </c>
      <c r="IN39" s="68" t="str">
        <f>IF(II39=1,Stats!$R54,"")</f>
        <v/>
      </c>
      <c r="IO39" s="68" t="str">
        <f>IF(II39=1,Stats!$S54,"")</f>
        <v/>
      </c>
      <c r="IP39" s="68">
        <f t="shared" si="96"/>
        <v>0</v>
      </c>
      <c r="IQ39">
        <f t="shared" si="97"/>
        <v>0</v>
      </c>
      <c r="IR39" s="68">
        <f>IF(IQ39=0,MAX(IR$2:IR38)+1,0)</f>
        <v>37</v>
      </c>
      <c r="IS39" s="5" t="str">
        <f t="shared" si="98"/>
        <v>Proud</v>
      </c>
      <c r="IT39" s="5" t="str">
        <f t="shared" si="99"/>
        <v>Proud</v>
      </c>
      <c r="IV39">
        <f t="shared" si="100"/>
        <v>37</v>
      </c>
      <c r="IW39" s="5" t="str">
        <f t="shared" si="101"/>
        <v>Proud</v>
      </c>
      <c r="IX39" s="68">
        <f>COUNTIF(Builder!$K$22:$N$22,IW39)</f>
        <v>0</v>
      </c>
      <c r="IY39" s="68" t="str">
        <f>IF(IX39=1,Stats!$N54,"")</f>
        <v/>
      </c>
      <c r="IZ39" s="68" t="str">
        <f>IF(IX39=1,Stats!$O54,"")</f>
        <v/>
      </c>
      <c r="JA39" s="68" t="str">
        <f>IF(IX39=1,Stats!$P54,"")</f>
        <v/>
      </c>
      <c r="JB39" s="68" t="str">
        <f>IF(IX39=1,Stats!$Q54,"")</f>
        <v/>
      </c>
      <c r="JC39" s="68" t="str">
        <f>IF(IX39=1,Stats!$R54,"")</f>
        <v/>
      </c>
      <c r="JD39" s="68" t="str">
        <f>IF(IX39=1,Stats!$S54,"")</f>
        <v/>
      </c>
      <c r="JE39" s="68">
        <f t="shared" si="102"/>
        <v>0</v>
      </c>
      <c r="JF39">
        <f t="shared" si="103"/>
        <v>0</v>
      </c>
      <c r="JG39" s="68">
        <f>IF(JF39=0,MAX(JG$2:JG38)+1,0)</f>
        <v>37</v>
      </c>
      <c r="JH39" s="5" t="str">
        <f t="shared" si="104"/>
        <v>Proud</v>
      </c>
      <c r="JI39" s="5" t="str">
        <f t="shared" si="105"/>
        <v>Proud</v>
      </c>
      <c r="JK39">
        <f t="shared" si="106"/>
        <v>37</v>
      </c>
      <c r="JL39" s="5" t="str">
        <f t="shared" si="107"/>
        <v>Proud</v>
      </c>
      <c r="JM39" s="68">
        <f>COUNTIF(Builder!$K$23:$N$23,JL39)</f>
        <v>0</v>
      </c>
      <c r="JN39" s="68" t="str">
        <f>IF(JM39=1,Stats!$N54,"")</f>
        <v/>
      </c>
      <c r="JO39" s="68" t="str">
        <f>IF(JM39=1,Stats!$O54,"")</f>
        <v/>
      </c>
      <c r="JP39" s="68" t="str">
        <f>IF(JM39=1,Stats!$P54,"")</f>
        <v/>
      </c>
      <c r="JQ39" s="68" t="str">
        <f>IF(JM39=1,Stats!$Q54,"")</f>
        <v/>
      </c>
      <c r="JR39" s="68" t="str">
        <f>IF(JM39=1,Stats!$R54,"")</f>
        <v/>
      </c>
      <c r="JS39" s="68" t="str">
        <f>IF(JM39=1,Stats!$S54,"")</f>
        <v/>
      </c>
      <c r="JT39" s="68">
        <f t="shared" si="108"/>
        <v>0</v>
      </c>
      <c r="JU39">
        <f t="shared" si="109"/>
        <v>0</v>
      </c>
      <c r="JV39" s="68">
        <f>IF(JU39=0,MAX(JV$2:JV38)+1,0)</f>
        <v>37</v>
      </c>
      <c r="JW39" s="5" t="str">
        <f t="shared" si="110"/>
        <v>Proud</v>
      </c>
      <c r="JX39" s="5" t="str">
        <f t="shared" si="111"/>
        <v>Proud</v>
      </c>
      <c r="JZ39">
        <f t="shared" si="112"/>
        <v>37</v>
      </c>
      <c r="KA39" s="5" t="str">
        <f t="shared" si="113"/>
        <v>Proud</v>
      </c>
      <c r="KB39" s="68">
        <f>COUNTIF(Builder!$K$24:$N$24,KA39)</f>
        <v>0</v>
      </c>
      <c r="KC39" s="68" t="str">
        <f>IF(KB39=1,Stats!$N54,"")</f>
        <v/>
      </c>
      <c r="KD39" s="68" t="str">
        <f>IF(KB39=1,Stats!$O54,"")</f>
        <v/>
      </c>
      <c r="KE39" s="68" t="str">
        <f>IF(KB39=1,Stats!$P54,"")</f>
        <v/>
      </c>
      <c r="KF39" s="68" t="str">
        <f>IF(KB39=1,Stats!$Q54,"")</f>
        <v/>
      </c>
      <c r="KG39" s="68" t="str">
        <f>IF(KB39=1,Stats!$R54,"")</f>
        <v/>
      </c>
      <c r="KH39" s="68" t="str">
        <f>IF(KB39=1,Stats!$S54,"")</f>
        <v/>
      </c>
      <c r="KI39" s="68">
        <f t="shared" si="114"/>
        <v>0</v>
      </c>
      <c r="KJ39">
        <f t="shared" si="115"/>
        <v>0</v>
      </c>
      <c r="KK39" s="68">
        <f>IF(KJ39=0,MAX(KK$2:KK38)+1,0)</f>
        <v>37</v>
      </c>
      <c r="KL39" s="5" t="str">
        <f t="shared" si="116"/>
        <v>Proud</v>
      </c>
      <c r="KM39" s="5" t="str">
        <f t="shared" si="117"/>
        <v>Proud</v>
      </c>
      <c r="KO39">
        <f t="shared" si="118"/>
        <v>37</v>
      </c>
      <c r="KP39" s="5" t="str">
        <f t="shared" si="119"/>
        <v>Proud</v>
      </c>
      <c r="KQ39" s="68">
        <f>COUNTIF(Builder!$K$25:$N$25,KP39)</f>
        <v>0</v>
      </c>
      <c r="KR39" s="68" t="str">
        <f>IF(KQ39=1,Stats!$N54,"")</f>
        <v/>
      </c>
      <c r="KS39" s="68" t="str">
        <f>IF(KQ39=1,Stats!$O54,"")</f>
        <v/>
      </c>
      <c r="KT39" s="68" t="str">
        <f>IF(KQ39=1,Stats!$P54,"")</f>
        <v/>
      </c>
      <c r="KU39" s="68" t="str">
        <f>IF(KQ39=1,Stats!$Q54,"")</f>
        <v/>
      </c>
      <c r="KV39" s="68" t="str">
        <f>IF(KQ39=1,Stats!$R54,"")</f>
        <v/>
      </c>
      <c r="KW39" s="68" t="str">
        <f>IF(KQ39=1,Stats!$S54,"")</f>
        <v/>
      </c>
      <c r="KX39" s="68">
        <f t="shared" si="120"/>
        <v>0</v>
      </c>
      <c r="KY39">
        <f t="shared" si="121"/>
        <v>0</v>
      </c>
      <c r="KZ39" s="68">
        <f>IF(KY39=0,MAX(KZ$2:KZ38)+1,0)</f>
        <v>37</v>
      </c>
      <c r="LA39" s="5" t="str">
        <f t="shared" si="122"/>
        <v>Proud</v>
      </c>
      <c r="LB39" s="5" t="str">
        <f t="shared" si="123"/>
        <v>Proud</v>
      </c>
      <c r="LD39">
        <f t="shared" si="124"/>
        <v>37</v>
      </c>
      <c r="LE39" s="5" t="str">
        <f t="shared" si="125"/>
        <v>Proud</v>
      </c>
      <c r="LF39" s="68">
        <f>COUNTIF(Builder!$K$26:$N$26,LE39)</f>
        <v>0</v>
      </c>
      <c r="LG39" s="68" t="str">
        <f>IF(LF39=1,Stats!$N54,"")</f>
        <v/>
      </c>
      <c r="LH39" s="68" t="str">
        <f>IF(LF39=1,Stats!$O54,"")</f>
        <v/>
      </c>
      <c r="LI39" s="68" t="str">
        <f>IF(LF39=1,Stats!$P54,"")</f>
        <v/>
      </c>
      <c r="LJ39" s="68" t="str">
        <f>IF(LF39=1,Stats!$Q54,"")</f>
        <v/>
      </c>
      <c r="LK39" s="68" t="str">
        <f>IF(LF39=1,Stats!$R54,"")</f>
        <v/>
      </c>
      <c r="LL39" s="68" t="str">
        <f>IF(LF39=1,Stats!$S54,"")</f>
        <v/>
      </c>
      <c r="LM39" s="68">
        <f t="shared" si="126"/>
        <v>0</v>
      </c>
      <c r="LN39">
        <f t="shared" si="127"/>
        <v>0</v>
      </c>
      <c r="LO39" s="68">
        <f>IF(LN39=0,MAX(LO$2:LO38)+1,0)</f>
        <v>37</v>
      </c>
      <c r="LP39" s="5" t="str">
        <f t="shared" si="128"/>
        <v>Proud</v>
      </c>
      <c r="LQ39" s="5" t="str">
        <f t="shared" si="129"/>
        <v>Proud</v>
      </c>
      <c r="LS39">
        <f t="shared" si="130"/>
        <v>37</v>
      </c>
      <c r="LT39" s="5" t="str">
        <f t="shared" si="131"/>
        <v>Proud</v>
      </c>
      <c r="LU39" s="68">
        <f>COUNTIF(Builder!$K$27:$N$27,LT39)</f>
        <v>0</v>
      </c>
      <c r="LV39" s="68" t="str">
        <f>IF(LU39=1,Stats!$N54,"")</f>
        <v/>
      </c>
      <c r="LW39" s="68" t="str">
        <f>IF(LU39=1,Stats!$O54,"")</f>
        <v/>
      </c>
      <c r="LX39" s="68" t="str">
        <f>IF(LU39=1,Stats!$P54,"")</f>
        <v/>
      </c>
      <c r="LY39" s="68" t="str">
        <f>IF(LU39=1,Stats!$Q54,"")</f>
        <v/>
      </c>
      <c r="LZ39" s="68" t="str">
        <f>IF(LU39=1,Stats!$R54,"")</f>
        <v/>
      </c>
      <c r="MA39" s="68" t="str">
        <f>IF(LU39=1,Stats!$S54,"")</f>
        <v/>
      </c>
      <c r="MB39" s="68">
        <f t="shared" si="132"/>
        <v>0</v>
      </c>
      <c r="MC39">
        <f t="shared" si="133"/>
        <v>0</v>
      </c>
      <c r="MD39" s="68">
        <f>IF(MC39=0,MAX(MD$2:MD38)+1,0)</f>
        <v>37</v>
      </c>
      <c r="ME39" s="5" t="str">
        <f t="shared" si="134"/>
        <v>Proud</v>
      </c>
      <c r="MF39" s="5" t="str">
        <f t="shared" si="135"/>
        <v>Proud</v>
      </c>
      <c r="MH39">
        <f t="shared" si="136"/>
        <v>37</v>
      </c>
      <c r="MI39" s="5" t="str">
        <f t="shared" si="137"/>
        <v>Proud</v>
      </c>
      <c r="MJ39" s="68">
        <f>COUNTIF(Builder!$K$28:$N$28,MI39)</f>
        <v>0</v>
      </c>
      <c r="MK39" s="68" t="str">
        <f>IF(MJ39=1,Stats!$N54,"")</f>
        <v/>
      </c>
      <c r="ML39" s="68" t="str">
        <f>IF(MJ39=1,Stats!$O54,"")</f>
        <v/>
      </c>
      <c r="MM39" s="68" t="str">
        <f>IF(MJ39=1,Stats!$P54,"")</f>
        <v/>
      </c>
      <c r="MN39" s="68" t="str">
        <f>IF(MJ39=1,Stats!$Q54,"")</f>
        <v/>
      </c>
      <c r="MO39" s="68" t="str">
        <f>IF(MJ39=1,Stats!$R54,"")</f>
        <v/>
      </c>
      <c r="MP39" s="68" t="str">
        <f>IF(MJ39=1,Stats!$S54,"")</f>
        <v/>
      </c>
      <c r="MQ39" s="68">
        <f t="shared" si="138"/>
        <v>0</v>
      </c>
      <c r="MR39">
        <f t="shared" si="139"/>
        <v>0</v>
      </c>
      <c r="MS39" s="68">
        <f>IF(MR39=0,MAX(MS$2:MS38)+1,0)</f>
        <v>37</v>
      </c>
      <c r="MT39" s="5" t="str">
        <f t="shared" si="140"/>
        <v>Proud</v>
      </c>
      <c r="MU39" s="5" t="str">
        <f t="shared" si="141"/>
        <v>Proud</v>
      </c>
      <c r="MW39">
        <f t="shared" si="142"/>
        <v>37</v>
      </c>
      <c r="MX39" s="5" t="str">
        <f t="shared" si="143"/>
        <v>Proud</v>
      </c>
      <c r="MY39" s="68">
        <f>COUNTIF(Builder!$K$29:$N$29,MX39)</f>
        <v>0</v>
      </c>
      <c r="MZ39" s="68" t="str">
        <f>IF(MY39=1,Stats!$N54,"")</f>
        <v/>
      </c>
      <c r="NA39" s="68" t="str">
        <f>IF(MY39=1,Stats!$O54,"")</f>
        <v/>
      </c>
      <c r="NB39" s="68" t="str">
        <f>IF(MY39=1,Stats!$P54,"")</f>
        <v/>
      </c>
      <c r="NC39" s="68" t="str">
        <f>IF(MY39=1,Stats!$Q54,"")</f>
        <v/>
      </c>
      <c r="ND39" s="68" t="str">
        <f>IF(MY39=1,Stats!$R54,"")</f>
        <v/>
      </c>
      <c r="NE39" s="68" t="str">
        <f>IF(MY39=1,Stats!$S54,"")</f>
        <v/>
      </c>
      <c r="NF39" s="68">
        <f t="shared" si="144"/>
        <v>0</v>
      </c>
      <c r="NG39">
        <f t="shared" si="145"/>
        <v>0</v>
      </c>
      <c r="NH39" s="68">
        <f>IF(NG39=0,MAX(NH$2:NH38)+1,0)</f>
        <v>37</v>
      </c>
      <c r="NI39" s="5" t="str">
        <f t="shared" si="146"/>
        <v>Proud</v>
      </c>
      <c r="NJ39" s="5" t="str">
        <f t="shared" si="147"/>
        <v>Proud</v>
      </c>
    </row>
    <row r="40" spans="1:374" ht="15" x14ac:dyDescent="0.3">
      <c r="A40">
        <v>38</v>
      </c>
      <c r="B40" s="5" t="s">
        <v>41</v>
      </c>
      <c r="C40" s="68">
        <f>COUNTIF(Builder!$K$5:$N$5,B40)</f>
        <v>0</v>
      </c>
      <c r="D40" s="68" t="str">
        <f>IF(C40=1,Stats!$N55,"")</f>
        <v/>
      </c>
      <c r="E40" s="68" t="str">
        <f>IF(C40=1,Stats!$O55,"")</f>
        <v/>
      </c>
      <c r="F40" s="68" t="str">
        <f>IF(C40=1,Stats!$P55,"")</f>
        <v/>
      </c>
      <c r="G40" s="68" t="str">
        <f>IF(C40=1,Stats!$Q55,"")</f>
        <v/>
      </c>
      <c r="H40" s="68" t="str">
        <f>IF(C40=1,Stats!$R55,"")</f>
        <v/>
      </c>
      <c r="I40" s="68" t="str">
        <f>IF(C40=1,Stats!$S55,"")</f>
        <v/>
      </c>
      <c r="J40" s="68">
        <f t="shared" si="0"/>
        <v>0</v>
      </c>
      <c r="K40">
        <f t="shared" si="1"/>
        <v>0</v>
      </c>
      <c r="L40" s="68">
        <f>IF(K40=0,MAX($L$2:L39)+1,0)</f>
        <v>38</v>
      </c>
      <c r="M40" s="5" t="str">
        <f t="shared" si="2"/>
        <v>Rabble</v>
      </c>
      <c r="N40" s="5" t="str">
        <f t="shared" si="3"/>
        <v>Rabble</v>
      </c>
      <c r="O40" s="5"/>
      <c r="P40">
        <f t="shared" si="4"/>
        <v>38</v>
      </c>
      <c r="Q40" s="5" t="str">
        <f t="shared" si="5"/>
        <v>Rabble</v>
      </c>
      <c r="R40" s="68">
        <f>COUNTIF(Builder!$K$6:$N$6,Q40)</f>
        <v>0</v>
      </c>
      <c r="S40" s="68" t="str">
        <f>IF(R40=1,Stats!$N55,"")</f>
        <v/>
      </c>
      <c r="T40" s="68" t="str">
        <f>IF(R40=1,Stats!$O55,"")</f>
        <v/>
      </c>
      <c r="U40" s="68" t="str">
        <f>IF(R40=1,Stats!$P55,"")</f>
        <v/>
      </c>
      <c r="V40" s="68" t="str">
        <f>IF(R40=1,Stats!$Q55,"")</f>
        <v/>
      </c>
      <c r="W40" s="68" t="str">
        <f>IF(R40=1,Stats!$R55,"")</f>
        <v/>
      </c>
      <c r="X40" s="68" t="str">
        <f>IF(R40=1,Stats!$S55,"")</f>
        <v/>
      </c>
      <c r="Y40" s="68">
        <f t="shared" si="6"/>
        <v>0</v>
      </c>
      <c r="Z40">
        <f t="shared" si="7"/>
        <v>0</v>
      </c>
      <c r="AA40" s="68">
        <f>IF(Z40=0,MAX($AA$2:AA39)+1,0)</f>
        <v>38</v>
      </c>
      <c r="AB40" s="5" t="str">
        <f t="shared" si="8"/>
        <v>Rabble</v>
      </c>
      <c r="AC40" s="5" t="str">
        <f t="shared" si="9"/>
        <v>Rabble</v>
      </c>
      <c r="AD40" s="5"/>
      <c r="AE40">
        <f t="shared" si="10"/>
        <v>38</v>
      </c>
      <c r="AF40" s="5" t="str">
        <f t="shared" si="11"/>
        <v>Rabble</v>
      </c>
      <c r="AG40" s="68">
        <f>COUNTIF(Builder!$K$7:$N$7,AF40)</f>
        <v>0</v>
      </c>
      <c r="AH40" s="68" t="str">
        <f>IF(AG40=1,Stats!$N55,"")</f>
        <v/>
      </c>
      <c r="AI40" s="68" t="str">
        <f>IF(AG40=1,Stats!$O55,"")</f>
        <v/>
      </c>
      <c r="AJ40" s="68" t="str">
        <f>IF(AG40=1,Stats!$P55,"")</f>
        <v/>
      </c>
      <c r="AK40" s="68" t="str">
        <f>IF(AG40=1,Stats!$Q55,"")</f>
        <v/>
      </c>
      <c r="AL40" s="68" t="str">
        <f>IF(AG40=1,Stats!$R55,"")</f>
        <v/>
      </c>
      <c r="AM40" s="68" t="str">
        <f>IF(AG40=1,Stats!$S55,"")</f>
        <v/>
      </c>
      <c r="AN40" s="68">
        <f t="shared" si="12"/>
        <v>0</v>
      </c>
      <c r="AO40">
        <f t="shared" si="13"/>
        <v>0</v>
      </c>
      <c r="AP40" s="68">
        <f>IF(AO40=0,MAX($AP$2:AP39)+1,0)</f>
        <v>38</v>
      </c>
      <c r="AQ40" s="5" t="str">
        <f t="shared" si="14"/>
        <v>Rabble</v>
      </c>
      <c r="AR40" s="5" t="str">
        <f t="shared" si="15"/>
        <v>Rabble</v>
      </c>
      <c r="AS40" s="5"/>
      <c r="AT40">
        <f t="shared" si="16"/>
        <v>38</v>
      </c>
      <c r="AU40" s="5" t="str">
        <f t="shared" si="17"/>
        <v>Rabble</v>
      </c>
      <c r="AV40" s="68">
        <f>COUNTIF(Builder!$K$8:$N$8,AU40)</f>
        <v>0</v>
      </c>
      <c r="AW40" s="68" t="str">
        <f>IF(AV40=1,Stats!$N55,"")</f>
        <v/>
      </c>
      <c r="AX40" s="68" t="str">
        <f>IF(AV40=1,Stats!$O55,"")</f>
        <v/>
      </c>
      <c r="AY40" s="68" t="str">
        <f>IF(AV40=1,Stats!$P55,"")</f>
        <v/>
      </c>
      <c r="AZ40" s="68" t="str">
        <f>IF(AV40=1,Stats!$Q55,"")</f>
        <v/>
      </c>
      <c r="BA40" s="68" t="str">
        <f>IF(AV40=1,Stats!$R55,"")</f>
        <v/>
      </c>
      <c r="BB40" s="68" t="str">
        <f>IF(AV40=1,Stats!$S55,"")</f>
        <v/>
      </c>
      <c r="BC40" s="68">
        <f t="shared" si="18"/>
        <v>0</v>
      </c>
      <c r="BD40">
        <f t="shared" si="19"/>
        <v>0</v>
      </c>
      <c r="BE40" s="68">
        <f>IF(BD40=0,MAX($BE$2:BE39)+1,0)</f>
        <v>38</v>
      </c>
      <c r="BF40" s="5" t="str">
        <f t="shared" si="20"/>
        <v>Rabble</v>
      </c>
      <c r="BG40" s="5" t="str">
        <f t="shared" si="21"/>
        <v>Rabble</v>
      </c>
      <c r="BH40" s="5"/>
      <c r="BI40">
        <f t="shared" si="148"/>
        <v>38</v>
      </c>
      <c r="BJ40" s="5" t="str">
        <f t="shared" si="149"/>
        <v>Rabble</v>
      </c>
      <c r="BK40" s="68">
        <f>COUNTIF(Builder!$K$9:$N$9,BJ40)</f>
        <v>0</v>
      </c>
      <c r="BL40" s="68" t="str">
        <f>IF(BK40=1,Stats!$N55,"")</f>
        <v/>
      </c>
      <c r="BM40" s="68" t="str">
        <f>IF(BK40=1,Stats!$O55,"")</f>
        <v/>
      </c>
      <c r="BN40" s="68" t="str">
        <f>IF(BK40=1,Stats!$P55,"")</f>
        <v/>
      </c>
      <c r="BO40" s="68" t="str">
        <f>IF(BK40=1,Stats!$Q55,"")</f>
        <v/>
      </c>
      <c r="BP40" s="68" t="str">
        <f>IF(BK40=1,Stats!$R55,"")</f>
        <v/>
      </c>
      <c r="BQ40" s="68" t="str">
        <f>IF(BK40=1,Stats!$S55,"")</f>
        <v/>
      </c>
      <c r="BR40" s="68">
        <f t="shared" si="150"/>
        <v>0</v>
      </c>
      <c r="BS40">
        <f t="shared" si="151"/>
        <v>0</v>
      </c>
      <c r="BT40" s="68">
        <f>IF(BS40=0,MAX(BT$2:BT39)+1,0)</f>
        <v>38</v>
      </c>
      <c r="BU40" s="5" t="str">
        <f t="shared" si="152"/>
        <v>Rabble</v>
      </c>
      <c r="BV40" s="5" t="str">
        <f t="shared" si="27"/>
        <v>Rabble</v>
      </c>
      <c r="BX40">
        <f t="shared" si="153"/>
        <v>38</v>
      </c>
      <c r="BY40" s="5" t="str">
        <f t="shared" si="154"/>
        <v>Rabble</v>
      </c>
      <c r="BZ40" s="68">
        <f>COUNTIF(Builder!$K$10:$N$10,BY40)</f>
        <v>0</v>
      </c>
      <c r="CA40" s="68" t="str">
        <f>IF(BZ40=1,Stats!$N55,"")</f>
        <v/>
      </c>
      <c r="CB40" s="68" t="str">
        <f>IF(BZ40=1,Stats!$O55,"")</f>
        <v/>
      </c>
      <c r="CC40" s="68" t="str">
        <f>IF(BZ40=1,Stats!$P55,"")</f>
        <v/>
      </c>
      <c r="CD40" s="68" t="str">
        <f>IF(BZ40=1,Stats!$Q55,"")</f>
        <v/>
      </c>
      <c r="CE40" s="68" t="str">
        <f>IF(BZ40=1,Stats!$R55,"")</f>
        <v/>
      </c>
      <c r="CF40" s="68" t="str">
        <f>IF(BZ40=1,Stats!$S55,"")</f>
        <v/>
      </c>
      <c r="CG40" s="68">
        <f t="shared" si="155"/>
        <v>0</v>
      </c>
      <c r="CH40">
        <f t="shared" si="156"/>
        <v>0</v>
      </c>
      <c r="CI40" s="68">
        <f>IF(CH40=0,MAX(CI$2:CI39)+1,0)</f>
        <v>38</v>
      </c>
      <c r="CJ40" s="5" t="str">
        <f t="shared" si="157"/>
        <v>Rabble</v>
      </c>
      <c r="CK40" s="5" t="str">
        <f t="shared" si="33"/>
        <v>Rabble</v>
      </c>
      <c r="CM40">
        <f t="shared" si="34"/>
        <v>38</v>
      </c>
      <c r="CN40" s="5" t="str">
        <f t="shared" si="35"/>
        <v>Rabble</v>
      </c>
      <c r="CO40" s="68">
        <f>COUNTIF(Builder!$K$11:$N$11,CN40)</f>
        <v>0</v>
      </c>
      <c r="CP40" s="68" t="str">
        <f>IF(CO40=1,Stats!$N55,"")</f>
        <v/>
      </c>
      <c r="CQ40" s="68" t="str">
        <f>IF(CO40=1,Stats!$O55,"")</f>
        <v/>
      </c>
      <c r="CR40" s="68" t="str">
        <f>IF(CO40=1,Stats!$P55,"")</f>
        <v/>
      </c>
      <c r="CS40" s="68" t="str">
        <f>IF(CO40=1,Stats!$Q55,"")</f>
        <v/>
      </c>
      <c r="CT40" s="68" t="str">
        <f>IF(CO40=1,Stats!$R55,"")</f>
        <v/>
      </c>
      <c r="CU40" s="68" t="str">
        <f>IF(CO40=1,Stats!$S55,"")</f>
        <v/>
      </c>
      <c r="CV40" s="68">
        <f t="shared" si="36"/>
        <v>0</v>
      </c>
      <c r="CW40">
        <f t="shared" si="37"/>
        <v>0</v>
      </c>
      <c r="CX40" s="68">
        <f>IF(CW40=0,MAX(CX$2:CX39)+1,0)</f>
        <v>38</v>
      </c>
      <c r="CY40" s="5" t="str">
        <f t="shared" si="38"/>
        <v>Rabble</v>
      </c>
      <c r="CZ40" s="5" t="str">
        <f t="shared" si="39"/>
        <v>Rabble</v>
      </c>
      <c r="DB40">
        <f t="shared" si="158"/>
        <v>38</v>
      </c>
      <c r="DC40" s="5" t="str">
        <f t="shared" si="159"/>
        <v>Rabble</v>
      </c>
      <c r="DD40" s="68">
        <f>COUNTIF(Builder!$K$12:$N$12,DC40)</f>
        <v>0</v>
      </c>
      <c r="DE40" s="68" t="str">
        <f>IF(DD40=1,Stats!$N55,"")</f>
        <v/>
      </c>
      <c r="DF40" s="68" t="str">
        <f>IF(DD40=1,Stats!$O55,"")</f>
        <v/>
      </c>
      <c r="DG40" s="68" t="str">
        <f>IF(DD40=1,Stats!$P55,"")</f>
        <v/>
      </c>
      <c r="DH40" s="68" t="str">
        <f>IF(DD40=1,Stats!$Q55,"")</f>
        <v/>
      </c>
      <c r="DI40" s="68" t="str">
        <f>IF(DD40=1,Stats!$R55,"")</f>
        <v/>
      </c>
      <c r="DJ40" s="68" t="str">
        <f>IF(DD40=1,Stats!$S55,"")</f>
        <v/>
      </c>
      <c r="DK40" s="68">
        <f t="shared" si="160"/>
        <v>0</v>
      </c>
      <c r="DL40">
        <f t="shared" si="161"/>
        <v>0</v>
      </c>
      <c r="DM40" s="68">
        <f>IF(DL40=0,MAX(DM$2:DM39)+1,0)</f>
        <v>38</v>
      </c>
      <c r="DN40" s="5" t="str">
        <f t="shared" si="162"/>
        <v>Rabble</v>
      </c>
      <c r="DO40" s="5" t="str">
        <f t="shared" si="45"/>
        <v>Rabble</v>
      </c>
      <c r="DQ40">
        <f t="shared" si="163"/>
        <v>38</v>
      </c>
      <c r="DR40" s="5" t="str">
        <f t="shared" si="164"/>
        <v>Rabble</v>
      </c>
      <c r="DS40" s="68">
        <f>COUNTIF(Builder!$K$13:$N$13,DR40)</f>
        <v>0</v>
      </c>
      <c r="DT40" s="68" t="str">
        <f>IF(DS40=1,Stats!$N55,"")</f>
        <v/>
      </c>
      <c r="DU40" s="68" t="str">
        <f>IF(DS40=1,Stats!$O55,"")</f>
        <v/>
      </c>
      <c r="DV40" s="68" t="str">
        <f>IF(DS40=1,Stats!$P55,"")</f>
        <v/>
      </c>
      <c r="DW40" s="68" t="str">
        <f>IF(DS40=1,Stats!$Q55,"")</f>
        <v/>
      </c>
      <c r="DX40" s="68" t="str">
        <f>IF(DS40=1,Stats!$R55,"")</f>
        <v/>
      </c>
      <c r="DY40" s="68" t="str">
        <f>IF(DS40=1,Stats!$S55,"")</f>
        <v/>
      </c>
      <c r="DZ40" s="68">
        <f t="shared" si="165"/>
        <v>0</v>
      </c>
      <c r="EA40">
        <f t="shared" si="166"/>
        <v>0</v>
      </c>
      <c r="EB40" s="68">
        <f>IF(EA40=0,MAX(EB$2:EB39)+1,0)</f>
        <v>38</v>
      </c>
      <c r="EC40" s="5" t="str">
        <f t="shared" si="167"/>
        <v>Rabble</v>
      </c>
      <c r="ED40" s="5" t="str">
        <f t="shared" si="51"/>
        <v>Rabble</v>
      </c>
      <c r="EF40">
        <f t="shared" si="52"/>
        <v>38</v>
      </c>
      <c r="EG40" s="5" t="str">
        <f t="shared" si="53"/>
        <v>Rabble</v>
      </c>
      <c r="EH40" s="68">
        <f>COUNTIF(Builder!$K$14:$N$14,EG40)</f>
        <v>0</v>
      </c>
      <c r="EI40" s="68" t="str">
        <f>IF(EH40=1,Stats!$N55,"")</f>
        <v/>
      </c>
      <c r="EJ40" s="68" t="str">
        <f>IF(EH40=1,Stats!$O55,"")</f>
        <v/>
      </c>
      <c r="EK40" s="68" t="str">
        <f>IF(EH40=1,Stats!$P55,"")</f>
        <v/>
      </c>
      <c r="EL40" s="68" t="str">
        <f>IF(EH40=1,Stats!$Q55,"")</f>
        <v/>
      </c>
      <c r="EM40" s="68" t="str">
        <f>IF(EH40=1,Stats!$R55,"")</f>
        <v/>
      </c>
      <c r="EN40" s="68" t="str">
        <f>IF(EH40=1,Stats!$S55,"")</f>
        <v/>
      </c>
      <c r="EO40" s="68">
        <f t="shared" si="54"/>
        <v>0</v>
      </c>
      <c r="EP40">
        <f t="shared" si="55"/>
        <v>0</v>
      </c>
      <c r="EQ40" s="68">
        <f>IF(EP40=0,MAX(EQ$2:EQ39)+1,0)</f>
        <v>38</v>
      </c>
      <c r="ER40" s="5" t="str">
        <f t="shared" si="56"/>
        <v>Rabble</v>
      </c>
      <c r="ES40" s="5" t="str">
        <f t="shared" si="57"/>
        <v>Rabble</v>
      </c>
      <c r="EU40">
        <f t="shared" si="58"/>
        <v>38</v>
      </c>
      <c r="EV40" s="5" t="str">
        <f t="shared" si="59"/>
        <v>Rabble</v>
      </c>
      <c r="EW40" s="68">
        <f>COUNTIF(Builder!$K$15:$N$15,EV40)</f>
        <v>0</v>
      </c>
      <c r="EX40" s="68" t="str">
        <f>IF(EW40=1,Stats!$N55,"")</f>
        <v/>
      </c>
      <c r="EY40" s="68" t="str">
        <f>IF(EW40=1,Stats!$O55,"")</f>
        <v/>
      </c>
      <c r="EZ40" s="68" t="str">
        <f>IF(EW40=1,Stats!$P55,"")</f>
        <v/>
      </c>
      <c r="FA40" s="68" t="str">
        <f>IF(EW40=1,Stats!$Q55,"")</f>
        <v/>
      </c>
      <c r="FB40" s="68" t="str">
        <f>IF(EW40=1,Stats!$R55,"")</f>
        <v/>
      </c>
      <c r="FC40" s="68" t="str">
        <f>IF(EW40=1,Stats!$S55,"")</f>
        <v/>
      </c>
      <c r="FD40" s="68">
        <f t="shared" si="60"/>
        <v>0</v>
      </c>
      <c r="FE40">
        <f t="shared" si="61"/>
        <v>0</v>
      </c>
      <c r="FF40" s="68">
        <f>IF(FE40=0,MAX(FF$2:FF39)+1,0)</f>
        <v>38</v>
      </c>
      <c r="FG40" s="5" t="str">
        <f t="shared" si="62"/>
        <v>Rabble</v>
      </c>
      <c r="FH40" s="5" t="str">
        <f t="shared" si="63"/>
        <v>Rabble</v>
      </c>
      <c r="FJ40">
        <f t="shared" si="64"/>
        <v>38</v>
      </c>
      <c r="FK40" s="5" t="str">
        <f t="shared" si="65"/>
        <v>Rabble</v>
      </c>
      <c r="FL40" s="68">
        <f>COUNTIF(Builder!$K$16:$N$16,FK40)</f>
        <v>0</v>
      </c>
      <c r="FM40" s="68" t="str">
        <f>IF(FL40=1,Stats!$N55,"")</f>
        <v/>
      </c>
      <c r="FN40" s="68" t="str">
        <f>IF(FL40=1,Stats!$O55,"")</f>
        <v/>
      </c>
      <c r="FO40" s="68" t="str">
        <f>IF(FL40=1,Stats!$P55,"")</f>
        <v/>
      </c>
      <c r="FP40" s="68" t="str">
        <f>IF(FL40=1,Stats!$Q55,"")</f>
        <v/>
      </c>
      <c r="FQ40" s="68" t="str">
        <f>IF(FL40=1,Stats!$R55,"")</f>
        <v/>
      </c>
      <c r="FR40" s="68" t="str">
        <f>IF(FL40=1,Stats!$S55,"")</f>
        <v/>
      </c>
      <c r="FS40" s="68">
        <f t="shared" si="66"/>
        <v>0</v>
      </c>
      <c r="FT40">
        <f t="shared" si="67"/>
        <v>0</v>
      </c>
      <c r="FU40" s="68">
        <f>IF(FT40=0,MAX(FU$2:FU39)+1,0)</f>
        <v>38</v>
      </c>
      <c r="FV40" s="5" t="str">
        <f t="shared" si="68"/>
        <v>Rabble</v>
      </c>
      <c r="FW40" s="5" t="str">
        <f t="shared" si="69"/>
        <v>Rabble</v>
      </c>
      <c r="FY40">
        <f t="shared" si="168"/>
        <v>38</v>
      </c>
      <c r="FZ40" s="5" t="str">
        <f t="shared" si="169"/>
        <v>Rabble</v>
      </c>
      <c r="GA40" s="68">
        <f>COUNTIF(Builder!$K$17:$N$17,FZ40)</f>
        <v>0</v>
      </c>
      <c r="GB40" s="68" t="str">
        <f>IF(GA40=1,Stats!$N55,"")</f>
        <v/>
      </c>
      <c r="GC40" s="68" t="str">
        <f>IF(GA40=1,Stats!$O55,"")</f>
        <v/>
      </c>
      <c r="GD40" s="68" t="str">
        <f>IF(GA40=1,Stats!$P55,"")</f>
        <v/>
      </c>
      <c r="GE40" s="68" t="str">
        <f>IF(GA40=1,Stats!$Q55,"")</f>
        <v/>
      </c>
      <c r="GF40" s="68" t="str">
        <f>IF(GA40=1,Stats!$R55,"")</f>
        <v/>
      </c>
      <c r="GG40" s="68" t="str">
        <f>IF(GA40=1,Stats!$S55,"")</f>
        <v/>
      </c>
      <c r="GH40" s="68">
        <f t="shared" si="170"/>
        <v>0</v>
      </c>
      <c r="GI40">
        <f t="shared" si="171"/>
        <v>0</v>
      </c>
      <c r="GJ40" s="68">
        <f>IF(GI40=0,MAX(GJ$2:GJ39)+1,0)</f>
        <v>38</v>
      </c>
      <c r="GK40" s="5" t="str">
        <f t="shared" si="172"/>
        <v>Rabble</v>
      </c>
      <c r="GL40" s="5" t="str">
        <f t="shared" si="75"/>
        <v>Rabble</v>
      </c>
      <c r="GN40">
        <f t="shared" si="76"/>
        <v>38</v>
      </c>
      <c r="GO40" s="5" t="str">
        <f t="shared" si="77"/>
        <v>Rabble</v>
      </c>
      <c r="GP40" s="68">
        <f>COUNTIF(Builder!$K$18:$N$18,GO40)</f>
        <v>0</v>
      </c>
      <c r="GQ40" s="68" t="str">
        <f>IF(GP40=1,Stats!$N55,"")</f>
        <v/>
      </c>
      <c r="GR40" s="68" t="str">
        <f>IF(GP40=1,Stats!$O55,"")</f>
        <v/>
      </c>
      <c r="GS40" s="68" t="str">
        <f>IF(GP40=1,Stats!$P55,"")</f>
        <v/>
      </c>
      <c r="GT40" s="68" t="str">
        <f>IF(GP40=1,Stats!$Q55,"")</f>
        <v/>
      </c>
      <c r="GU40" s="68" t="str">
        <f>IF(GP40=1,Stats!$R55,"")</f>
        <v/>
      </c>
      <c r="GV40" s="68" t="str">
        <f>IF(GP40=1,Stats!$S55,"")</f>
        <v/>
      </c>
      <c r="GW40" s="68">
        <f t="shared" si="78"/>
        <v>0</v>
      </c>
      <c r="GX40">
        <f t="shared" si="79"/>
        <v>0</v>
      </c>
      <c r="GY40" s="68">
        <f>IF(GX40=0,MAX(GY$2:GY39)+1,0)</f>
        <v>38</v>
      </c>
      <c r="GZ40" s="5" t="str">
        <f t="shared" si="80"/>
        <v>Rabble</v>
      </c>
      <c r="HA40" s="5" t="str">
        <f t="shared" si="81"/>
        <v>Rabble</v>
      </c>
      <c r="HC40">
        <f t="shared" si="82"/>
        <v>38</v>
      </c>
      <c r="HD40" s="5" t="str">
        <f t="shared" si="83"/>
        <v>Rabble</v>
      </c>
      <c r="HE40" s="68">
        <f>COUNTIF(Builder!$K$19:$N$19,HD40)</f>
        <v>0</v>
      </c>
      <c r="HF40" s="68" t="str">
        <f>IF(HE40=1,Stats!$N55,"")</f>
        <v/>
      </c>
      <c r="HG40" s="68" t="str">
        <f>IF(HE40=1,Stats!$O55,"")</f>
        <v/>
      </c>
      <c r="HH40" s="68" t="str">
        <f>IF(HE40=1,Stats!$P55,"")</f>
        <v/>
      </c>
      <c r="HI40" s="68" t="str">
        <f>IF(HE40=1,Stats!$Q55,"")</f>
        <v/>
      </c>
      <c r="HJ40" s="68" t="str">
        <f>IF(HE40=1,Stats!$R55,"")</f>
        <v/>
      </c>
      <c r="HK40" s="68" t="str">
        <f>IF(HE40=1,Stats!$S55,"")</f>
        <v/>
      </c>
      <c r="HL40" s="68">
        <f t="shared" si="84"/>
        <v>0</v>
      </c>
      <c r="HM40">
        <f t="shared" si="85"/>
        <v>0</v>
      </c>
      <c r="HN40" s="68">
        <f>IF(HM40=0,MAX(HN$2:HN39)+1,0)</f>
        <v>38</v>
      </c>
      <c r="HO40" s="5" t="str">
        <f t="shared" si="86"/>
        <v>Rabble</v>
      </c>
      <c r="HP40" s="5" t="str">
        <f t="shared" si="87"/>
        <v>Rabble</v>
      </c>
      <c r="HR40">
        <f t="shared" si="88"/>
        <v>38</v>
      </c>
      <c r="HS40" s="5" t="str">
        <f t="shared" si="89"/>
        <v>Rabble</v>
      </c>
      <c r="HT40" s="68">
        <f>COUNTIF(Builder!$K$20:$N$20,HS40)</f>
        <v>0</v>
      </c>
      <c r="HU40" s="68" t="str">
        <f>IF(HT40=1,Stats!$N55,"")</f>
        <v/>
      </c>
      <c r="HV40" s="68" t="str">
        <f>IF(HT40=1,Stats!$O55,"")</f>
        <v/>
      </c>
      <c r="HW40" s="68" t="str">
        <f>IF(HT40=1,Stats!$P55,"")</f>
        <v/>
      </c>
      <c r="HX40" s="68" t="str">
        <f>IF(HT40=1,Stats!$Q55,"")</f>
        <v/>
      </c>
      <c r="HY40" s="68" t="str">
        <f>IF(HT40=1,Stats!$R55,"")</f>
        <v/>
      </c>
      <c r="HZ40" s="68" t="str">
        <f>IF(HT40=1,Stats!$S55,"")</f>
        <v/>
      </c>
      <c r="IA40" s="68">
        <f t="shared" si="90"/>
        <v>0</v>
      </c>
      <c r="IB40">
        <f t="shared" si="91"/>
        <v>0</v>
      </c>
      <c r="IC40" s="68">
        <f>IF(IB40=0,MAX(IC$2:IC39)+1,0)</f>
        <v>38</v>
      </c>
      <c r="ID40" s="5" t="str">
        <f t="shared" si="92"/>
        <v>Rabble</v>
      </c>
      <c r="IE40" s="5" t="str">
        <f t="shared" si="93"/>
        <v>Rabble</v>
      </c>
      <c r="IG40">
        <f t="shared" si="94"/>
        <v>38</v>
      </c>
      <c r="IH40" s="5" t="str">
        <f t="shared" si="95"/>
        <v>Rabble</v>
      </c>
      <c r="II40" s="68">
        <f>COUNTIF(Builder!$K$21:$N$21,IH40)</f>
        <v>0</v>
      </c>
      <c r="IJ40" s="68" t="str">
        <f>IF(II40=1,Stats!$N55,"")</f>
        <v/>
      </c>
      <c r="IK40" s="68" t="str">
        <f>IF(II40=1,Stats!$O55,"")</f>
        <v/>
      </c>
      <c r="IL40" s="68" t="str">
        <f>IF(II40=1,Stats!$P55,"")</f>
        <v/>
      </c>
      <c r="IM40" s="68" t="str">
        <f>IF(II40=1,Stats!$Q55,"")</f>
        <v/>
      </c>
      <c r="IN40" s="68" t="str">
        <f>IF(II40=1,Stats!$R55,"")</f>
        <v/>
      </c>
      <c r="IO40" s="68" t="str">
        <f>IF(II40=1,Stats!$S55,"")</f>
        <v/>
      </c>
      <c r="IP40" s="68">
        <f t="shared" si="96"/>
        <v>0</v>
      </c>
      <c r="IQ40">
        <f t="shared" si="97"/>
        <v>0</v>
      </c>
      <c r="IR40" s="68">
        <f>IF(IQ40=0,MAX(IR$2:IR39)+1,0)</f>
        <v>38</v>
      </c>
      <c r="IS40" s="5" t="str">
        <f t="shared" si="98"/>
        <v>Rabble</v>
      </c>
      <c r="IT40" s="5" t="str">
        <f t="shared" si="99"/>
        <v>Rabble</v>
      </c>
      <c r="IV40">
        <f t="shared" si="100"/>
        <v>38</v>
      </c>
      <c r="IW40" s="5" t="str">
        <f t="shared" si="101"/>
        <v>Rabble</v>
      </c>
      <c r="IX40" s="68">
        <f>COUNTIF(Builder!$K$22:$N$22,IW40)</f>
        <v>0</v>
      </c>
      <c r="IY40" s="68" t="str">
        <f>IF(IX40=1,Stats!$N55,"")</f>
        <v/>
      </c>
      <c r="IZ40" s="68" t="str">
        <f>IF(IX40=1,Stats!$O55,"")</f>
        <v/>
      </c>
      <c r="JA40" s="68" t="str">
        <f>IF(IX40=1,Stats!$P55,"")</f>
        <v/>
      </c>
      <c r="JB40" s="68" t="str">
        <f>IF(IX40=1,Stats!$Q55,"")</f>
        <v/>
      </c>
      <c r="JC40" s="68" t="str">
        <f>IF(IX40=1,Stats!$R55,"")</f>
        <v/>
      </c>
      <c r="JD40" s="68" t="str">
        <f>IF(IX40=1,Stats!$S55,"")</f>
        <v/>
      </c>
      <c r="JE40" s="68">
        <f t="shared" si="102"/>
        <v>0</v>
      </c>
      <c r="JF40">
        <f t="shared" si="103"/>
        <v>0</v>
      </c>
      <c r="JG40" s="68">
        <f>IF(JF40=0,MAX(JG$2:JG39)+1,0)</f>
        <v>38</v>
      </c>
      <c r="JH40" s="5" t="str">
        <f t="shared" si="104"/>
        <v>Rabble</v>
      </c>
      <c r="JI40" s="5" t="str">
        <f t="shared" si="105"/>
        <v>Rabble</v>
      </c>
      <c r="JK40">
        <f t="shared" si="106"/>
        <v>38</v>
      </c>
      <c r="JL40" s="5" t="str">
        <f t="shared" si="107"/>
        <v>Rabble</v>
      </c>
      <c r="JM40" s="68">
        <f>COUNTIF(Builder!$K$23:$N$23,JL40)</f>
        <v>0</v>
      </c>
      <c r="JN40" s="68" t="str">
        <f>IF(JM40=1,Stats!$N55,"")</f>
        <v/>
      </c>
      <c r="JO40" s="68" t="str">
        <f>IF(JM40=1,Stats!$O55,"")</f>
        <v/>
      </c>
      <c r="JP40" s="68" t="str">
        <f>IF(JM40=1,Stats!$P55,"")</f>
        <v/>
      </c>
      <c r="JQ40" s="68" t="str">
        <f>IF(JM40=1,Stats!$Q55,"")</f>
        <v/>
      </c>
      <c r="JR40" s="68" t="str">
        <f>IF(JM40=1,Stats!$R55,"")</f>
        <v/>
      </c>
      <c r="JS40" s="68" t="str">
        <f>IF(JM40=1,Stats!$S55,"")</f>
        <v/>
      </c>
      <c r="JT40" s="68">
        <f t="shared" si="108"/>
        <v>0</v>
      </c>
      <c r="JU40">
        <f t="shared" si="109"/>
        <v>0</v>
      </c>
      <c r="JV40" s="68">
        <f>IF(JU40=0,MAX(JV$2:JV39)+1,0)</f>
        <v>38</v>
      </c>
      <c r="JW40" s="5" t="str">
        <f t="shared" si="110"/>
        <v>Rabble</v>
      </c>
      <c r="JX40" s="5" t="str">
        <f t="shared" si="111"/>
        <v>Rabble</v>
      </c>
      <c r="JZ40">
        <f t="shared" si="112"/>
        <v>38</v>
      </c>
      <c r="KA40" s="5" t="str">
        <f t="shared" si="113"/>
        <v>Rabble</v>
      </c>
      <c r="KB40" s="68">
        <f>COUNTIF(Builder!$K$24:$N$24,KA40)</f>
        <v>0</v>
      </c>
      <c r="KC40" s="68" t="str">
        <f>IF(KB40=1,Stats!$N55,"")</f>
        <v/>
      </c>
      <c r="KD40" s="68" t="str">
        <f>IF(KB40=1,Stats!$O55,"")</f>
        <v/>
      </c>
      <c r="KE40" s="68" t="str">
        <f>IF(KB40=1,Stats!$P55,"")</f>
        <v/>
      </c>
      <c r="KF40" s="68" t="str">
        <f>IF(KB40=1,Stats!$Q55,"")</f>
        <v/>
      </c>
      <c r="KG40" s="68" t="str">
        <f>IF(KB40=1,Stats!$R55,"")</f>
        <v/>
      </c>
      <c r="KH40" s="68" t="str">
        <f>IF(KB40=1,Stats!$S55,"")</f>
        <v/>
      </c>
      <c r="KI40" s="68">
        <f t="shared" si="114"/>
        <v>0</v>
      </c>
      <c r="KJ40">
        <f t="shared" si="115"/>
        <v>0</v>
      </c>
      <c r="KK40" s="68">
        <f>IF(KJ40=0,MAX(KK$2:KK39)+1,0)</f>
        <v>38</v>
      </c>
      <c r="KL40" s="5" t="str">
        <f t="shared" si="116"/>
        <v>Rabble</v>
      </c>
      <c r="KM40" s="5" t="str">
        <f t="shared" si="117"/>
        <v>Rabble</v>
      </c>
      <c r="KO40">
        <f t="shared" si="118"/>
        <v>38</v>
      </c>
      <c r="KP40" s="5" t="str">
        <f t="shared" si="119"/>
        <v>Rabble</v>
      </c>
      <c r="KQ40" s="68">
        <f>COUNTIF(Builder!$K$25:$N$25,KP40)</f>
        <v>0</v>
      </c>
      <c r="KR40" s="68" t="str">
        <f>IF(KQ40=1,Stats!$N55,"")</f>
        <v/>
      </c>
      <c r="KS40" s="68" t="str">
        <f>IF(KQ40=1,Stats!$O55,"")</f>
        <v/>
      </c>
      <c r="KT40" s="68" t="str">
        <f>IF(KQ40=1,Stats!$P55,"")</f>
        <v/>
      </c>
      <c r="KU40" s="68" t="str">
        <f>IF(KQ40=1,Stats!$Q55,"")</f>
        <v/>
      </c>
      <c r="KV40" s="68" t="str">
        <f>IF(KQ40=1,Stats!$R55,"")</f>
        <v/>
      </c>
      <c r="KW40" s="68" t="str">
        <f>IF(KQ40=1,Stats!$S55,"")</f>
        <v/>
      </c>
      <c r="KX40" s="68">
        <f t="shared" si="120"/>
        <v>0</v>
      </c>
      <c r="KY40">
        <f t="shared" si="121"/>
        <v>0</v>
      </c>
      <c r="KZ40" s="68">
        <f>IF(KY40=0,MAX(KZ$2:KZ39)+1,0)</f>
        <v>38</v>
      </c>
      <c r="LA40" s="5" t="str">
        <f t="shared" si="122"/>
        <v>Rabble</v>
      </c>
      <c r="LB40" s="5" t="str">
        <f t="shared" si="123"/>
        <v>Rabble</v>
      </c>
      <c r="LD40">
        <f t="shared" si="124"/>
        <v>38</v>
      </c>
      <c r="LE40" s="5" t="str">
        <f t="shared" si="125"/>
        <v>Rabble</v>
      </c>
      <c r="LF40" s="68">
        <f>COUNTIF(Builder!$K$26:$N$26,LE40)</f>
        <v>0</v>
      </c>
      <c r="LG40" s="68" t="str">
        <f>IF(LF40=1,Stats!$N55,"")</f>
        <v/>
      </c>
      <c r="LH40" s="68" t="str">
        <f>IF(LF40=1,Stats!$O55,"")</f>
        <v/>
      </c>
      <c r="LI40" s="68" t="str">
        <f>IF(LF40=1,Stats!$P55,"")</f>
        <v/>
      </c>
      <c r="LJ40" s="68" t="str">
        <f>IF(LF40=1,Stats!$Q55,"")</f>
        <v/>
      </c>
      <c r="LK40" s="68" t="str">
        <f>IF(LF40=1,Stats!$R55,"")</f>
        <v/>
      </c>
      <c r="LL40" s="68" t="str">
        <f>IF(LF40=1,Stats!$S55,"")</f>
        <v/>
      </c>
      <c r="LM40" s="68">
        <f t="shared" si="126"/>
        <v>0</v>
      </c>
      <c r="LN40">
        <f t="shared" si="127"/>
        <v>0</v>
      </c>
      <c r="LO40" s="68">
        <f>IF(LN40=0,MAX(LO$2:LO39)+1,0)</f>
        <v>38</v>
      </c>
      <c r="LP40" s="5" t="str">
        <f t="shared" si="128"/>
        <v>Rabble</v>
      </c>
      <c r="LQ40" s="5" t="str">
        <f t="shared" si="129"/>
        <v>Rabble</v>
      </c>
      <c r="LS40">
        <f t="shared" si="130"/>
        <v>38</v>
      </c>
      <c r="LT40" s="5" t="str">
        <f t="shared" si="131"/>
        <v>Rabble</v>
      </c>
      <c r="LU40" s="68">
        <f>COUNTIF(Builder!$K$27:$N$27,LT40)</f>
        <v>0</v>
      </c>
      <c r="LV40" s="68" t="str">
        <f>IF(LU40=1,Stats!$N55,"")</f>
        <v/>
      </c>
      <c r="LW40" s="68" t="str">
        <f>IF(LU40=1,Stats!$O55,"")</f>
        <v/>
      </c>
      <c r="LX40" s="68" t="str">
        <f>IF(LU40=1,Stats!$P55,"")</f>
        <v/>
      </c>
      <c r="LY40" s="68" t="str">
        <f>IF(LU40=1,Stats!$Q55,"")</f>
        <v/>
      </c>
      <c r="LZ40" s="68" t="str">
        <f>IF(LU40=1,Stats!$R55,"")</f>
        <v/>
      </c>
      <c r="MA40" s="68" t="str">
        <f>IF(LU40=1,Stats!$S55,"")</f>
        <v/>
      </c>
      <c r="MB40" s="68">
        <f t="shared" si="132"/>
        <v>0</v>
      </c>
      <c r="MC40">
        <f t="shared" si="133"/>
        <v>0</v>
      </c>
      <c r="MD40" s="68">
        <f>IF(MC40=0,MAX(MD$2:MD39)+1,0)</f>
        <v>38</v>
      </c>
      <c r="ME40" s="5" t="str">
        <f t="shared" si="134"/>
        <v>Rabble</v>
      </c>
      <c r="MF40" s="5" t="str">
        <f t="shared" si="135"/>
        <v>Rabble</v>
      </c>
      <c r="MH40">
        <f t="shared" si="136"/>
        <v>38</v>
      </c>
      <c r="MI40" s="5" t="str">
        <f t="shared" si="137"/>
        <v>Rabble</v>
      </c>
      <c r="MJ40" s="68">
        <f>COUNTIF(Builder!$K$28:$N$28,MI40)</f>
        <v>0</v>
      </c>
      <c r="MK40" s="68" t="str">
        <f>IF(MJ40=1,Stats!$N55,"")</f>
        <v/>
      </c>
      <c r="ML40" s="68" t="str">
        <f>IF(MJ40=1,Stats!$O55,"")</f>
        <v/>
      </c>
      <c r="MM40" s="68" t="str">
        <f>IF(MJ40=1,Stats!$P55,"")</f>
        <v/>
      </c>
      <c r="MN40" s="68" t="str">
        <f>IF(MJ40=1,Stats!$Q55,"")</f>
        <v/>
      </c>
      <c r="MO40" s="68" t="str">
        <f>IF(MJ40=1,Stats!$R55,"")</f>
        <v/>
      </c>
      <c r="MP40" s="68" t="str">
        <f>IF(MJ40=1,Stats!$S55,"")</f>
        <v/>
      </c>
      <c r="MQ40" s="68">
        <f t="shared" si="138"/>
        <v>0</v>
      </c>
      <c r="MR40">
        <f t="shared" si="139"/>
        <v>0</v>
      </c>
      <c r="MS40" s="68">
        <f>IF(MR40=0,MAX(MS$2:MS39)+1,0)</f>
        <v>38</v>
      </c>
      <c r="MT40" s="5" t="str">
        <f t="shared" si="140"/>
        <v>Rabble</v>
      </c>
      <c r="MU40" s="5" t="str">
        <f t="shared" si="141"/>
        <v>Rabble</v>
      </c>
      <c r="MW40">
        <f t="shared" si="142"/>
        <v>38</v>
      </c>
      <c r="MX40" s="5" t="str">
        <f t="shared" si="143"/>
        <v>Rabble</v>
      </c>
      <c r="MY40" s="68">
        <f>COUNTIF(Builder!$K$29:$N$29,MX40)</f>
        <v>0</v>
      </c>
      <c r="MZ40" s="68" t="str">
        <f>IF(MY40=1,Stats!$N55,"")</f>
        <v/>
      </c>
      <c r="NA40" s="68" t="str">
        <f>IF(MY40=1,Stats!$O55,"")</f>
        <v/>
      </c>
      <c r="NB40" s="68" t="str">
        <f>IF(MY40=1,Stats!$P55,"")</f>
        <v/>
      </c>
      <c r="NC40" s="68" t="str">
        <f>IF(MY40=1,Stats!$Q55,"")</f>
        <v/>
      </c>
      <c r="ND40" s="68" t="str">
        <f>IF(MY40=1,Stats!$R55,"")</f>
        <v/>
      </c>
      <c r="NE40" s="68" t="str">
        <f>IF(MY40=1,Stats!$S55,"")</f>
        <v/>
      </c>
      <c r="NF40" s="68">
        <f t="shared" si="144"/>
        <v>0</v>
      </c>
      <c r="NG40">
        <f t="shared" si="145"/>
        <v>0</v>
      </c>
      <c r="NH40" s="68">
        <f>IF(NG40=0,MAX(NH$2:NH39)+1,0)</f>
        <v>38</v>
      </c>
      <c r="NI40" s="5" t="str">
        <f t="shared" si="146"/>
        <v>Rabble</v>
      </c>
      <c r="NJ40" s="5" t="str">
        <f t="shared" si="147"/>
        <v>Rabble</v>
      </c>
    </row>
    <row r="41" spans="1:374" ht="15" x14ac:dyDescent="0.3">
      <c r="A41">
        <v>39</v>
      </c>
      <c r="B41" s="5" t="s">
        <v>210</v>
      </c>
      <c r="C41" s="68">
        <f>COUNTIF(Builder!$K$5:$N$5,B41)</f>
        <v>0</v>
      </c>
      <c r="D41" s="68" t="str">
        <f>IF(C41=1,Stats!$N56,"")</f>
        <v/>
      </c>
      <c r="E41" s="68" t="str">
        <f>IF(C41=1,Stats!$O56,"")</f>
        <v/>
      </c>
      <c r="F41" s="68" t="str">
        <f>IF(C41=1,Stats!$P56,"")</f>
        <v/>
      </c>
      <c r="G41" s="68" t="str">
        <f>IF(C41=1,Stats!$Q56,"")</f>
        <v/>
      </c>
      <c r="H41" s="68" t="str">
        <f>IF(C41=1,Stats!$R56,"")</f>
        <v/>
      </c>
      <c r="I41" s="68" t="str">
        <f>IF(C41=1,Stats!$S56,"")</f>
        <v/>
      </c>
      <c r="J41" s="68">
        <f t="shared" si="0"/>
        <v>0</v>
      </c>
      <c r="K41">
        <f t="shared" si="1"/>
        <v>0</v>
      </c>
      <c r="L41" s="68">
        <f>IF(K41=0,MAX($L$2:L40)+1,0)</f>
        <v>39</v>
      </c>
      <c r="M41" s="5" t="str">
        <f t="shared" si="2"/>
        <v>Reckless</v>
      </c>
      <c r="N41" s="5" t="str">
        <f t="shared" si="3"/>
        <v>Reckless</v>
      </c>
      <c r="O41" s="5"/>
      <c r="P41">
        <f t="shared" si="4"/>
        <v>39</v>
      </c>
      <c r="Q41" s="5" t="str">
        <f t="shared" si="5"/>
        <v>Reckless</v>
      </c>
      <c r="R41" s="68">
        <f>COUNTIF(Builder!$K$6:$N$6,Q41)</f>
        <v>0</v>
      </c>
      <c r="S41" s="68" t="str">
        <f>IF(R41=1,Stats!$N56,"")</f>
        <v/>
      </c>
      <c r="T41" s="68" t="str">
        <f>IF(R41=1,Stats!$O56,"")</f>
        <v/>
      </c>
      <c r="U41" s="68" t="str">
        <f>IF(R41=1,Stats!$P56,"")</f>
        <v/>
      </c>
      <c r="V41" s="68" t="str">
        <f>IF(R41=1,Stats!$Q56,"")</f>
        <v/>
      </c>
      <c r="W41" s="68" t="str">
        <f>IF(R41=1,Stats!$R56,"")</f>
        <v/>
      </c>
      <c r="X41" s="68" t="str">
        <f>IF(R41=1,Stats!$S56,"")</f>
        <v/>
      </c>
      <c r="Y41" s="68">
        <f t="shared" si="6"/>
        <v>0</v>
      </c>
      <c r="Z41">
        <f t="shared" si="7"/>
        <v>0</v>
      </c>
      <c r="AA41" s="68">
        <f>IF(Z41=0,MAX($AA$2:AA40)+1,0)</f>
        <v>39</v>
      </c>
      <c r="AB41" s="5" t="str">
        <f t="shared" si="8"/>
        <v>Reckless</v>
      </c>
      <c r="AC41" s="5" t="str">
        <f t="shared" si="9"/>
        <v>Reckless</v>
      </c>
      <c r="AD41" s="5"/>
      <c r="AE41">
        <f t="shared" si="10"/>
        <v>39</v>
      </c>
      <c r="AF41" s="5" t="str">
        <f t="shared" si="11"/>
        <v>Reckless</v>
      </c>
      <c r="AG41" s="68">
        <f>COUNTIF(Builder!$K$7:$N$7,AF41)</f>
        <v>0</v>
      </c>
      <c r="AH41" s="68" t="str">
        <f>IF(AG41=1,Stats!$N56,"")</f>
        <v/>
      </c>
      <c r="AI41" s="68" t="str">
        <f>IF(AG41=1,Stats!$O56,"")</f>
        <v/>
      </c>
      <c r="AJ41" s="68" t="str">
        <f>IF(AG41=1,Stats!$P56,"")</f>
        <v/>
      </c>
      <c r="AK41" s="68" t="str">
        <f>IF(AG41=1,Stats!$Q56,"")</f>
        <v/>
      </c>
      <c r="AL41" s="68" t="str">
        <f>IF(AG41=1,Stats!$R56,"")</f>
        <v/>
      </c>
      <c r="AM41" s="68" t="str">
        <f>IF(AG41=1,Stats!$S56,"")</f>
        <v/>
      </c>
      <c r="AN41" s="68">
        <f t="shared" si="12"/>
        <v>0</v>
      </c>
      <c r="AO41">
        <f t="shared" si="13"/>
        <v>0</v>
      </c>
      <c r="AP41" s="68">
        <f>IF(AO41=0,MAX($AP$2:AP40)+1,0)</f>
        <v>39</v>
      </c>
      <c r="AQ41" s="5" t="str">
        <f t="shared" si="14"/>
        <v>Reckless</v>
      </c>
      <c r="AR41" s="5" t="str">
        <f t="shared" si="15"/>
        <v>Reckless</v>
      </c>
      <c r="AS41" s="5"/>
      <c r="AT41">
        <f t="shared" si="16"/>
        <v>39</v>
      </c>
      <c r="AU41" s="5" t="str">
        <f t="shared" si="17"/>
        <v>Reckless</v>
      </c>
      <c r="AV41" s="68">
        <f>COUNTIF(Builder!$K$8:$N$8,AU41)</f>
        <v>0</v>
      </c>
      <c r="AW41" s="68" t="str">
        <f>IF(AV41=1,Stats!$N56,"")</f>
        <v/>
      </c>
      <c r="AX41" s="68" t="str">
        <f>IF(AV41=1,Stats!$O56,"")</f>
        <v/>
      </c>
      <c r="AY41" s="68" t="str">
        <f>IF(AV41=1,Stats!$P56,"")</f>
        <v/>
      </c>
      <c r="AZ41" s="68" t="str">
        <f>IF(AV41=1,Stats!$Q56,"")</f>
        <v/>
      </c>
      <c r="BA41" s="68" t="str">
        <f>IF(AV41=1,Stats!$R56,"")</f>
        <v/>
      </c>
      <c r="BB41" s="68" t="str">
        <f>IF(AV41=1,Stats!$S56,"")</f>
        <v/>
      </c>
      <c r="BC41" s="68">
        <f t="shared" si="18"/>
        <v>0</v>
      </c>
      <c r="BD41">
        <f t="shared" si="19"/>
        <v>0</v>
      </c>
      <c r="BE41" s="68">
        <f>IF(BD41=0,MAX($BE$2:BE40)+1,0)</f>
        <v>39</v>
      </c>
      <c r="BF41" s="5" t="str">
        <f t="shared" si="20"/>
        <v>Reckless</v>
      </c>
      <c r="BG41" s="5" t="str">
        <f t="shared" si="21"/>
        <v>Reckless</v>
      </c>
      <c r="BH41" s="5"/>
      <c r="BI41">
        <f t="shared" si="148"/>
        <v>39</v>
      </c>
      <c r="BJ41" s="5" t="str">
        <f t="shared" si="149"/>
        <v>Reckless</v>
      </c>
      <c r="BK41" s="68">
        <f>COUNTIF(Builder!$K$9:$N$9,BJ41)</f>
        <v>0</v>
      </c>
      <c r="BL41" s="68" t="str">
        <f>IF(BK41=1,Stats!$N56,"")</f>
        <v/>
      </c>
      <c r="BM41" s="68" t="str">
        <f>IF(BK41=1,Stats!$O56,"")</f>
        <v/>
      </c>
      <c r="BN41" s="68" t="str">
        <f>IF(BK41=1,Stats!$P56,"")</f>
        <v/>
      </c>
      <c r="BO41" s="68" t="str">
        <f>IF(BK41=1,Stats!$Q56,"")</f>
        <v/>
      </c>
      <c r="BP41" s="68" t="str">
        <f>IF(BK41=1,Stats!$R56,"")</f>
        <v/>
      </c>
      <c r="BQ41" s="68" t="str">
        <f>IF(BK41=1,Stats!$S56,"")</f>
        <v/>
      </c>
      <c r="BR41" s="68">
        <f t="shared" si="150"/>
        <v>0</v>
      </c>
      <c r="BS41">
        <f t="shared" si="151"/>
        <v>0</v>
      </c>
      <c r="BT41" s="68">
        <f>IF(BS41=0,MAX(BT$2:BT40)+1,0)</f>
        <v>39</v>
      </c>
      <c r="BU41" s="5" t="str">
        <f t="shared" si="152"/>
        <v>Reckless</v>
      </c>
      <c r="BV41" s="5" t="str">
        <f t="shared" si="27"/>
        <v>Reckless</v>
      </c>
      <c r="BX41">
        <f t="shared" si="153"/>
        <v>39</v>
      </c>
      <c r="BY41" s="5" t="str">
        <f t="shared" si="154"/>
        <v>Reckless</v>
      </c>
      <c r="BZ41" s="68">
        <f>COUNTIF(Builder!$K$10:$N$10,BY41)</f>
        <v>0</v>
      </c>
      <c r="CA41" s="68" t="str">
        <f>IF(BZ41=1,Stats!$N56,"")</f>
        <v/>
      </c>
      <c r="CB41" s="68" t="str">
        <f>IF(BZ41=1,Stats!$O56,"")</f>
        <v/>
      </c>
      <c r="CC41" s="68" t="str">
        <f>IF(BZ41=1,Stats!$P56,"")</f>
        <v/>
      </c>
      <c r="CD41" s="68" t="str">
        <f>IF(BZ41=1,Stats!$Q56,"")</f>
        <v/>
      </c>
      <c r="CE41" s="68" t="str">
        <f>IF(BZ41=1,Stats!$R56,"")</f>
        <v/>
      </c>
      <c r="CF41" s="68" t="str">
        <f>IF(BZ41=1,Stats!$S56,"")</f>
        <v/>
      </c>
      <c r="CG41" s="68">
        <f t="shared" si="155"/>
        <v>0</v>
      </c>
      <c r="CH41">
        <f t="shared" si="156"/>
        <v>0</v>
      </c>
      <c r="CI41" s="68">
        <f>IF(CH41=0,MAX(CI$2:CI40)+1,0)</f>
        <v>39</v>
      </c>
      <c r="CJ41" s="5" t="str">
        <f t="shared" si="157"/>
        <v>Reckless</v>
      </c>
      <c r="CK41" s="5" t="str">
        <f t="shared" si="33"/>
        <v>Reckless</v>
      </c>
      <c r="CM41">
        <f t="shared" si="34"/>
        <v>39</v>
      </c>
      <c r="CN41" s="5" t="str">
        <f t="shared" si="35"/>
        <v>Reckless</v>
      </c>
      <c r="CO41" s="68">
        <f>COUNTIF(Builder!$K$11:$N$11,CN41)</f>
        <v>0</v>
      </c>
      <c r="CP41" s="68" t="str">
        <f>IF(CO41=1,Stats!$N56,"")</f>
        <v/>
      </c>
      <c r="CQ41" s="68" t="str">
        <f>IF(CO41=1,Stats!$O56,"")</f>
        <v/>
      </c>
      <c r="CR41" s="68" t="str">
        <f>IF(CO41=1,Stats!$P56,"")</f>
        <v/>
      </c>
      <c r="CS41" s="68" t="str">
        <f>IF(CO41=1,Stats!$Q56,"")</f>
        <v/>
      </c>
      <c r="CT41" s="68" t="str">
        <f>IF(CO41=1,Stats!$R56,"")</f>
        <v/>
      </c>
      <c r="CU41" s="68" t="str">
        <f>IF(CO41=1,Stats!$S56,"")</f>
        <v/>
      </c>
      <c r="CV41" s="68">
        <f t="shared" si="36"/>
        <v>0</v>
      </c>
      <c r="CW41">
        <f t="shared" si="37"/>
        <v>0</v>
      </c>
      <c r="CX41" s="68">
        <f>IF(CW41=0,MAX(CX$2:CX40)+1,0)</f>
        <v>39</v>
      </c>
      <c r="CY41" s="5" t="str">
        <f t="shared" si="38"/>
        <v>Reckless</v>
      </c>
      <c r="CZ41" s="5" t="str">
        <f t="shared" si="39"/>
        <v>Reckless</v>
      </c>
      <c r="DB41">
        <f t="shared" si="158"/>
        <v>39</v>
      </c>
      <c r="DC41" s="5" t="str">
        <f t="shared" si="159"/>
        <v>Reckless</v>
      </c>
      <c r="DD41" s="68">
        <f>COUNTIF(Builder!$K$12:$N$12,DC41)</f>
        <v>0</v>
      </c>
      <c r="DE41" s="68" t="str">
        <f>IF(DD41=1,Stats!$N56,"")</f>
        <v/>
      </c>
      <c r="DF41" s="68" t="str">
        <f>IF(DD41=1,Stats!$O56,"")</f>
        <v/>
      </c>
      <c r="DG41" s="68" t="str">
        <f>IF(DD41=1,Stats!$P56,"")</f>
        <v/>
      </c>
      <c r="DH41" s="68" t="str">
        <f>IF(DD41=1,Stats!$Q56,"")</f>
        <v/>
      </c>
      <c r="DI41" s="68" t="str">
        <f>IF(DD41=1,Stats!$R56,"")</f>
        <v/>
      </c>
      <c r="DJ41" s="68" t="str">
        <f>IF(DD41=1,Stats!$S56,"")</f>
        <v/>
      </c>
      <c r="DK41" s="68">
        <f t="shared" si="160"/>
        <v>0</v>
      </c>
      <c r="DL41">
        <f t="shared" si="161"/>
        <v>0</v>
      </c>
      <c r="DM41" s="68">
        <f>IF(DL41=0,MAX(DM$2:DM40)+1,0)</f>
        <v>39</v>
      </c>
      <c r="DN41" s="5" t="str">
        <f t="shared" si="162"/>
        <v>Reckless</v>
      </c>
      <c r="DO41" s="5" t="str">
        <f t="shared" si="45"/>
        <v>Reckless</v>
      </c>
      <c r="DQ41">
        <f t="shared" si="163"/>
        <v>39</v>
      </c>
      <c r="DR41" s="5" t="str">
        <f t="shared" si="164"/>
        <v>Reckless</v>
      </c>
      <c r="DS41" s="68">
        <f>COUNTIF(Builder!$K$13:$N$13,DR41)</f>
        <v>0</v>
      </c>
      <c r="DT41" s="68" t="str">
        <f>IF(DS41=1,Stats!$N56,"")</f>
        <v/>
      </c>
      <c r="DU41" s="68" t="str">
        <f>IF(DS41=1,Stats!$O56,"")</f>
        <v/>
      </c>
      <c r="DV41" s="68" t="str">
        <f>IF(DS41=1,Stats!$P56,"")</f>
        <v/>
      </c>
      <c r="DW41" s="68" t="str">
        <f>IF(DS41=1,Stats!$Q56,"")</f>
        <v/>
      </c>
      <c r="DX41" s="68" t="str">
        <f>IF(DS41=1,Stats!$R56,"")</f>
        <v/>
      </c>
      <c r="DY41" s="68" t="str">
        <f>IF(DS41=1,Stats!$S56,"")</f>
        <v/>
      </c>
      <c r="DZ41" s="68">
        <f t="shared" si="165"/>
        <v>0</v>
      </c>
      <c r="EA41">
        <f t="shared" si="166"/>
        <v>0</v>
      </c>
      <c r="EB41" s="68">
        <f>IF(EA41=0,MAX(EB$2:EB40)+1,0)</f>
        <v>39</v>
      </c>
      <c r="EC41" s="5" t="str">
        <f t="shared" si="167"/>
        <v>Reckless</v>
      </c>
      <c r="ED41" s="5" t="str">
        <f t="shared" si="51"/>
        <v>Reckless</v>
      </c>
      <c r="EF41">
        <f t="shared" si="52"/>
        <v>39</v>
      </c>
      <c r="EG41" s="5" t="str">
        <f t="shared" si="53"/>
        <v>Reckless</v>
      </c>
      <c r="EH41" s="68">
        <f>COUNTIF(Builder!$K$14:$N$14,EG41)</f>
        <v>0</v>
      </c>
      <c r="EI41" s="68" t="str">
        <f>IF(EH41=1,Stats!$N56,"")</f>
        <v/>
      </c>
      <c r="EJ41" s="68" t="str">
        <f>IF(EH41=1,Stats!$O56,"")</f>
        <v/>
      </c>
      <c r="EK41" s="68" t="str">
        <f>IF(EH41=1,Stats!$P56,"")</f>
        <v/>
      </c>
      <c r="EL41" s="68" t="str">
        <f>IF(EH41=1,Stats!$Q56,"")</f>
        <v/>
      </c>
      <c r="EM41" s="68" t="str">
        <f>IF(EH41=1,Stats!$R56,"")</f>
        <v/>
      </c>
      <c r="EN41" s="68" t="str">
        <f>IF(EH41=1,Stats!$S56,"")</f>
        <v/>
      </c>
      <c r="EO41" s="68">
        <f t="shared" si="54"/>
        <v>0</v>
      </c>
      <c r="EP41">
        <f t="shared" si="55"/>
        <v>0</v>
      </c>
      <c r="EQ41" s="68">
        <f>IF(EP41=0,MAX(EQ$2:EQ40)+1,0)</f>
        <v>39</v>
      </c>
      <c r="ER41" s="5" t="str">
        <f t="shared" si="56"/>
        <v>Reckless</v>
      </c>
      <c r="ES41" s="5" t="str">
        <f t="shared" si="57"/>
        <v>Reckless</v>
      </c>
      <c r="EU41">
        <f t="shared" si="58"/>
        <v>39</v>
      </c>
      <c r="EV41" s="5" t="str">
        <f t="shared" si="59"/>
        <v>Reckless</v>
      </c>
      <c r="EW41" s="68">
        <f>COUNTIF(Builder!$K$15:$N$15,EV41)</f>
        <v>0</v>
      </c>
      <c r="EX41" s="68" t="str">
        <f>IF(EW41=1,Stats!$N56,"")</f>
        <v/>
      </c>
      <c r="EY41" s="68" t="str">
        <f>IF(EW41=1,Stats!$O56,"")</f>
        <v/>
      </c>
      <c r="EZ41" s="68" t="str">
        <f>IF(EW41=1,Stats!$P56,"")</f>
        <v/>
      </c>
      <c r="FA41" s="68" t="str">
        <f>IF(EW41=1,Stats!$Q56,"")</f>
        <v/>
      </c>
      <c r="FB41" s="68" t="str">
        <f>IF(EW41=1,Stats!$R56,"")</f>
        <v/>
      </c>
      <c r="FC41" s="68" t="str">
        <f>IF(EW41=1,Stats!$S56,"")</f>
        <v/>
      </c>
      <c r="FD41" s="68">
        <f t="shared" si="60"/>
        <v>0</v>
      </c>
      <c r="FE41">
        <f t="shared" si="61"/>
        <v>0</v>
      </c>
      <c r="FF41" s="68">
        <f>IF(FE41=0,MAX(FF$2:FF40)+1,0)</f>
        <v>39</v>
      </c>
      <c r="FG41" s="5" t="str">
        <f t="shared" si="62"/>
        <v>Reckless</v>
      </c>
      <c r="FH41" s="5" t="str">
        <f t="shared" si="63"/>
        <v>Reckless</v>
      </c>
      <c r="FJ41">
        <f t="shared" si="64"/>
        <v>39</v>
      </c>
      <c r="FK41" s="5" t="str">
        <f t="shared" si="65"/>
        <v>Reckless</v>
      </c>
      <c r="FL41" s="68">
        <f>COUNTIF(Builder!$K$16:$N$16,FK41)</f>
        <v>0</v>
      </c>
      <c r="FM41" s="68" t="str">
        <f>IF(FL41=1,Stats!$N56,"")</f>
        <v/>
      </c>
      <c r="FN41" s="68" t="str">
        <f>IF(FL41=1,Stats!$O56,"")</f>
        <v/>
      </c>
      <c r="FO41" s="68" t="str">
        <f>IF(FL41=1,Stats!$P56,"")</f>
        <v/>
      </c>
      <c r="FP41" s="68" t="str">
        <f>IF(FL41=1,Stats!$Q56,"")</f>
        <v/>
      </c>
      <c r="FQ41" s="68" t="str">
        <f>IF(FL41=1,Stats!$R56,"")</f>
        <v/>
      </c>
      <c r="FR41" s="68" t="str">
        <f>IF(FL41=1,Stats!$S56,"")</f>
        <v/>
      </c>
      <c r="FS41" s="68">
        <f t="shared" si="66"/>
        <v>0</v>
      </c>
      <c r="FT41">
        <f t="shared" si="67"/>
        <v>0</v>
      </c>
      <c r="FU41" s="68">
        <f>IF(FT41=0,MAX(FU$2:FU40)+1,0)</f>
        <v>39</v>
      </c>
      <c r="FV41" s="5" t="str">
        <f t="shared" si="68"/>
        <v>Reckless</v>
      </c>
      <c r="FW41" s="5" t="str">
        <f t="shared" si="69"/>
        <v>Reckless</v>
      </c>
      <c r="FY41">
        <f t="shared" si="168"/>
        <v>39</v>
      </c>
      <c r="FZ41" s="5" t="str">
        <f t="shared" si="169"/>
        <v>Reckless</v>
      </c>
      <c r="GA41" s="68">
        <f>COUNTIF(Builder!$K$17:$N$17,FZ41)</f>
        <v>0</v>
      </c>
      <c r="GB41" s="68" t="str">
        <f>IF(GA41=1,Stats!$N56,"")</f>
        <v/>
      </c>
      <c r="GC41" s="68" t="str">
        <f>IF(GA41=1,Stats!$O56,"")</f>
        <v/>
      </c>
      <c r="GD41" s="68" t="str">
        <f>IF(GA41=1,Stats!$P56,"")</f>
        <v/>
      </c>
      <c r="GE41" s="68" t="str">
        <f>IF(GA41=1,Stats!$Q56,"")</f>
        <v/>
      </c>
      <c r="GF41" s="68" t="str">
        <f>IF(GA41=1,Stats!$R56,"")</f>
        <v/>
      </c>
      <c r="GG41" s="68" t="str">
        <f>IF(GA41=1,Stats!$S56,"")</f>
        <v/>
      </c>
      <c r="GH41" s="68">
        <f t="shared" si="170"/>
        <v>0</v>
      </c>
      <c r="GI41">
        <f t="shared" si="171"/>
        <v>0</v>
      </c>
      <c r="GJ41" s="68">
        <f>IF(GI41=0,MAX(GJ$2:GJ40)+1,0)</f>
        <v>39</v>
      </c>
      <c r="GK41" s="5" t="str">
        <f t="shared" si="172"/>
        <v>Reckless</v>
      </c>
      <c r="GL41" s="5" t="str">
        <f t="shared" si="75"/>
        <v>Reckless</v>
      </c>
      <c r="GN41">
        <f t="shared" si="76"/>
        <v>39</v>
      </c>
      <c r="GO41" s="5" t="str">
        <f t="shared" si="77"/>
        <v>Reckless</v>
      </c>
      <c r="GP41" s="68">
        <f>COUNTIF(Builder!$K$18:$N$18,GO41)</f>
        <v>0</v>
      </c>
      <c r="GQ41" s="68" t="str">
        <f>IF(GP41=1,Stats!$N56,"")</f>
        <v/>
      </c>
      <c r="GR41" s="68" t="str">
        <f>IF(GP41=1,Stats!$O56,"")</f>
        <v/>
      </c>
      <c r="GS41" s="68" t="str">
        <f>IF(GP41=1,Stats!$P56,"")</f>
        <v/>
      </c>
      <c r="GT41" s="68" t="str">
        <f>IF(GP41=1,Stats!$Q56,"")</f>
        <v/>
      </c>
      <c r="GU41" s="68" t="str">
        <f>IF(GP41=1,Stats!$R56,"")</f>
        <v/>
      </c>
      <c r="GV41" s="68" t="str">
        <f>IF(GP41=1,Stats!$S56,"")</f>
        <v/>
      </c>
      <c r="GW41" s="68">
        <f t="shared" si="78"/>
        <v>0</v>
      </c>
      <c r="GX41">
        <f t="shared" si="79"/>
        <v>0</v>
      </c>
      <c r="GY41" s="68">
        <f>IF(GX41=0,MAX(GY$2:GY40)+1,0)</f>
        <v>39</v>
      </c>
      <c r="GZ41" s="5" t="str">
        <f t="shared" si="80"/>
        <v>Reckless</v>
      </c>
      <c r="HA41" s="5" t="str">
        <f t="shared" si="81"/>
        <v>Reckless</v>
      </c>
      <c r="HC41">
        <f t="shared" si="82"/>
        <v>39</v>
      </c>
      <c r="HD41" s="5" t="str">
        <f t="shared" si="83"/>
        <v>Reckless</v>
      </c>
      <c r="HE41" s="68">
        <f>COUNTIF(Builder!$K$19:$N$19,HD41)</f>
        <v>0</v>
      </c>
      <c r="HF41" s="68" t="str">
        <f>IF(HE41=1,Stats!$N56,"")</f>
        <v/>
      </c>
      <c r="HG41" s="68" t="str">
        <f>IF(HE41=1,Stats!$O56,"")</f>
        <v/>
      </c>
      <c r="HH41" s="68" t="str">
        <f>IF(HE41=1,Stats!$P56,"")</f>
        <v/>
      </c>
      <c r="HI41" s="68" t="str">
        <f>IF(HE41=1,Stats!$Q56,"")</f>
        <v/>
      </c>
      <c r="HJ41" s="68" t="str">
        <f>IF(HE41=1,Stats!$R56,"")</f>
        <v/>
      </c>
      <c r="HK41" s="68" t="str">
        <f>IF(HE41=1,Stats!$S56,"")</f>
        <v/>
      </c>
      <c r="HL41" s="68">
        <f t="shared" si="84"/>
        <v>0</v>
      </c>
      <c r="HM41">
        <f t="shared" si="85"/>
        <v>0</v>
      </c>
      <c r="HN41" s="68">
        <f>IF(HM41=0,MAX(HN$2:HN40)+1,0)</f>
        <v>39</v>
      </c>
      <c r="HO41" s="5" t="str">
        <f t="shared" si="86"/>
        <v>Reckless</v>
      </c>
      <c r="HP41" s="5" t="str">
        <f t="shared" si="87"/>
        <v>Reckless</v>
      </c>
      <c r="HR41">
        <f t="shared" si="88"/>
        <v>39</v>
      </c>
      <c r="HS41" s="5" t="str">
        <f t="shared" si="89"/>
        <v>Reckless</v>
      </c>
      <c r="HT41" s="68">
        <f>COUNTIF(Builder!$K$20:$N$20,HS41)</f>
        <v>0</v>
      </c>
      <c r="HU41" s="68" t="str">
        <f>IF(HT41=1,Stats!$N56,"")</f>
        <v/>
      </c>
      <c r="HV41" s="68" t="str">
        <f>IF(HT41=1,Stats!$O56,"")</f>
        <v/>
      </c>
      <c r="HW41" s="68" t="str">
        <f>IF(HT41=1,Stats!$P56,"")</f>
        <v/>
      </c>
      <c r="HX41" s="68" t="str">
        <f>IF(HT41=1,Stats!$Q56,"")</f>
        <v/>
      </c>
      <c r="HY41" s="68" t="str">
        <f>IF(HT41=1,Stats!$R56,"")</f>
        <v/>
      </c>
      <c r="HZ41" s="68" t="str">
        <f>IF(HT41=1,Stats!$S56,"")</f>
        <v/>
      </c>
      <c r="IA41" s="68">
        <f t="shared" si="90"/>
        <v>0</v>
      </c>
      <c r="IB41">
        <f t="shared" si="91"/>
        <v>0</v>
      </c>
      <c r="IC41" s="68">
        <f>IF(IB41=0,MAX(IC$2:IC40)+1,0)</f>
        <v>39</v>
      </c>
      <c r="ID41" s="5" t="str">
        <f t="shared" si="92"/>
        <v>Reckless</v>
      </c>
      <c r="IE41" s="5" t="str">
        <f t="shared" si="93"/>
        <v>Reckless</v>
      </c>
      <c r="IG41">
        <f t="shared" si="94"/>
        <v>39</v>
      </c>
      <c r="IH41" s="5" t="str">
        <f t="shared" si="95"/>
        <v>Reckless</v>
      </c>
      <c r="II41" s="68">
        <f>COUNTIF(Builder!$K$21:$N$21,IH41)</f>
        <v>0</v>
      </c>
      <c r="IJ41" s="68" t="str">
        <f>IF(II41=1,Stats!$N56,"")</f>
        <v/>
      </c>
      <c r="IK41" s="68" t="str">
        <f>IF(II41=1,Stats!$O56,"")</f>
        <v/>
      </c>
      <c r="IL41" s="68" t="str">
        <f>IF(II41=1,Stats!$P56,"")</f>
        <v/>
      </c>
      <c r="IM41" s="68" t="str">
        <f>IF(II41=1,Stats!$Q56,"")</f>
        <v/>
      </c>
      <c r="IN41" s="68" t="str">
        <f>IF(II41=1,Stats!$R56,"")</f>
        <v/>
      </c>
      <c r="IO41" s="68" t="str">
        <f>IF(II41=1,Stats!$S56,"")</f>
        <v/>
      </c>
      <c r="IP41" s="68">
        <f t="shared" si="96"/>
        <v>0</v>
      </c>
      <c r="IQ41">
        <f t="shared" si="97"/>
        <v>0</v>
      </c>
      <c r="IR41" s="68">
        <f>IF(IQ41=0,MAX(IR$2:IR40)+1,0)</f>
        <v>39</v>
      </c>
      <c r="IS41" s="5" t="str">
        <f t="shared" si="98"/>
        <v>Reckless</v>
      </c>
      <c r="IT41" s="5" t="str">
        <f t="shared" si="99"/>
        <v>Reckless</v>
      </c>
      <c r="IV41">
        <f t="shared" si="100"/>
        <v>39</v>
      </c>
      <c r="IW41" s="5" t="str">
        <f t="shared" si="101"/>
        <v>Reckless</v>
      </c>
      <c r="IX41" s="68">
        <f>COUNTIF(Builder!$K$22:$N$22,IW41)</f>
        <v>0</v>
      </c>
      <c r="IY41" s="68" t="str">
        <f>IF(IX41=1,Stats!$N56,"")</f>
        <v/>
      </c>
      <c r="IZ41" s="68" t="str">
        <f>IF(IX41=1,Stats!$O56,"")</f>
        <v/>
      </c>
      <c r="JA41" s="68" t="str">
        <f>IF(IX41=1,Stats!$P56,"")</f>
        <v/>
      </c>
      <c r="JB41" s="68" t="str">
        <f>IF(IX41=1,Stats!$Q56,"")</f>
        <v/>
      </c>
      <c r="JC41" s="68" t="str">
        <f>IF(IX41=1,Stats!$R56,"")</f>
        <v/>
      </c>
      <c r="JD41" s="68" t="str">
        <f>IF(IX41=1,Stats!$S56,"")</f>
        <v/>
      </c>
      <c r="JE41" s="68">
        <f t="shared" si="102"/>
        <v>0</v>
      </c>
      <c r="JF41">
        <f t="shared" si="103"/>
        <v>0</v>
      </c>
      <c r="JG41" s="68">
        <f>IF(JF41=0,MAX(JG$2:JG40)+1,0)</f>
        <v>39</v>
      </c>
      <c r="JH41" s="5" t="str">
        <f t="shared" si="104"/>
        <v>Reckless</v>
      </c>
      <c r="JI41" s="5" t="str">
        <f t="shared" si="105"/>
        <v>Reckless</v>
      </c>
      <c r="JK41">
        <f t="shared" si="106"/>
        <v>39</v>
      </c>
      <c r="JL41" s="5" t="str">
        <f t="shared" si="107"/>
        <v>Reckless</v>
      </c>
      <c r="JM41" s="68">
        <f>COUNTIF(Builder!$K$23:$N$23,JL41)</f>
        <v>0</v>
      </c>
      <c r="JN41" s="68" t="str">
        <f>IF(JM41=1,Stats!$N56,"")</f>
        <v/>
      </c>
      <c r="JO41" s="68" t="str">
        <f>IF(JM41=1,Stats!$O56,"")</f>
        <v/>
      </c>
      <c r="JP41" s="68" t="str">
        <f>IF(JM41=1,Stats!$P56,"")</f>
        <v/>
      </c>
      <c r="JQ41" s="68" t="str">
        <f>IF(JM41=1,Stats!$Q56,"")</f>
        <v/>
      </c>
      <c r="JR41" s="68" t="str">
        <f>IF(JM41=1,Stats!$R56,"")</f>
        <v/>
      </c>
      <c r="JS41" s="68" t="str">
        <f>IF(JM41=1,Stats!$S56,"")</f>
        <v/>
      </c>
      <c r="JT41" s="68">
        <f t="shared" si="108"/>
        <v>0</v>
      </c>
      <c r="JU41">
        <f t="shared" si="109"/>
        <v>0</v>
      </c>
      <c r="JV41" s="68">
        <f>IF(JU41=0,MAX(JV$2:JV40)+1,0)</f>
        <v>39</v>
      </c>
      <c r="JW41" s="5" t="str">
        <f t="shared" si="110"/>
        <v>Reckless</v>
      </c>
      <c r="JX41" s="5" t="str">
        <f t="shared" si="111"/>
        <v>Reckless</v>
      </c>
      <c r="JZ41">
        <f t="shared" si="112"/>
        <v>39</v>
      </c>
      <c r="KA41" s="5" t="str">
        <f t="shared" si="113"/>
        <v>Reckless</v>
      </c>
      <c r="KB41" s="68">
        <f>COUNTIF(Builder!$K$24:$N$24,KA41)</f>
        <v>0</v>
      </c>
      <c r="KC41" s="68" t="str">
        <f>IF(KB41=1,Stats!$N56,"")</f>
        <v/>
      </c>
      <c r="KD41" s="68" t="str">
        <f>IF(KB41=1,Stats!$O56,"")</f>
        <v/>
      </c>
      <c r="KE41" s="68" t="str">
        <f>IF(KB41=1,Stats!$P56,"")</f>
        <v/>
      </c>
      <c r="KF41" s="68" t="str">
        <f>IF(KB41=1,Stats!$Q56,"")</f>
        <v/>
      </c>
      <c r="KG41" s="68" t="str">
        <f>IF(KB41=1,Stats!$R56,"")</f>
        <v/>
      </c>
      <c r="KH41" s="68" t="str">
        <f>IF(KB41=1,Stats!$S56,"")</f>
        <v/>
      </c>
      <c r="KI41" s="68">
        <f t="shared" si="114"/>
        <v>0</v>
      </c>
      <c r="KJ41">
        <f t="shared" si="115"/>
        <v>0</v>
      </c>
      <c r="KK41" s="68">
        <f>IF(KJ41=0,MAX(KK$2:KK40)+1,0)</f>
        <v>39</v>
      </c>
      <c r="KL41" s="5" t="str">
        <f t="shared" si="116"/>
        <v>Reckless</v>
      </c>
      <c r="KM41" s="5" t="str">
        <f t="shared" si="117"/>
        <v>Reckless</v>
      </c>
      <c r="KO41">
        <f t="shared" si="118"/>
        <v>39</v>
      </c>
      <c r="KP41" s="5" t="str">
        <f t="shared" si="119"/>
        <v>Reckless</v>
      </c>
      <c r="KQ41" s="68">
        <f>COUNTIF(Builder!$K$25:$N$25,KP41)</f>
        <v>0</v>
      </c>
      <c r="KR41" s="68" t="str">
        <f>IF(KQ41=1,Stats!$N56,"")</f>
        <v/>
      </c>
      <c r="KS41" s="68" t="str">
        <f>IF(KQ41=1,Stats!$O56,"")</f>
        <v/>
      </c>
      <c r="KT41" s="68" t="str">
        <f>IF(KQ41=1,Stats!$P56,"")</f>
        <v/>
      </c>
      <c r="KU41" s="68" t="str">
        <f>IF(KQ41=1,Stats!$Q56,"")</f>
        <v/>
      </c>
      <c r="KV41" s="68" t="str">
        <f>IF(KQ41=1,Stats!$R56,"")</f>
        <v/>
      </c>
      <c r="KW41" s="68" t="str">
        <f>IF(KQ41=1,Stats!$S56,"")</f>
        <v/>
      </c>
      <c r="KX41" s="68">
        <f t="shared" si="120"/>
        <v>0</v>
      </c>
      <c r="KY41">
        <f t="shared" si="121"/>
        <v>0</v>
      </c>
      <c r="KZ41" s="68">
        <f>IF(KY41=0,MAX(KZ$2:KZ40)+1,0)</f>
        <v>39</v>
      </c>
      <c r="LA41" s="5" t="str">
        <f t="shared" si="122"/>
        <v>Reckless</v>
      </c>
      <c r="LB41" s="5" t="str">
        <f t="shared" si="123"/>
        <v>Reckless</v>
      </c>
      <c r="LD41">
        <f t="shared" si="124"/>
        <v>39</v>
      </c>
      <c r="LE41" s="5" t="str">
        <f t="shared" si="125"/>
        <v>Reckless</v>
      </c>
      <c r="LF41" s="68">
        <f>COUNTIF(Builder!$K$26:$N$26,LE41)</f>
        <v>0</v>
      </c>
      <c r="LG41" s="68" t="str">
        <f>IF(LF41=1,Stats!$N56,"")</f>
        <v/>
      </c>
      <c r="LH41" s="68" t="str">
        <f>IF(LF41=1,Stats!$O56,"")</f>
        <v/>
      </c>
      <c r="LI41" s="68" t="str">
        <f>IF(LF41=1,Stats!$P56,"")</f>
        <v/>
      </c>
      <c r="LJ41" s="68" t="str">
        <f>IF(LF41=1,Stats!$Q56,"")</f>
        <v/>
      </c>
      <c r="LK41" s="68" t="str">
        <f>IF(LF41=1,Stats!$R56,"")</f>
        <v/>
      </c>
      <c r="LL41" s="68" t="str">
        <f>IF(LF41=1,Stats!$S56,"")</f>
        <v/>
      </c>
      <c r="LM41" s="68">
        <f t="shared" si="126"/>
        <v>0</v>
      </c>
      <c r="LN41">
        <f t="shared" si="127"/>
        <v>0</v>
      </c>
      <c r="LO41" s="68">
        <f>IF(LN41=0,MAX(LO$2:LO40)+1,0)</f>
        <v>39</v>
      </c>
      <c r="LP41" s="5" t="str">
        <f t="shared" si="128"/>
        <v>Reckless</v>
      </c>
      <c r="LQ41" s="5" t="str">
        <f t="shared" si="129"/>
        <v>Reckless</v>
      </c>
      <c r="LS41">
        <f t="shared" si="130"/>
        <v>39</v>
      </c>
      <c r="LT41" s="5" t="str">
        <f t="shared" si="131"/>
        <v>Reckless</v>
      </c>
      <c r="LU41" s="68">
        <f>COUNTIF(Builder!$K$27:$N$27,LT41)</f>
        <v>0</v>
      </c>
      <c r="LV41" s="68" t="str">
        <f>IF(LU41=1,Stats!$N56,"")</f>
        <v/>
      </c>
      <c r="LW41" s="68" t="str">
        <f>IF(LU41=1,Stats!$O56,"")</f>
        <v/>
      </c>
      <c r="LX41" s="68" t="str">
        <f>IF(LU41=1,Stats!$P56,"")</f>
        <v/>
      </c>
      <c r="LY41" s="68" t="str">
        <f>IF(LU41=1,Stats!$Q56,"")</f>
        <v/>
      </c>
      <c r="LZ41" s="68" t="str">
        <f>IF(LU41=1,Stats!$R56,"")</f>
        <v/>
      </c>
      <c r="MA41" s="68" t="str">
        <f>IF(LU41=1,Stats!$S56,"")</f>
        <v/>
      </c>
      <c r="MB41" s="68">
        <f t="shared" si="132"/>
        <v>0</v>
      </c>
      <c r="MC41">
        <f t="shared" si="133"/>
        <v>0</v>
      </c>
      <c r="MD41" s="68">
        <f>IF(MC41=0,MAX(MD$2:MD40)+1,0)</f>
        <v>39</v>
      </c>
      <c r="ME41" s="5" t="str">
        <f t="shared" si="134"/>
        <v>Reckless</v>
      </c>
      <c r="MF41" s="5" t="str">
        <f t="shared" si="135"/>
        <v>Reckless</v>
      </c>
      <c r="MH41">
        <f t="shared" si="136"/>
        <v>39</v>
      </c>
      <c r="MI41" s="5" t="str">
        <f t="shared" si="137"/>
        <v>Reckless</v>
      </c>
      <c r="MJ41" s="68">
        <f>COUNTIF(Builder!$K$28:$N$28,MI41)</f>
        <v>0</v>
      </c>
      <c r="MK41" s="68" t="str">
        <f>IF(MJ41=1,Stats!$N56,"")</f>
        <v/>
      </c>
      <c r="ML41" s="68" t="str">
        <f>IF(MJ41=1,Stats!$O56,"")</f>
        <v/>
      </c>
      <c r="MM41" s="68" t="str">
        <f>IF(MJ41=1,Stats!$P56,"")</f>
        <v/>
      </c>
      <c r="MN41" s="68" t="str">
        <f>IF(MJ41=1,Stats!$Q56,"")</f>
        <v/>
      </c>
      <c r="MO41" s="68" t="str">
        <f>IF(MJ41=1,Stats!$R56,"")</f>
        <v/>
      </c>
      <c r="MP41" s="68" t="str">
        <f>IF(MJ41=1,Stats!$S56,"")</f>
        <v/>
      </c>
      <c r="MQ41" s="68">
        <f t="shared" si="138"/>
        <v>0</v>
      </c>
      <c r="MR41">
        <f t="shared" si="139"/>
        <v>0</v>
      </c>
      <c r="MS41" s="68">
        <f>IF(MR41=0,MAX(MS$2:MS40)+1,0)</f>
        <v>39</v>
      </c>
      <c r="MT41" s="5" t="str">
        <f t="shared" si="140"/>
        <v>Reckless</v>
      </c>
      <c r="MU41" s="5" t="str">
        <f t="shared" si="141"/>
        <v>Reckless</v>
      </c>
      <c r="MW41">
        <f t="shared" si="142"/>
        <v>39</v>
      </c>
      <c r="MX41" s="5" t="str">
        <f t="shared" si="143"/>
        <v>Reckless</v>
      </c>
      <c r="MY41" s="68">
        <f>COUNTIF(Builder!$K$29:$N$29,MX41)</f>
        <v>0</v>
      </c>
      <c r="MZ41" s="68" t="str">
        <f>IF(MY41=1,Stats!$N56,"")</f>
        <v/>
      </c>
      <c r="NA41" s="68" t="str">
        <f>IF(MY41=1,Stats!$O56,"")</f>
        <v/>
      </c>
      <c r="NB41" s="68" t="str">
        <f>IF(MY41=1,Stats!$P56,"")</f>
        <v/>
      </c>
      <c r="NC41" s="68" t="str">
        <f>IF(MY41=1,Stats!$Q56,"")</f>
        <v/>
      </c>
      <c r="ND41" s="68" t="str">
        <f>IF(MY41=1,Stats!$R56,"")</f>
        <v/>
      </c>
      <c r="NE41" s="68" t="str">
        <f>IF(MY41=1,Stats!$S56,"")</f>
        <v/>
      </c>
      <c r="NF41" s="68">
        <f t="shared" si="144"/>
        <v>0</v>
      </c>
      <c r="NG41">
        <f t="shared" si="145"/>
        <v>0</v>
      </c>
      <c r="NH41" s="68">
        <f>IF(NG41=0,MAX(NH$2:NH40)+1,0)</f>
        <v>39</v>
      </c>
      <c r="NI41" s="5" t="str">
        <f t="shared" si="146"/>
        <v>Reckless</v>
      </c>
      <c r="NJ41" s="5" t="str">
        <f t="shared" si="147"/>
        <v>Reckless</v>
      </c>
    </row>
    <row r="42" spans="1:374" ht="15" x14ac:dyDescent="0.3">
      <c r="A42">
        <v>40</v>
      </c>
      <c r="B42" s="5" t="s">
        <v>42</v>
      </c>
      <c r="C42" s="68">
        <f>COUNTIF(Builder!$K$5:$N$5,B42)</f>
        <v>0</v>
      </c>
      <c r="D42" s="68" t="str">
        <f>IF(C42=1,Stats!$N57,"")</f>
        <v/>
      </c>
      <c r="E42" s="68" t="str">
        <f>IF(C42=1,Stats!$O57,"")</f>
        <v/>
      </c>
      <c r="F42" s="68" t="str">
        <f>IF(C42=1,Stats!$P57,"")</f>
        <v/>
      </c>
      <c r="G42" s="68" t="str">
        <f>IF(C42=1,Stats!$Q57,"")</f>
        <v/>
      </c>
      <c r="H42" s="68" t="str">
        <f>IF(C42=1,Stats!$R57,"")</f>
        <v/>
      </c>
      <c r="I42" s="68" t="str">
        <f>IF(C42=1,Stats!$S57,"")</f>
        <v/>
      </c>
      <c r="J42" s="68">
        <f t="shared" si="0"/>
        <v>0</v>
      </c>
      <c r="K42">
        <f t="shared" si="1"/>
        <v>0</v>
      </c>
      <c r="L42" s="68">
        <f>IF(K42=0,MAX($L$2:L41)+1,0)</f>
        <v>40</v>
      </c>
      <c r="M42" s="5" t="str">
        <f t="shared" si="2"/>
        <v>Regenerate</v>
      </c>
      <c r="N42" s="5" t="str">
        <f t="shared" si="3"/>
        <v>Regenerate</v>
      </c>
      <c r="O42" s="5"/>
      <c r="P42">
        <f t="shared" si="4"/>
        <v>40</v>
      </c>
      <c r="Q42" s="5" t="str">
        <f t="shared" si="5"/>
        <v>Regenerate</v>
      </c>
      <c r="R42" s="68">
        <f>COUNTIF(Builder!$K$6:$N$6,Q42)</f>
        <v>0</v>
      </c>
      <c r="S42" s="68" t="str">
        <f>IF(R42=1,Stats!$N57,"")</f>
        <v/>
      </c>
      <c r="T42" s="68" t="str">
        <f>IF(R42=1,Stats!$O57,"")</f>
        <v/>
      </c>
      <c r="U42" s="68" t="str">
        <f>IF(R42=1,Stats!$P57,"")</f>
        <v/>
      </c>
      <c r="V42" s="68" t="str">
        <f>IF(R42=1,Stats!$Q57,"")</f>
        <v/>
      </c>
      <c r="W42" s="68" t="str">
        <f>IF(R42=1,Stats!$R57,"")</f>
        <v/>
      </c>
      <c r="X42" s="68" t="str">
        <f>IF(R42=1,Stats!$S57,"")</f>
        <v/>
      </c>
      <c r="Y42" s="68">
        <f t="shared" si="6"/>
        <v>0</v>
      </c>
      <c r="Z42">
        <f t="shared" si="7"/>
        <v>0</v>
      </c>
      <c r="AA42" s="68">
        <f>IF(Z42=0,MAX($AA$2:AA41)+1,0)</f>
        <v>40</v>
      </c>
      <c r="AB42" s="5" t="str">
        <f t="shared" si="8"/>
        <v>Regenerate</v>
      </c>
      <c r="AC42" s="5" t="str">
        <f t="shared" si="9"/>
        <v>Regenerate</v>
      </c>
      <c r="AD42" s="5"/>
      <c r="AE42">
        <f t="shared" si="10"/>
        <v>40</v>
      </c>
      <c r="AF42" s="5" t="str">
        <f t="shared" si="11"/>
        <v>Regenerate</v>
      </c>
      <c r="AG42" s="68">
        <f>COUNTIF(Builder!$K$7:$N$7,AF42)</f>
        <v>0</v>
      </c>
      <c r="AH42" s="68" t="str">
        <f>IF(AG42=1,Stats!$N57,"")</f>
        <v/>
      </c>
      <c r="AI42" s="68" t="str">
        <f>IF(AG42=1,Stats!$O57,"")</f>
        <v/>
      </c>
      <c r="AJ42" s="68" t="str">
        <f>IF(AG42=1,Stats!$P57,"")</f>
        <v/>
      </c>
      <c r="AK42" s="68" t="str">
        <f>IF(AG42=1,Stats!$Q57,"")</f>
        <v/>
      </c>
      <c r="AL42" s="68" t="str">
        <f>IF(AG42=1,Stats!$R57,"")</f>
        <v/>
      </c>
      <c r="AM42" s="68" t="str">
        <f>IF(AG42=1,Stats!$S57,"")</f>
        <v/>
      </c>
      <c r="AN42" s="68">
        <f t="shared" si="12"/>
        <v>0</v>
      </c>
      <c r="AO42">
        <f t="shared" si="13"/>
        <v>0</v>
      </c>
      <c r="AP42" s="68">
        <f>IF(AO42=0,MAX($AP$2:AP41)+1,0)</f>
        <v>40</v>
      </c>
      <c r="AQ42" s="5" t="str">
        <f t="shared" si="14"/>
        <v>Regenerate</v>
      </c>
      <c r="AR42" s="5" t="str">
        <f t="shared" si="15"/>
        <v>Regenerate</v>
      </c>
      <c r="AS42" s="5"/>
      <c r="AT42">
        <f t="shared" si="16"/>
        <v>40</v>
      </c>
      <c r="AU42" s="5" t="str">
        <f t="shared" si="17"/>
        <v>Regenerate</v>
      </c>
      <c r="AV42" s="68">
        <f>COUNTIF(Builder!$K$8:$N$8,AU42)</f>
        <v>0</v>
      </c>
      <c r="AW42" s="68" t="str">
        <f>IF(AV42=1,Stats!$N57,"")</f>
        <v/>
      </c>
      <c r="AX42" s="68" t="str">
        <f>IF(AV42=1,Stats!$O57,"")</f>
        <v/>
      </c>
      <c r="AY42" s="68" t="str">
        <f>IF(AV42=1,Stats!$P57,"")</f>
        <v/>
      </c>
      <c r="AZ42" s="68" t="str">
        <f>IF(AV42=1,Stats!$Q57,"")</f>
        <v/>
      </c>
      <c r="BA42" s="68" t="str">
        <f>IF(AV42=1,Stats!$R57,"")</f>
        <v/>
      </c>
      <c r="BB42" s="68" t="str">
        <f>IF(AV42=1,Stats!$S57,"")</f>
        <v/>
      </c>
      <c r="BC42" s="68">
        <f t="shared" si="18"/>
        <v>0</v>
      </c>
      <c r="BD42">
        <f t="shared" si="19"/>
        <v>0</v>
      </c>
      <c r="BE42" s="68">
        <f>IF(BD42=0,MAX($BE$2:BE41)+1,0)</f>
        <v>40</v>
      </c>
      <c r="BF42" s="5" t="str">
        <f t="shared" si="20"/>
        <v>Regenerate</v>
      </c>
      <c r="BG42" s="5" t="str">
        <f t="shared" si="21"/>
        <v>Regenerate</v>
      </c>
      <c r="BH42" s="5"/>
      <c r="BI42">
        <f t="shared" si="148"/>
        <v>40</v>
      </c>
      <c r="BJ42" s="5" t="str">
        <f t="shared" si="149"/>
        <v>Regenerate</v>
      </c>
      <c r="BK42" s="68">
        <f>COUNTIF(Builder!$K$9:$N$9,BJ42)</f>
        <v>0</v>
      </c>
      <c r="BL42" s="68" t="str">
        <f>IF(BK42=1,Stats!$N57,"")</f>
        <v/>
      </c>
      <c r="BM42" s="68" t="str">
        <f>IF(BK42=1,Stats!$O57,"")</f>
        <v/>
      </c>
      <c r="BN42" s="68" t="str">
        <f>IF(BK42=1,Stats!$P57,"")</f>
        <v/>
      </c>
      <c r="BO42" s="68" t="str">
        <f>IF(BK42=1,Stats!$Q57,"")</f>
        <v/>
      </c>
      <c r="BP42" s="68" t="str">
        <f>IF(BK42=1,Stats!$R57,"")</f>
        <v/>
      </c>
      <c r="BQ42" s="68" t="str">
        <f>IF(BK42=1,Stats!$S57,"")</f>
        <v/>
      </c>
      <c r="BR42" s="68">
        <f t="shared" si="150"/>
        <v>0</v>
      </c>
      <c r="BS42">
        <f t="shared" si="151"/>
        <v>0</v>
      </c>
      <c r="BT42" s="68">
        <f>IF(BS42=0,MAX(BT$2:BT41)+1,0)</f>
        <v>40</v>
      </c>
      <c r="BU42" s="5" t="str">
        <f t="shared" si="152"/>
        <v>Regenerate</v>
      </c>
      <c r="BV42" s="5" t="str">
        <f t="shared" si="27"/>
        <v>Regenerate</v>
      </c>
      <c r="BX42">
        <f t="shared" si="153"/>
        <v>40</v>
      </c>
      <c r="BY42" s="5" t="str">
        <f t="shared" si="154"/>
        <v>Regenerate</v>
      </c>
      <c r="BZ42" s="68">
        <f>COUNTIF(Builder!$K$10:$N$10,BY42)</f>
        <v>0</v>
      </c>
      <c r="CA42" s="68" t="str">
        <f>IF(BZ42=1,Stats!$N57,"")</f>
        <v/>
      </c>
      <c r="CB42" s="68" t="str">
        <f>IF(BZ42=1,Stats!$O57,"")</f>
        <v/>
      </c>
      <c r="CC42" s="68" t="str">
        <f>IF(BZ42=1,Stats!$P57,"")</f>
        <v/>
      </c>
      <c r="CD42" s="68" t="str">
        <f>IF(BZ42=1,Stats!$Q57,"")</f>
        <v/>
      </c>
      <c r="CE42" s="68" t="str">
        <f>IF(BZ42=1,Stats!$R57,"")</f>
        <v/>
      </c>
      <c r="CF42" s="68" t="str">
        <f>IF(BZ42=1,Stats!$S57,"")</f>
        <v/>
      </c>
      <c r="CG42" s="68">
        <f t="shared" si="155"/>
        <v>0</v>
      </c>
      <c r="CH42">
        <f t="shared" si="156"/>
        <v>0</v>
      </c>
      <c r="CI42" s="68">
        <f>IF(CH42=0,MAX(CI$2:CI41)+1,0)</f>
        <v>40</v>
      </c>
      <c r="CJ42" s="5" t="str">
        <f t="shared" si="157"/>
        <v>Regenerate</v>
      </c>
      <c r="CK42" s="5" t="str">
        <f t="shared" si="33"/>
        <v>Regenerate</v>
      </c>
      <c r="CM42">
        <f t="shared" si="34"/>
        <v>40</v>
      </c>
      <c r="CN42" s="5" t="str">
        <f t="shared" si="35"/>
        <v>Regenerate</v>
      </c>
      <c r="CO42" s="68">
        <f>COUNTIF(Builder!$K$11:$N$11,CN42)</f>
        <v>0</v>
      </c>
      <c r="CP42" s="68" t="str">
        <f>IF(CO42=1,Stats!$N57,"")</f>
        <v/>
      </c>
      <c r="CQ42" s="68" t="str">
        <f>IF(CO42=1,Stats!$O57,"")</f>
        <v/>
      </c>
      <c r="CR42" s="68" t="str">
        <f>IF(CO42=1,Stats!$P57,"")</f>
        <v/>
      </c>
      <c r="CS42" s="68" t="str">
        <f>IF(CO42=1,Stats!$Q57,"")</f>
        <v/>
      </c>
      <c r="CT42" s="68" t="str">
        <f>IF(CO42=1,Stats!$R57,"")</f>
        <v/>
      </c>
      <c r="CU42" s="68" t="str">
        <f>IF(CO42=1,Stats!$S57,"")</f>
        <v/>
      </c>
      <c r="CV42" s="68">
        <f t="shared" si="36"/>
        <v>0</v>
      </c>
      <c r="CW42">
        <f t="shared" si="37"/>
        <v>0</v>
      </c>
      <c r="CX42" s="68">
        <f>IF(CW42=0,MAX(CX$2:CX41)+1,0)</f>
        <v>40</v>
      </c>
      <c r="CY42" s="5" t="str">
        <f t="shared" si="38"/>
        <v>Regenerate</v>
      </c>
      <c r="CZ42" s="5" t="str">
        <f t="shared" si="39"/>
        <v>Regenerate</v>
      </c>
      <c r="DB42">
        <f t="shared" si="158"/>
        <v>40</v>
      </c>
      <c r="DC42" s="5" t="str">
        <f t="shared" si="159"/>
        <v>Regenerate</v>
      </c>
      <c r="DD42" s="68">
        <f>COUNTIF(Builder!$K$12:$N$12,DC42)</f>
        <v>0</v>
      </c>
      <c r="DE42" s="68" t="str">
        <f>IF(DD42=1,Stats!$N57,"")</f>
        <v/>
      </c>
      <c r="DF42" s="68" t="str">
        <f>IF(DD42=1,Stats!$O57,"")</f>
        <v/>
      </c>
      <c r="DG42" s="68" t="str">
        <f>IF(DD42=1,Stats!$P57,"")</f>
        <v/>
      </c>
      <c r="DH42" s="68" t="str">
        <f>IF(DD42=1,Stats!$Q57,"")</f>
        <v/>
      </c>
      <c r="DI42" s="68" t="str">
        <f>IF(DD42=1,Stats!$R57,"")</f>
        <v/>
      </c>
      <c r="DJ42" s="68" t="str">
        <f>IF(DD42=1,Stats!$S57,"")</f>
        <v/>
      </c>
      <c r="DK42" s="68">
        <f t="shared" si="160"/>
        <v>0</v>
      </c>
      <c r="DL42">
        <f t="shared" si="161"/>
        <v>0</v>
      </c>
      <c r="DM42" s="68">
        <f>IF(DL42=0,MAX(DM$2:DM41)+1,0)</f>
        <v>40</v>
      </c>
      <c r="DN42" s="5" t="str">
        <f t="shared" si="162"/>
        <v>Regenerate</v>
      </c>
      <c r="DO42" s="5" t="str">
        <f t="shared" si="45"/>
        <v>Regenerate</v>
      </c>
      <c r="DQ42">
        <f t="shared" si="163"/>
        <v>40</v>
      </c>
      <c r="DR42" s="5" t="str">
        <f t="shared" si="164"/>
        <v>Regenerate</v>
      </c>
      <c r="DS42" s="68">
        <f>COUNTIF(Builder!$K$13:$N$13,DR42)</f>
        <v>0</v>
      </c>
      <c r="DT42" s="68" t="str">
        <f>IF(DS42=1,Stats!$N57,"")</f>
        <v/>
      </c>
      <c r="DU42" s="68" t="str">
        <f>IF(DS42=1,Stats!$O57,"")</f>
        <v/>
      </c>
      <c r="DV42" s="68" t="str">
        <f>IF(DS42=1,Stats!$P57,"")</f>
        <v/>
      </c>
      <c r="DW42" s="68" t="str">
        <f>IF(DS42=1,Stats!$Q57,"")</f>
        <v/>
      </c>
      <c r="DX42" s="68" t="str">
        <f>IF(DS42=1,Stats!$R57,"")</f>
        <v/>
      </c>
      <c r="DY42" s="68" t="str">
        <f>IF(DS42=1,Stats!$S57,"")</f>
        <v/>
      </c>
      <c r="DZ42" s="68">
        <f t="shared" si="165"/>
        <v>0</v>
      </c>
      <c r="EA42">
        <f t="shared" si="166"/>
        <v>0</v>
      </c>
      <c r="EB42" s="68">
        <f>IF(EA42=0,MAX(EB$2:EB41)+1,0)</f>
        <v>40</v>
      </c>
      <c r="EC42" s="5" t="str">
        <f t="shared" si="167"/>
        <v>Regenerate</v>
      </c>
      <c r="ED42" s="5" t="str">
        <f t="shared" si="51"/>
        <v>Regenerate</v>
      </c>
      <c r="EF42">
        <f t="shared" si="52"/>
        <v>40</v>
      </c>
      <c r="EG42" s="5" t="str">
        <f t="shared" si="53"/>
        <v>Regenerate</v>
      </c>
      <c r="EH42" s="68">
        <f>COUNTIF(Builder!$K$14:$N$14,EG42)</f>
        <v>0</v>
      </c>
      <c r="EI42" s="68" t="str">
        <f>IF(EH42=1,Stats!$N57,"")</f>
        <v/>
      </c>
      <c r="EJ42" s="68" t="str">
        <f>IF(EH42=1,Stats!$O57,"")</f>
        <v/>
      </c>
      <c r="EK42" s="68" t="str">
        <f>IF(EH42=1,Stats!$P57,"")</f>
        <v/>
      </c>
      <c r="EL42" s="68" t="str">
        <f>IF(EH42=1,Stats!$Q57,"")</f>
        <v/>
      </c>
      <c r="EM42" s="68" t="str">
        <f>IF(EH42=1,Stats!$R57,"")</f>
        <v/>
      </c>
      <c r="EN42" s="68" t="str">
        <f>IF(EH42=1,Stats!$S57,"")</f>
        <v/>
      </c>
      <c r="EO42" s="68">
        <f t="shared" si="54"/>
        <v>0</v>
      </c>
      <c r="EP42">
        <f t="shared" si="55"/>
        <v>0</v>
      </c>
      <c r="EQ42" s="68">
        <f>IF(EP42=0,MAX(EQ$2:EQ41)+1,0)</f>
        <v>40</v>
      </c>
      <c r="ER42" s="5" t="str">
        <f t="shared" si="56"/>
        <v>Regenerate</v>
      </c>
      <c r="ES42" s="5" t="str">
        <f t="shared" si="57"/>
        <v>Regenerate</v>
      </c>
      <c r="EU42">
        <f t="shared" si="58"/>
        <v>40</v>
      </c>
      <c r="EV42" s="5" t="str">
        <f t="shared" si="59"/>
        <v>Regenerate</v>
      </c>
      <c r="EW42" s="68">
        <f>COUNTIF(Builder!$K$15:$N$15,EV42)</f>
        <v>0</v>
      </c>
      <c r="EX42" s="68" t="str">
        <f>IF(EW42=1,Stats!$N57,"")</f>
        <v/>
      </c>
      <c r="EY42" s="68" t="str">
        <f>IF(EW42=1,Stats!$O57,"")</f>
        <v/>
      </c>
      <c r="EZ42" s="68" t="str">
        <f>IF(EW42=1,Stats!$P57,"")</f>
        <v/>
      </c>
      <c r="FA42" s="68" t="str">
        <f>IF(EW42=1,Stats!$Q57,"")</f>
        <v/>
      </c>
      <c r="FB42" s="68" t="str">
        <f>IF(EW42=1,Stats!$R57,"")</f>
        <v/>
      </c>
      <c r="FC42" s="68" t="str">
        <f>IF(EW42=1,Stats!$S57,"")</f>
        <v/>
      </c>
      <c r="FD42" s="68">
        <f t="shared" si="60"/>
        <v>0</v>
      </c>
      <c r="FE42">
        <f t="shared" si="61"/>
        <v>0</v>
      </c>
      <c r="FF42" s="68">
        <f>IF(FE42=0,MAX(FF$2:FF41)+1,0)</f>
        <v>40</v>
      </c>
      <c r="FG42" s="5" t="str">
        <f t="shared" si="62"/>
        <v>Regenerate</v>
      </c>
      <c r="FH42" s="5" t="str">
        <f t="shared" si="63"/>
        <v>Regenerate</v>
      </c>
      <c r="FJ42">
        <f t="shared" si="64"/>
        <v>40</v>
      </c>
      <c r="FK42" s="5" t="str">
        <f t="shared" si="65"/>
        <v>Regenerate</v>
      </c>
      <c r="FL42" s="68">
        <f>COUNTIF(Builder!$K$16:$N$16,FK42)</f>
        <v>0</v>
      </c>
      <c r="FM42" s="68" t="str">
        <f>IF(FL42=1,Stats!$N57,"")</f>
        <v/>
      </c>
      <c r="FN42" s="68" t="str">
        <f>IF(FL42=1,Stats!$O57,"")</f>
        <v/>
      </c>
      <c r="FO42" s="68" t="str">
        <f>IF(FL42=1,Stats!$P57,"")</f>
        <v/>
      </c>
      <c r="FP42" s="68" t="str">
        <f>IF(FL42=1,Stats!$Q57,"")</f>
        <v/>
      </c>
      <c r="FQ42" s="68" t="str">
        <f>IF(FL42=1,Stats!$R57,"")</f>
        <v/>
      </c>
      <c r="FR42" s="68" t="str">
        <f>IF(FL42=1,Stats!$S57,"")</f>
        <v/>
      </c>
      <c r="FS42" s="68">
        <f t="shared" si="66"/>
        <v>0</v>
      </c>
      <c r="FT42">
        <f t="shared" si="67"/>
        <v>0</v>
      </c>
      <c r="FU42" s="68">
        <f>IF(FT42=0,MAX(FU$2:FU41)+1,0)</f>
        <v>40</v>
      </c>
      <c r="FV42" s="5" t="str">
        <f t="shared" si="68"/>
        <v>Regenerate</v>
      </c>
      <c r="FW42" s="5" t="str">
        <f t="shared" si="69"/>
        <v>Regenerate</v>
      </c>
      <c r="FY42">
        <f t="shared" si="168"/>
        <v>40</v>
      </c>
      <c r="FZ42" s="5" t="str">
        <f t="shared" si="169"/>
        <v>Regenerate</v>
      </c>
      <c r="GA42" s="68">
        <f>COUNTIF(Builder!$K$17:$N$17,FZ42)</f>
        <v>0</v>
      </c>
      <c r="GB42" s="68" t="str">
        <f>IF(GA42=1,Stats!$N57,"")</f>
        <v/>
      </c>
      <c r="GC42" s="68" t="str">
        <f>IF(GA42=1,Stats!$O57,"")</f>
        <v/>
      </c>
      <c r="GD42" s="68" t="str">
        <f>IF(GA42=1,Stats!$P57,"")</f>
        <v/>
      </c>
      <c r="GE42" s="68" t="str">
        <f>IF(GA42=1,Stats!$Q57,"")</f>
        <v/>
      </c>
      <c r="GF42" s="68" t="str">
        <f>IF(GA42=1,Stats!$R57,"")</f>
        <v/>
      </c>
      <c r="GG42" s="68" t="str">
        <f>IF(GA42=1,Stats!$S57,"")</f>
        <v/>
      </c>
      <c r="GH42" s="68">
        <f t="shared" si="170"/>
        <v>0</v>
      </c>
      <c r="GI42">
        <f t="shared" si="171"/>
        <v>0</v>
      </c>
      <c r="GJ42" s="68">
        <f>IF(GI42=0,MAX(GJ$2:GJ41)+1,0)</f>
        <v>40</v>
      </c>
      <c r="GK42" s="5" t="str">
        <f t="shared" si="172"/>
        <v>Regenerate</v>
      </c>
      <c r="GL42" s="5" t="str">
        <f t="shared" si="75"/>
        <v>Regenerate</v>
      </c>
      <c r="GN42">
        <f t="shared" si="76"/>
        <v>40</v>
      </c>
      <c r="GO42" s="5" t="str">
        <f t="shared" si="77"/>
        <v>Regenerate</v>
      </c>
      <c r="GP42" s="68">
        <f>COUNTIF(Builder!$K$18:$N$18,GO42)</f>
        <v>0</v>
      </c>
      <c r="GQ42" s="68" t="str">
        <f>IF(GP42=1,Stats!$N57,"")</f>
        <v/>
      </c>
      <c r="GR42" s="68" t="str">
        <f>IF(GP42=1,Stats!$O57,"")</f>
        <v/>
      </c>
      <c r="GS42" s="68" t="str">
        <f>IF(GP42=1,Stats!$P57,"")</f>
        <v/>
      </c>
      <c r="GT42" s="68" t="str">
        <f>IF(GP42=1,Stats!$Q57,"")</f>
        <v/>
      </c>
      <c r="GU42" s="68" t="str">
        <f>IF(GP42=1,Stats!$R57,"")</f>
        <v/>
      </c>
      <c r="GV42" s="68" t="str">
        <f>IF(GP42=1,Stats!$S57,"")</f>
        <v/>
      </c>
      <c r="GW42" s="68">
        <f t="shared" si="78"/>
        <v>0</v>
      </c>
      <c r="GX42">
        <f t="shared" si="79"/>
        <v>0</v>
      </c>
      <c r="GY42" s="68">
        <f>IF(GX42=0,MAX(GY$2:GY41)+1,0)</f>
        <v>40</v>
      </c>
      <c r="GZ42" s="5" t="str">
        <f t="shared" si="80"/>
        <v>Regenerate</v>
      </c>
      <c r="HA42" s="5" t="str">
        <f t="shared" si="81"/>
        <v>Regenerate</v>
      </c>
      <c r="HC42">
        <f t="shared" si="82"/>
        <v>40</v>
      </c>
      <c r="HD42" s="5" t="str">
        <f t="shared" si="83"/>
        <v>Regenerate</v>
      </c>
      <c r="HE42" s="68">
        <f>COUNTIF(Builder!$K$19:$N$19,HD42)</f>
        <v>0</v>
      </c>
      <c r="HF42" s="68" t="str">
        <f>IF(HE42=1,Stats!$N57,"")</f>
        <v/>
      </c>
      <c r="HG42" s="68" t="str">
        <f>IF(HE42=1,Stats!$O57,"")</f>
        <v/>
      </c>
      <c r="HH42" s="68" t="str">
        <f>IF(HE42=1,Stats!$P57,"")</f>
        <v/>
      </c>
      <c r="HI42" s="68" t="str">
        <f>IF(HE42=1,Stats!$Q57,"")</f>
        <v/>
      </c>
      <c r="HJ42" s="68" t="str">
        <f>IF(HE42=1,Stats!$R57,"")</f>
        <v/>
      </c>
      <c r="HK42" s="68" t="str">
        <f>IF(HE42=1,Stats!$S57,"")</f>
        <v/>
      </c>
      <c r="HL42" s="68">
        <f t="shared" si="84"/>
        <v>0</v>
      </c>
      <c r="HM42">
        <f t="shared" si="85"/>
        <v>0</v>
      </c>
      <c r="HN42" s="68">
        <f>IF(HM42=0,MAX(HN$2:HN41)+1,0)</f>
        <v>40</v>
      </c>
      <c r="HO42" s="5" t="str">
        <f t="shared" si="86"/>
        <v>Regenerate</v>
      </c>
      <c r="HP42" s="5" t="str">
        <f t="shared" si="87"/>
        <v>Regenerate</v>
      </c>
      <c r="HR42">
        <f t="shared" si="88"/>
        <v>40</v>
      </c>
      <c r="HS42" s="5" t="str">
        <f t="shared" si="89"/>
        <v>Regenerate</v>
      </c>
      <c r="HT42" s="68">
        <f>COUNTIF(Builder!$K$20:$N$20,HS42)</f>
        <v>0</v>
      </c>
      <c r="HU42" s="68" t="str">
        <f>IF(HT42=1,Stats!$N57,"")</f>
        <v/>
      </c>
      <c r="HV42" s="68" t="str">
        <f>IF(HT42=1,Stats!$O57,"")</f>
        <v/>
      </c>
      <c r="HW42" s="68" t="str">
        <f>IF(HT42=1,Stats!$P57,"")</f>
        <v/>
      </c>
      <c r="HX42" s="68" t="str">
        <f>IF(HT42=1,Stats!$Q57,"")</f>
        <v/>
      </c>
      <c r="HY42" s="68" t="str">
        <f>IF(HT42=1,Stats!$R57,"")</f>
        <v/>
      </c>
      <c r="HZ42" s="68" t="str">
        <f>IF(HT42=1,Stats!$S57,"")</f>
        <v/>
      </c>
      <c r="IA42" s="68">
        <f t="shared" si="90"/>
        <v>0</v>
      </c>
      <c r="IB42">
        <f t="shared" si="91"/>
        <v>0</v>
      </c>
      <c r="IC42" s="68">
        <f>IF(IB42=0,MAX(IC$2:IC41)+1,0)</f>
        <v>40</v>
      </c>
      <c r="ID42" s="5" t="str">
        <f t="shared" si="92"/>
        <v>Regenerate</v>
      </c>
      <c r="IE42" s="5" t="str">
        <f t="shared" si="93"/>
        <v>Regenerate</v>
      </c>
      <c r="IG42">
        <f t="shared" si="94"/>
        <v>40</v>
      </c>
      <c r="IH42" s="5" t="str">
        <f t="shared" si="95"/>
        <v>Regenerate</v>
      </c>
      <c r="II42" s="68">
        <f>COUNTIF(Builder!$K$21:$N$21,IH42)</f>
        <v>0</v>
      </c>
      <c r="IJ42" s="68" t="str">
        <f>IF(II42=1,Stats!$N57,"")</f>
        <v/>
      </c>
      <c r="IK42" s="68" t="str">
        <f>IF(II42=1,Stats!$O57,"")</f>
        <v/>
      </c>
      <c r="IL42" s="68" t="str">
        <f>IF(II42=1,Stats!$P57,"")</f>
        <v/>
      </c>
      <c r="IM42" s="68" t="str">
        <f>IF(II42=1,Stats!$Q57,"")</f>
        <v/>
      </c>
      <c r="IN42" s="68" t="str">
        <f>IF(II42=1,Stats!$R57,"")</f>
        <v/>
      </c>
      <c r="IO42" s="68" t="str">
        <f>IF(II42=1,Stats!$S57,"")</f>
        <v/>
      </c>
      <c r="IP42" s="68">
        <f t="shared" si="96"/>
        <v>0</v>
      </c>
      <c r="IQ42">
        <f t="shared" si="97"/>
        <v>0</v>
      </c>
      <c r="IR42" s="68">
        <f>IF(IQ42=0,MAX(IR$2:IR41)+1,0)</f>
        <v>40</v>
      </c>
      <c r="IS42" s="5" t="str">
        <f t="shared" si="98"/>
        <v>Regenerate</v>
      </c>
      <c r="IT42" s="5" t="str">
        <f t="shared" si="99"/>
        <v>Regenerate</v>
      </c>
      <c r="IV42">
        <f t="shared" si="100"/>
        <v>40</v>
      </c>
      <c r="IW42" s="5" t="str">
        <f t="shared" si="101"/>
        <v>Regenerate</v>
      </c>
      <c r="IX42" s="68">
        <f>COUNTIF(Builder!$K$22:$N$22,IW42)</f>
        <v>0</v>
      </c>
      <c r="IY42" s="68" t="str">
        <f>IF(IX42=1,Stats!$N57,"")</f>
        <v/>
      </c>
      <c r="IZ42" s="68" t="str">
        <f>IF(IX42=1,Stats!$O57,"")</f>
        <v/>
      </c>
      <c r="JA42" s="68" t="str">
        <f>IF(IX42=1,Stats!$P57,"")</f>
        <v/>
      </c>
      <c r="JB42" s="68" t="str">
        <f>IF(IX42=1,Stats!$Q57,"")</f>
        <v/>
      </c>
      <c r="JC42" s="68" t="str">
        <f>IF(IX42=1,Stats!$R57,"")</f>
        <v/>
      </c>
      <c r="JD42" s="68" t="str">
        <f>IF(IX42=1,Stats!$S57,"")</f>
        <v/>
      </c>
      <c r="JE42" s="68">
        <f t="shared" si="102"/>
        <v>0</v>
      </c>
      <c r="JF42">
        <f t="shared" si="103"/>
        <v>0</v>
      </c>
      <c r="JG42" s="68">
        <f>IF(JF42=0,MAX(JG$2:JG41)+1,0)</f>
        <v>40</v>
      </c>
      <c r="JH42" s="5" t="str">
        <f t="shared" si="104"/>
        <v>Regenerate</v>
      </c>
      <c r="JI42" s="5" t="str">
        <f t="shared" si="105"/>
        <v>Regenerate</v>
      </c>
      <c r="JK42">
        <f t="shared" si="106"/>
        <v>40</v>
      </c>
      <c r="JL42" s="5" t="str">
        <f t="shared" si="107"/>
        <v>Regenerate</v>
      </c>
      <c r="JM42" s="68">
        <f>COUNTIF(Builder!$K$23:$N$23,JL42)</f>
        <v>0</v>
      </c>
      <c r="JN42" s="68" t="str">
        <f>IF(JM42=1,Stats!$N57,"")</f>
        <v/>
      </c>
      <c r="JO42" s="68" t="str">
        <f>IF(JM42=1,Stats!$O57,"")</f>
        <v/>
      </c>
      <c r="JP42" s="68" t="str">
        <f>IF(JM42=1,Stats!$P57,"")</f>
        <v/>
      </c>
      <c r="JQ42" s="68" t="str">
        <f>IF(JM42=1,Stats!$Q57,"")</f>
        <v/>
      </c>
      <c r="JR42" s="68" t="str">
        <f>IF(JM42=1,Stats!$R57,"")</f>
        <v/>
      </c>
      <c r="JS42" s="68" t="str">
        <f>IF(JM42=1,Stats!$S57,"")</f>
        <v/>
      </c>
      <c r="JT42" s="68">
        <f t="shared" si="108"/>
        <v>0</v>
      </c>
      <c r="JU42">
        <f t="shared" si="109"/>
        <v>0</v>
      </c>
      <c r="JV42" s="68">
        <f>IF(JU42=0,MAX(JV$2:JV41)+1,0)</f>
        <v>40</v>
      </c>
      <c r="JW42" s="5" t="str">
        <f t="shared" si="110"/>
        <v>Regenerate</v>
      </c>
      <c r="JX42" s="5" t="str">
        <f t="shared" si="111"/>
        <v>Regenerate</v>
      </c>
      <c r="JZ42">
        <f t="shared" si="112"/>
        <v>40</v>
      </c>
      <c r="KA42" s="5" t="str">
        <f t="shared" si="113"/>
        <v>Regenerate</v>
      </c>
      <c r="KB42" s="68">
        <f>COUNTIF(Builder!$K$24:$N$24,KA42)</f>
        <v>0</v>
      </c>
      <c r="KC42" s="68" t="str">
        <f>IF(KB42=1,Stats!$N57,"")</f>
        <v/>
      </c>
      <c r="KD42" s="68" t="str">
        <f>IF(KB42=1,Stats!$O57,"")</f>
        <v/>
      </c>
      <c r="KE42" s="68" t="str">
        <f>IF(KB42=1,Stats!$P57,"")</f>
        <v/>
      </c>
      <c r="KF42" s="68" t="str">
        <f>IF(KB42=1,Stats!$Q57,"")</f>
        <v/>
      </c>
      <c r="KG42" s="68" t="str">
        <f>IF(KB42=1,Stats!$R57,"")</f>
        <v/>
      </c>
      <c r="KH42" s="68" t="str">
        <f>IF(KB42=1,Stats!$S57,"")</f>
        <v/>
      </c>
      <c r="KI42" s="68">
        <f t="shared" si="114"/>
        <v>0</v>
      </c>
      <c r="KJ42">
        <f t="shared" si="115"/>
        <v>0</v>
      </c>
      <c r="KK42" s="68">
        <f>IF(KJ42=0,MAX(KK$2:KK41)+1,0)</f>
        <v>40</v>
      </c>
      <c r="KL42" s="5" t="str">
        <f t="shared" si="116"/>
        <v>Regenerate</v>
      </c>
      <c r="KM42" s="5" t="str">
        <f t="shared" si="117"/>
        <v>Regenerate</v>
      </c>
      <c r="KO42">
        <f t="shared" si="118"/>
        <v>40</v>
      </c>
      <c r="KP42" s="5" t="str">
        <f t="shared" si="119"/>
        <v>Regenerate</v>
      </c>
      <c r="KQ42" s="68">
        <f>COUNTIF(Builder!$K$25:$N$25,KP42)</f>
        <v>0</v>
      </c>
      <c r="KR42" s="68" t="str">
        <f>IF(KQ42=1,Stats!$N57,"")</f>
        <v/>
      </c>
      <c r="KS42" s="68" t="str">
        <f>IF(KQ42=1,Stats!$O57,"")</f>
        <v/>
      </c>
      <c r="KT42" s="68" t="str">
        <f>IF(KQ42=1,Stats!$P57,"")</f>
        <v/>
      </c>
      <c r="KU42" s="68" t="str">
        <f>IF(KQ42=1,Stats!$Q57,"")</f>
        <v/>
      </c>
      <c r="KV42" s="68" t="str">
        <f>IF(KQ42=1,Stats!$R57,"")</f>
        <v/>
      </c>
      <c r="KW42" s="68" t="str">
        <f>IF(KQ42=1,Stats!$S57,"")</f>
        <v/>
      </c>
      <c r="KX42" s="68">
        <f t="shared" si="120"/>
        <v>0</v>
      </c>
      <c r="KY42">
        <f t="shared" si="121"/>
        <v>0</v>
      </c>
      <c r="KZ42" s="68">
        <f>IF(KY42=0,MAX(KZ$2:KZ41)+1,0)</f>
        <v>40</v>
      </c>
      <c r="LA42" s="5" t="str">
        <f t="shared" si="122"/>
        <v>Regenerate</v>
      </c>
      <c r="LB42" s="5" t="str">
        <f t="shared" si="123"/>
        <v>Regenerate</v>
      </c>
      <c r="LD42">
        <f t="shared" si="124"/>
        <v>40</v>
      </c>
      <c r="LE42" s="5" t="str">
        <f t="shared" si="125"/>
        <v>Regenerate</v>
      </c>
      <c r="LF42" s="68">
        <f>COUNTIF(Builder!$K$26:$N$26,LE42)</f>
        <v>0</v>
      </c>
      <c r="LG42" s="68" t="str">
        <f>IF(LF42=1,Stats!$N57,"")</f>
        <v/>
      </c>
      <c r="LH42" s="68" t="str">
        <f>IF(LF42=1,Stats!$O57,"")</f>
        <v/>
      </c>
      <c r="LI42" s="68" t="str">
        <f>IF(LF42=1,Stats!$P57,"")</f>
        <v/>
      </c>
      <c r="LJ42" s="68" t="str">
        <f>IF(LF42=1,Stats!$Q57,"")</f>
        <v/>
      </c>
      <c r="LK42" s="68" t="str">
        <f>IF(LF42=1,Stats!$R57,"")</f>
        <v/>
      </c>
      <c r="LL42" s="68" t="str">
        <f>IF(LF42=1,Stats!$S57,"")</f>
        <v/>
      </c>
      <c r="LM42" s="68">
        <f t="shared" si="126"/>
        <v>0</v>
      </c>
      <c r="LN42">
        <f t="shared" si="127"/>
        <v>0</v>
      </c>
      <c r="LO42" s="68">
        <f>IF(LN42=0,MAX(LO$2:LO41)+1,0)</f>
        <v>40</v>
      </c>
      <c r="LP42" s="5" t="str">
        <f t="shared" si="128"/>
        <v>Regenerate</v>
      </c>
      <c r="LQ42" s="5" t="str">
        <f t="shared" si="129"/>
        <v>Regenerate</v>
      </c>
      <c r="LS42">
        <f t="shared" si="130"/>
        <v>40</v>
      </c>
      <c r="LT42" s="5" t="str">
        <f t="shared" si="131"/>
        <v>Regenerate</v>
      </c>
      <c r="LU42" s="68">
        <f>COUNTIF(Builder!$K$27:$N$27,LT42)</f>
        <v>0</v>
      </c>
      <c r="LV42" s="68" t="str">
        <f>IF(LU42=1,Stats!$N57,"")</f>
        <v/>
      </c>
      <c r="LW42" s="68" t="str">
        <f>IF(LU42=1,Stats!$O57,"")</f>
        <v/>
      </c>
      <c r="LX42" s="68" t="str">
        <f>IF(LU42=1,Stats!$P57,"")</f>
        <v/>
      </c>
      <c r="LY42" s="68" t="str">
        <f>IF(LU42=1,Stats!$Q57,"")</f>
        <v/>
      </c>
      <c r="LZ42" s="68" t="str">
        <f>IF(LU42=1,Stats!$R57,"")</f>
        <v/>
      </c>
      <c r="MA42" s="68" t="str">
        <f>IF(LU42=1,Stats!$S57,"")</f>
        <v/>
      </c>
      <c r="MB42" s="68">
        <f t="shared" si="132"/>
        <v>0</v>
      </c>
      <c r="MC42">
        <f t="shared" si="133"/>
        <v>0</v>
      </c>
      <c r="MD42" s="68">
        <f>IF(MC42=0,MAX(MD$2:MD41)+1,0)</f>
        <v>40</v>
      </c>
      <c r="ME42" s="5" t="str">
        <f t="shared" si="134"/>
        <v>Regenerate</v>
      </c>
      <c r="MF42" s="5" t="str">
        <f t="shared" si="135"/>
        <v>Regenerate</v>
      </c>
      <c r="MH42">
        <f t="shared" si="136"/>
        <v>40</v>
      </c>
      <c r="MI42" s="5" t="str">
        <f t="shared" si="137"/>
        <v>Regenerate</v>
      </c>
      <c r="MJ42" s="68">
        <f>COUNTIF(Builder!$K$28:$N$28,MI42)</f>
        <v>0</v>
      </c>
      <c r="MK42" s="68" t="str">
        <f>IF(MJ42=1,Stats!$N57,"")</f>
        <v/>
      </c>
      <c r="ML42" s="68" t="str">
        <f>IF(MJ42=1,Stats!$O57,"")</f>
        <v/>
      </c>
      <c r="MM42" s="68" t="str">
        <f>IF(MJ42=1,Stats!$P57,"")</f>
        <v/>
      </c>
      <c r="MN42" s="68" t="str">
        <f>IF(MJ42=1,Stats!$Q57,"")</f>
        <v/>
      </c>
      <c r="MO42" s="68" t="str">
        <f>IF(MJ42=1,Stats!$R57,"")</f>
        <v/>
      </c>
      <c r="MP42" s="68" t="str">
        <f>IF(MJ42=1,Stats!$S57,"")</f>
        <v/>
      </c>
      <c r="MQ42" s="68">
        <f t="shared" si="138"/>
        <v>0</v>
      </c>
      <c r="MR42">
        <f t="shared" si="139"/>
        <v>0</v>
      </c>
      <c r="MS42" s="68">
        <f>IF(MR42=0,MAX(MS$2:MS41)+1,0)</f>
        <v>40</v>
      </c>
      <c r="MT42" s="5" t="str">
        <f t="shared" si="140"/>
        <v>Regenerate</v>
      </c>
      <c r="MU42" s="5" t="str">
        <f t="shared" si="141"/>
        <v>Regenerate</v>
      </c>
      <c r="MW42">
        <f t="shared" si="142"/>
        <v>40</v>
      </c>
      <c r="MX42" s="5" t="str">
        <f t="shared" si="143"/>
        <v>Regenerate</v>
      </c>
      <c r="MY42" s="68">
        <f>COUNTIF(Builder!$K$29:$N$29,MX42)</f>
        <v>0</v>
      </c>
      <c r="MZ42" s="68" t="str">
        <f>IF(MY42=1,Stats!$N57,"")</f>
        <v/>
      </c>
      <c r="NA42" s="68" t="str">
        <f>IF(MY42=1,Stats!$O57,"")</f>
        <v/>
      </c>
      <c r="NB42" s="68" t="str">
        <f>IF(MY42=1,Stats!$P57,"")</f>
        <v/>
      </c>
      <c r="NC42" s="68" t="str">
        <f>IF(MY42=1,Stats!$Q57,"")</f>
        <v/>
      </c>
      <c r="ND42" s="68" t="str">
        <f>IF(MY42=1,Stats!$R57,"")</f>
        <v/>
      </c>
      <c r="NE42" s="68" t="str">
        <f>IF(MY42=1,Stats!$S57,"")</f>
        <v/>
      </c>
      <c r="NF42" s="68">
        <f t="shared" si="144"/>
        <v>0</v>
      </c>
      <c r="NG42">
        <f t="shared" si="145"/>
        <v>0</v>
      </c>
      <c r="NH42" s="68">
        <f>IF(NG42=0,MAX(NH$2:NH41)+1,0)</f>
        <v>40</v>
      </c>
      <c r="NI42" s="5" t="str">
        <f t="shared" si="146"/>
        <v>Regenerate</v>
      </c>
      <c r="NJ42" s="5" t="str">
        <f t="shared" si="147"/>
        <v>Regenerate</v>
      </c>
    </row>
    <row r="43" spans="1:374" ht="15" x14ac:dyDescent="0.3">
      <c r="A43">
        <v>41</v>
      </c>
      <c r="B43" s="5" t="s">
        <v>43</v>
      </c>
      <c r="C43" s="68">
        <f>COUNTIF(Builder!$K$5:$N$5,B43)</f>
        <v>0</v>
      </c>
      <c r="D43" s="68" t="str">
        <f>IF(C43=1,Stats!$N58,"")</f>
        <v/>
      </c>
      <c r="E43" s="68" t="str">
        <f>IF(C43=1,Stats!$O58,"")</f>
        <v/>
      </c>
      <c r="F43" s="68" t="str">
        <f>IF(C43=1,Stats!$P58,"")</f>
        <v/>
      </c>
      <c r="G43" s="68" t="str">
        <f>IF(C43=1,Stats!$Q58,"")</f>
        <v/>
      </c>
      <c r="H43" s="68" t="str">
        <f>IF(C43=1,Stats!$R58,"")</f>
        <v/>
      </c>
      <c r="I43" s="68" t="str">
        <f>IF(C43=1,Stats!$S58,"")</f>
        <v/>
      </c>
      <c r="J43" s="68">
        <f t="shared" si="0"/>
        <v>0</v>
      </c>
      <c r="K43">
        <f t="shared" si="1"/>
        <v>0</v>
      </c>
      <c r="L43" s="68">
        <f>IF(K43=0,MAX($L$2:L42)+1,0)</f>
        <v>41</v>
      </c>
      <c r="M43" s="5" t="str">
        <f t="shared" si="2"/>
        <v>Reliable</v>
      </c>
      <c r="N43" s="5" t="str">
        <f t="shared" si="3"/>
        <v>Reliable</v>
      </c>
      <c r="O43" s="5"/>
      <c r="P43">
        <f t="shared" si="4"/>
        <v>41</v>
      </c>
      <c r="Q43" s="5" t="str">
        <f t="shared" si="5"/>
        <v>Reliable</v>
      </c>
      <c r="R43" s="68">
        <f>COUNTIF(Builder!$K$6:$N$6,Q43)</f>
        <v>0</v>
      </c>
      <c r="S43" s="68" t="str">
        <f>IF(R43=1,Stats!$N58,"")</f>
        <v/>
      </c>
      <c r="T43" s="68" t="str">
        <f>IF(R43=1,Stats!$O58,"")</f>
        <v/>
      </c>
      <c r="U43" s="68" t="str">
        <f>IF(R43=1,Stats!$P58,"")</f>
        <v/>
      </c>
      <c r="V43" s="68" t="str">
        <f>IF(R43=1,Stats!$Q58,"")</f>
        <v/>
      </c>
      <c r="W43" s="68" t="str">
        <f>IF(R43=1,Stats!$R58,"")</f>
        <v/>
      </c>
      <c r="X43" s="68" t="str">
        <f>IF(R43=1,Stats!$S58,"")</f>
        <v/>
      </c>
      <c r="Y43" s="68">
        <f t="shared" si="6"/>
        <v>0</v>
      </c>
      <c r="Z43">
        <f t="shared" si="7"/>
        <v>0</v>
      </c>
      <c r="AA43" s="68">
        <f>IF(Z43=0,MAX($AA$2:AA42)+1,0)</f>
        <v>41</v>
      </c>
      <c r="AB43" s="5" t="str">
        <f t="shared" si="8"/>
        <v>Reliable</v>
      </c>
      <c r="AC43" s="5" t="str">
        <f t="shared" si="9"/>
        <v>Reliable</v>
      </c>
      <c r="AD43" s="5"/>
      <c r="AE43">
        <f t="shared" si="10"/>
        <v>41</v>
      </c>
      <c r="AF43" s="5" t="str">
        <f t="shared" si="11"/>
        <v>Reliable</v>
      </c>
      <c r="AG43" s="68">
        <f>COUNTIF(Builder!$K$7:$N$7,AF43)</f>
        <v>0</v>
      </c>
      <c r="AH43" s="68" t="str">
        <f>IF(AG43=1,Stats!$N58,"")</f>
        <v/>
      </c>
      <c r="AI43" s="68" t="str">
        <f>IF(AG43=1,Stats!$O58,"")</f>
        <v/>
      </c>
      <c r="AJ43" s="68" t="str">
        <f>IF(AG43=1,Stats!$P58,"")</f>
        <v/>
      </c>
      <c r="AK43" s="68" t="str">
        <f>IF(AG43=1,Stats!$Q58,"")</f>
        <v/>
      </c>
      <c r="AL43" s="68" t="str">
        <f>IF(AG43=1,Stats!$R58,"")</f>
        <v/>
      </c>
      <c r="AM43" s="68" t="str">
        <f>IF(AG43=1,Stats!$S58,"")</f>
        <v/>
      </c>
      <c r="AN43" s="68">
        <f t="shared" si="12"/>
        <v>0</v>
      </c>
      <c r="AO43">
        <f t="shared" si="13"/>
        <v>0</v>
      </c>
      <c r="AP43" s="68">
        <f>IF(AO43=0,MAX($AP$2:AP42)+1,0)</f>
        <v>41</v>
      </c>
      <c r="AQ43" s="5" t="str">
        <f t="shared" si="14"/>
        <v>Reliable</v>
      </c>
      <c r="AR43" s="5" t="str">
        <f t="shared" si="15"/>
        <v>Reliable</v>
      </c>
      <c r="AS43" s="5"/>
      <c r="AT43">
        <f t="shared" si="16"/>
        <v>41</v>
      </c>
      <c r="AU43" s="5" t="str">
        <f t="shared" si="17"/>
        <v>Reliable</v>
      </c>
      <c r="AV43" s="68">
        <f>COUNTIF(Builder!$K$8:$N$8,AU43)</f>
        <v>0</v>
      </c>
      <c r="AW43" s="68" t="str">
        <f>IF(AV43=1,Stats!$N58,"")</f>
        <v/>
      </c>
      <c r="AX43" s="68" t="str">
        <f>IF(AV43=1,Stats!$O58,"")</f>
        <v/>
      </c>
      <c r="AY43" s="68" t="str">
        <f>IF(AV43=1,Stats!$P58,"")</f>
        <v/>
      </c>
      <c r="AZ43" s="68" t="str">
        <f>IF(AV43=1,Stats!$Q58,"")</f>
        <v/>
      </c>
      <c r="BA43" s="68" t="str">
        <f>IF(AV43=1,Stats!$R58,"")</f>
        <v/>
      </c>
      <c r="BB43" s="68" t="str">
        <f>IF(AV43=1,Stats!$S58,"")</f>
        <v/>
      </c>
      <c r="BC43" s="68">
        <f t="shared" si="18"/>
        <v>0</v>
      </c>
      <c r="BD43">
        <f t="shared" si="19"/>
        <v>0</v>
      </c>
      <c r="BE43" s="68">
        <f>IF(BD43=0,MAX($BE$2:BE42)+1,0)</f>
        <v>41</v>
      </c>
      <c r="BF43" s="5" t="str">
        <f t="shared" si="20"/>
        <v>Reliable</v>
      </c>
      <c r="BG43" s="5" t="str">
        <f t="shared" si="21"/>
        <v>Reliable</v>
      </c>
      <c r="BH43" s="5"/>
      <c r="BI43">
        <f t="shared" si="148"/>
        <v>41</v>
      </c>
      <c r="BJ43" s="5" t="str">
        <f t="shared" si="149"/>
        <v>Reliable</v>
      </c>
      <c r="BK43" s="68">
        <f>COUNTIF(Builder!$K$9:$N$9,BJ43)</f>
        <v>0</v>
      </c>
      <c r="BL43" s="68" t="str">
        <f>IF(BK43=1,Stats!$N58,"")</f>
        <v/>
      </c>
      <c r="BM43" s="68" t="str">
        <f>IF(BK43=1,Stats!$O58,"")</f>
        <v/>
      </c>
      <c r="BN43" s="68" t="str">
        <f>IF(BK43=1,Stats!$P58,"")</f>
        <v/>
      </c>
      <c r="BO43" s="68" t="str">
        <f>IF(BK43=1,Stats!$Q58,"")</f>
        <v/>
      </c>
      <c r="BP43" s="68" t="str">
        <f>IF(BK43=1,Stats!$R58,"")</f>
        <v/>
      </c>
      <c r="BQ43" s="68" t="str">
        <f>IF(BK43=1,Stats!$S58,"")</f>
        <v/>
      </c>
      <c r="BR43" s="68">
        <f t="shared" si="150"/>
        <v>0</v>
      </c>
      <c r="BS43">
        <f t="shared" si="151"/>
        <v>0</v>
      </c>
      <c r="BT43" s="68">
        <f>IF(BS43=0,MAX(BT$2:BT42)+1,0)</f>
        <v>41</v>
      </c>
      <c r="BU43" s="5" t="str">
        <f t="shared" si="152"/>
        <v>Reliable</v>
      </c>
      <c r="BV43" s="5" t="str">
        <f t="shared" si="27"/>
        <v>Reliable</v>
      </c>
      <c r="BX43">
        <f t="shared" si="153"/>
        <v>41</v>
      </c>
      <c r="BY43" s="5" t="str">
        <f t="shared" si="154"/>
        <v>Reliable</v>
      </c>
      <c r="BZ43" s="68">
        <f>COUNTIF(Builder!$K$10:$N$10,BY43)</f>
        <v>0</v>
      </c>
      <c r="CA43" s="68" t="str">
        <f>IF(BZ43=1,Stats!$N58,"")</f>
        <v/>
      </c>
      <c r="CB43" s="68" t="str">
        <f>IF(BZ43=1,Stats!$O58,"")</f>
        <v/>
      </c>
      <c r="CC43" s="68" t="str">
        <f>IF(BZ43=1,Stats!$P58,"")</f>
        <v/>
      </c>
      <c r="CD43" s="68" t="str">
        <f>IF(BZ43=1,Stats!$Q58,"")</f>
        <v/>
      </c>
      <c r="CE43" s="68" t="str">
        <f>IF(BZ43=1,Stats!$R58,"")</f>
        <v/>
      </c>
      <c r="CF43" s="68" t="str">
        <f>IF(BZ43=1,Stats!$S58,"")</f>
        <v/>
      </c>
      <c r="CG43" s="68">
        <f t="shared" si="155"/>
        <v>0</v>
      </c>
      <c r="CH43">
        <f t="shared" si="156"/>
        <v>0</v>
      </c>
      <c r="CI43" s="68">
        <f>IF(CH43=0,MAX(CI$2:CI42)+1,0)</f>
        <v>41</v>
      </c>
      <c r="CJ43" s="5" t="str">
        <f t="shared" si="157"/>
        <v>Reliable</v>
      </c>
      <c r="CK43" s="5" t="str">
        <f t="shared" si="33"/>
        <v>Reliable</v>
      </c>
      <c r="CM43">
        <f t="shared" si="34"/>
        <v>41</v>
      </c>
      <c r="CN43" s="5" t="str">
        <f t="shared" si="35"/>
        <v>Reliable</v>
      </c>
      <c r="CO43" s="68">
        <f>COUNTIF(Builder!$K$11:$N$11,CN43)</f>
        <v>0</v>
      </c>
      <c r="CP43" s="68" t="str">
        <f>IF(CO43=1,Stats!$N58,"")</f>
        <v/>
      </c>
      <c r="CQ43" s="68" t="str">
        <f>IF(CO43=1,Stats!$O58,"")</f>
        <v/>
      </c>
      <c r="CR43" s="68" t="str">
        <f>IF(CO43=1,Stats!$P58,"")</f>
        <v/>
      </c>
      <c r="CS43" s="68" t="str">
        <f>IF(CO43=1,Stats!$Q58,"")</f>
        <v/>
      </c>
      <c r="CT43" s="68" t="str">
        <f>IF(CO43=1,Stats!$R58,"")</f>
        <v/>
      </c>
      <c r="CU43" s="68" t="str">
        <f>IF(CO43=1,Stats!$S58,"")</f>
        <v/>
      </c>
      <c r="CV43" s="68">
        <f t="shared" si="36"/>
        <v>0</v>
      </c>
      <c r="CW43">
        <f t="shared" si="37"/>
        <v>0</v>
      </c>
      <c r="CX43" s="68">
        <f>IF(CW43=0,MAX(CX$2:CX42)+1,0)</f>
        <v>41</v>
      </c>
      <c r="CY43" s="5" t="str">
        <f t="shared" si="38"/>
        <v>Reliable</v>
      </c>
      <c r="CZ43" s="5" t="str">
        <f t="shared" si="39"/>
        <v>Reliable</v>
      </c>
      <c r="DB43">
        <f t="shared" si="158"/>
        <v>41</v>
      </c>
      <c r="DC43" s="5" t="str">
        <f t="shared" si="159"/>
        <v>Reliable</v>
      </c>
      <c r="DD43" s="68">
        <f>COUNTIF(Builder!$K$12:$N$12,DC43)</f>
        <v>0</v>
      </c>
      <c r="DE43" s="68" t="str">
        <f>IF(DD43=1,Stats!$N58,"")</f>
        <v/>
      </c>
      <c r="DF43" s="68" t="str">
        <f>IF(DD43=1,Stats!$O58,"")</f>
        <v/>
      </c>
      <c r="DG43" s="68" t="str">
        <f>IF(DD43=1,Stats!$P58,"")</f>
        <v/>
      </c>
      <c r="DH43" s="68" t="str">
        <f>IF(DD43=1,Stats!$Q58,"")</f>
        <v/>
      </c>
      <c r="DI43" s="68" t="str">
        <f>IF(DD43=1,Stats!$R58,"")</f>
        <v/>
      </c>
      <c r="DJ43" s="68" t="str">
        <f>IF(DD43=1,Stats!$S58,"")</f>
        <v/>
      </c>
      <c r="DK43" s="68">
        <f t="shared" si="160"/>
        <v>0</v>
      </c>
      <c r="DL43">
        <f t="shared" si="161"/>
        <v>0</v>
      </c>
      <c r="DM43" s="68">
        <f>IF(DL43=0,MAX(DM$2:DM42)+1,0)</f>
        <v>41</v>
      </c>
      <c r="DN43" s="5" t="str">
        <f t="shared" si="162"/>
        <v>Reliable</v>
      </c>
      <c r="DO43" s="5" t="str">
        <f t="shared" si="45"/>
        <v>Reliable</v>
      </c>
      <c r="DQ43">
        <f t="shared" si="163"/>
        <v>41</v>
      </c>
      <c r="DR43" s="5" t="str">
        <f t="shared" si="164"/>
        <v>Reliable</v>
      </c>
      <c r="DS43" s="68">
        <f>COUNTIF(Builder!$K$13:$N$13,DR43)</f>
        <v>0</v>
      </c>
      <c r="DT43" s="68" t="str">
        <f>IF(DS43=1,Stats!$N58,"")</f>
        <v/>
      </c>
      <c r="DU43" s="68" t="str">
        <f>IF(DS43=1,Stats!$O58,"")</f>
        <v/>
      </c>
      <c r="DV43" s="68" t="str">
        <f>IF(DS43=1,Stats!$P58,"")</f>
        <v/>
      </c>
      <c r="DW43" s="68" t="str">
        <f>IF(DS43=1,Stats!$Q58,"")</f>
        <v/>
      </c>
      <c r="DX43" s="68" t="str">
        <f>IF(DS43=1,Stats!$R58,"")</f>
        <v/>
      </c>
      <c r="DY43" s="68" t="str">
        <f>IF(DS43=1,Stats!$S58,"")</f>
        <v/>
      </c>
      <c r="DZ43" s="68">
        <f t="shared" si="165"/>
        <v>0</v>
      </c>
      <c r="EA43">
        <f t="shared" si="166"/>
        <v>0</v>
      </c>
      <c r="EB43" s="68">
        <f>IF(EA43=0,MAX(EB$2:EB42)+1,0)</f>
        <v>41</v>
      </c>
      <c r="EC43" s="5" t="str">
        <f t="shared" si="167"/>
        <v>Reliable</v>
      </c>
      <c r="ED43" s="5" t="str">
        <f t="shared" si="51"/>
        <v>Reliable</v>
      </c>
      <c r="EF43">
        <f t="shared" si="52"/>
        <v>41</v>
      </c>
      <c r="EG43" s="5" t="str">
        <f t="shared" si="53"/>
        <v>Reliable</v>
      </c>
      <c r="EH43" s="68">
        <f>COUNTIF(Builder!$K$14:$N$14,EG43)</f>
        <v>0</v>
      </c>
      <c r="EI43" s="68" t="str">
        <f>IF(EH43=1,Stats!$N58,"")</f>
        <v/>
      </c>
      <c r="EJ43" s="68" t="str">
        <f>IF(EH43=1,Stats!$O58,"")</f>
        <v/>
      </c>
      <c r="EK43" s="68" t="str">
        <f>IF(EH43=1,Stats!$P58,"")</f>
        <v/>
      </c>
      <c r="EL43" s="68" t="str">
        <f>IF(EH43=1,Stats!$Q58,"")</f>
        <v/>
      </c>
      <c r="EM43" s="68" t="str">
        <f>IF(EH43=1,Stats!$R58,"")</f>
        <v/>
      </c>
      <c r="EN43" s="68" t="str">
        <f>IF(EH43=1,Stats!$S58,"")</f>
        <v/>
      </c>
      <c r="EO43" s="68">
        <f t="shared" si="54"/>
        <v>0</v>
      </c>
      <c r="EP43">
        <f t="shared" si="55"/>
        <v>0</v>
      </c>
      <c r="EQ43" s="68">
        <f>IF(EP43=0,MAX(EQ$2:EQ42)+1,0)</f>
        <v>41</v>
      </c>
      <c r="ER43" s="5" t="str">
        <f t="shared" si="56"/>
        <v>Reliable</v>
      </c>
      <c r="ES43" s="5" t="str">
        <f t="shared" si="57"/>
        <v>Reliable</v>
      </c>
      <c r="EU43">
        <f t="shared" si="58"/>
        <v>41</v>
      </c>
      <c r="EV43" s="5" t="str">
        <f t="shared" si="59"/>
        <v>Reliable</v>
      </c>
      <c r="EW43" s="68">
        <f>COUNTIF(Builder!$K$15:$N$15,EV43)</f>
        <v>0</v>
      </c>
      <c r="EX43" s="68" t="str">
        <f>IF(EW43=1,Stats!$N58,"")</f>
        <v/>
      </c>
      <c r="EY43" s="68" t="str">
        <f>IF(EW43=1,Stats!$O58,"")</f>
        <v/>
      </c>
      <c r="EZ43" s="68" t="str">
        <f>IF(EW43=1,Stats!$P58,"")</f>
        <v/>
      </c>
      <c r="FA43" s="68" t="str">
        <f>IF(EW43=1,Stats!$Q58,"")</f>
        <v/>
      </c>
      <c r="FB43" s="68" t="str">
        <f>IF(EW43=1,Stats!$R58,"")</f>
        <v/>
      </c>
      <c r="FC43" s="68" t="str">
        <f>IF(EW43=1,Stats!$S58,"")</f>
        <v/>
      </c>
      <c r="FD43" s="68">
        <f t="shared" si="60"/>
        <v>0</v>
      </c>
      <c r="FE43">
        <f t="shared" si="61"/>
        <v>0</v>
      </c>
      <c r="FF43" s="68">
        <f>IF(FE43=0,MAX(FF$2:FF42)+1,0)</f>
        <v>41</v>
      </c>
      <c r="FG43" s="5" t="str">
        <f t="shared" si="62"/>
        <v>Reliable</v>
      </c>
      <c r="FH43" s="5" t="str">
        <f t="shared" si="63"/>
        <v>Reliable</v>
      </c>
      <c r="FJ43">
        <f t="shared" si="64"/>
        <v>41</v>
      </c>
      <c r="FK43" s="5" t="str">
        <f t="shared" si="65"/>
        <v>Reliable</v>
      </c>
      <c r="FL43" s="68">
        <f>COUNTIF(Builder!$K$16:$N$16,FK43)</f>
        <v>0</v>
      </c>
      <c r="FM43" s="68" t="str">
        <f>IF(FL43=1,Stats!$N58,"")</f>
        <v/>
      </c>
      <c r="FN43" s="68" t="str">
        <f>IF(FL43=1,Stats!$O58,"")</f>
        <v/>
      </c>
      <c r="FO43" s="68" t="str">
        <f>IF(FL43=1,Stats!$P58,"")</f>
        <v/>
      </c>
      <c r="FP43" s="68" t="str">
        <f>IF(FL43=1,Stats!$Q58,"")</f>
        <v/>
      </c>
      <c r="FQ43" s="68" t="str">
        <f>IF(FL43=1,Stats!$R58,"")</f>
        <v/>
      </c>
      <c r="FR43" s="68" t="str">
        <f>IF(FL43=1,Stats!$S58,"")</f>
        <v/>
      </c>
      <c r="FS43" s="68">
        <f t="shared" si="66"/>
        <v>0</v>
      </c>
      <c r="FT43">
        <f t="shared" si="67"/>
        <v>0</v>
      </c>
      <c r="FU43" s="68">
        <f>IF(FT43=0,MAX(FU$2:FU42)+1,0)</f>
        <v>41</v>
      </c>
      <c r="FV43" s="5" t="str">
        <f t="shared" si="68"/>
        <v>Reliable</v>
      </c>
      <c r="FW43" s="5" t="str">
        <f t="shared" si="69"/>
        <v>Reliable</v>
      </c>
      <c r="FY43">
        <f t="shared" si="168"/>
        <v>41</v>
      </c>
      <c r="FZ43" s="5" t="str">
        <f t="shared" si="169"/>
        <v>Reliable</v>
      </c>
      <c r="GA43" s="68">
        <f>COUNTIF(Builder!$K$17:$N$17,FZ43)</f>
        <v>0</v>
      </c>
      <c r="GB43" s="68" t="str">
        <f>IF(GA43=1,Stats!$N58,"")</f>
        <v/>
      </c>
      <c r="GC43" s="68" t="str">
        <f>IF(GA43=1,Stats!$O58,"")</f>
        <v/>
      </c>
      <c r="GD43" s="68" t="str">
        <f>IF(GA43=1,Stats!$P58,"")</f>
        <v/>
      </c>
      <c r="GE43" s="68" t="str">
        <f>IF(GA43=1,Stats!$Q58,"")</f>
        <v/>
      </c>
      <c r="GF43" s="68" t="str">
        <f>IF(GA43=1,Stats!$R58,"")</f>
        <v/>
      </c>
      <c r="GG43" s="68" t="str">
        <f>IF(GA43=1,Stats!$S58,"")</f>
        <v/>
      </c>
      <c r="GH43" s="68">
        <f t="shared" si="170"/>
        <v>0</v>
      </c>
      <c r="GI43">
        <f t="shared" si="171"/>
        <v>0</v>
      </c>
      <c r="GJ43" s="68">
        <f>IF(GI43=0,MAX(GJ$2:GJ42)+1,0)</f>
        <v>41</v>
      </c>
      <c r="GK43" s="5" t="str">
        <f t="shared" si="172"/>
        <v>Reliable</v>
      </c>
      <c r="GL43" s="5" t="str">
        <f t="shared" si="75"/>
        <v>Reliable</v>
      </c>
      <c r="GN43">
        <f t="shared" si="76"/>
        <v>41</v>
      </c>
      <c r="GO43" s="5" t="str">
        <f t="shared" si="77"/>
        <v>Reliable</v>
      </c>
      <c r="GP43" s="68">
        <f>COUNTIF(Builder!$K$18:$N$18,GO43)</f>
        <v>0</v>
      </c>
      <c r="GQ43" s="68" t="str">
        <f>IF(GP43=1,Stats!$N58,"")</f>
        <v/>
      </c>
      <c r="GR43" s="68" t="str">
        <f>IF(GP43=1,Stats!$O58,"")</f>
        <v/>
      </c>
      <c r="GS43" s="68" t="str">
        <f>IF(GP43=1,Stats!$P58,"")</f>
        <v/>
      </c>
      <c r="GT43" s="68" t="str">
        <f>IF(GP43=1,Stats!$Q58,"")</f>
        <v/>
      </c>
      <c r="GU43" s="68" t="str">
        <f>IF(GP43=1,Stats!$R58,"")</f>
        <v/>
      </c>
      <c r="GV43" s="68" t="str">
        <f>IF(GP43=1,Stats!$S58,"")</f>
        <v/>
      </c>
      <c r="GW43" s="68">
        <f t="shared" si="78"/>
        <v>0</v>
      </c>
      <c r="GX43">
        <f t="shared" si="79"/>
        <v>0</v>
      </c>
      <c r="GY43" s="68">
        <f>IF(GX43=0,MAX(GY$2:GY42)+1,0)</f>
        <v>41</v>
      </c>
      <c r="GZ43" s="5" t="str">
        <f t="shared" si="80"/>
        <v>Reliable</v>
      </c>
      <c r="HA43" s="5" t="str">
        <f t="shared" si="81"/>
        <v>Reliable</v>
      </c>
      <c r="HC43">
        <f t="shared" si="82"/>
        <v>41</v>
      </c>
      <c r="HD43" s="5" t="str">
        <f t="shared" si="83"/>
        <v>Reliable</v>
      </c>
      <c r="HE43" s="68">
        <f>COUNTIF(Builder!$K$19:$N$19,HD43)</f>
        <v>0</v>
      </c>
      <c r="HF43" s="68" t="str">
        <f>IF(HE43=1,Stats!$N58,"")</f>
        <v/>
      </c>
      <c r="HG43" s="68" t="str">
        <f>IF(HE43=1,Stats!$O58,"")</f>
        <v/>
      </c>
      <c r="HH43" s="68" t="str">
        <f>IF(HE43=1,Stats!$P58,"")</f>
        <v/>
      </c>
      <c r="HI43" s="68" t="str">
        <f>IF(HE43=1,Stats!$Q58,"")</f>
        <v/>
      </c>
      <c r="HJ43" s="68" t="str">
        <f>IF(HE43=1,Stats!$R58,"")</f>
        <v/>
      </c>
      <c r="HK43" s="68" t="str">
        <f>IF(HE43=1,Stats!$S58,"")</f>
        <v/>
      </c>
      <c r="HL43" s="68">
        <f t="shared" si="84"/>
        <v>0</v>
      </c>
      <c r="HM43">
        <f t="shared" si="85"/>
        <v>0</v>
      </c>
      <c r="HN43" s="68">
        <f>IF(HM43=0,MAX(HN$2:HN42)+1,0)</f>
        <v>41</v>
      </c>
      <c r="HO43" s="5" t="str">
        <f t="shared" si="86"/>
        <v>Reliable</v>
      </c>
      <c r="HP43" s="5" t="str">
        <f t="shared" si="87"/>
        <v>Reliable</v>
      </c>
      <c r="HR43">
        <f t="shared" si="88"/>
        <v>41</v>
      </c>
      <c r="HS43" s="5" t="str">
        <f t="shared" si="89"/>
        <v>Reliable</v>
      </c>
      <c r="HT43" s="68">
        <f>COUNTIF(Builder!$K$20:$N$20,HS43)</f>
        <v>0</v>
      </c>
      <c r="HU43" s="68" t="str">
        <f>IF(HT43=1,Stats!$N58,"")</f>
        <v/>
      </c>
      <c r="HV43" s="68" t="str">
        <f>IF(HT43=1,Stats!$O58,"")</f>
        <v/>
      </c>
      <c r="HW43" s="68" t="str">
        <f>IF(HT43=1,Stats!$P58,"")</f>
        <v/>
      </c>
      <c r="HX43" s="68" t="str">
        <f>IF(HT43=1,Stats!$Q58,"")</f>
        <v/>
      </c>
      <c r="HY43" s="68" t="str">
        <f>IF(HT43=1,Stats!$R58,"")</f>
        <v/>
      </c>
      <c r="HZ43" s="68" t="str">
        <f>IF(HT43=1,Stats!$S58,"")</f>
        <v/>
      </c>
      <c r="IA43" s="68">
        <f t="shared" si="90"/>
        <v>0</v>
      </c>
      <c r="IB43">
        <f t="shared" si="91"/>
        <v>0</v>
      </c>
      <c r="IC43" s="68">
        <f>IF(IB43=0,MAX(IC$2:IC42)+1,0)</f>
        <v>41</v>
      </c>
      <c r="ID43" s="5" t="str">
        <f t="shared" si="92"/>
        <v>Reliable</v>
      </c>
      <c r="IE43" s="5" t="str">
        <f t="shared" si="93"/>
        <v>Reliable</v>
      </c>
      <c r="IG43">
        <f t="shared" si="94"/>
        <v>41</v>
      </c>
      <c r="IH43" s="5" t="str">
        <f t="shared" si="95"/>
        <v>Reliable</v>
      </c>
      <c r="II43" s="68">
        <f>COUNTIF(Builder!$K$21:$N$21,IH43)</f>
        <v>0</v>
      </c>
      <c r="IJ43" s="68" t="str">
        <f>IF(II43=1,Stats!$N58,"")</f>
        <v/>
      </c>
      <c r="IK43" s="68" t="str">
        <f>IF(II43=1,Stats!$O58,"")</f>
        <v/>
      </c>
      <c r="IL43" s="68" t="str">
        <f>IF(II43=1,Stats!$P58,"")</f>
        <v/>
      </c>
      <c r="IM43" s="68" t="str">
        <f>IF(II43=1,Stats!$Q58,"")</f>
        <v/>
      </c>
      <c r="IN43" s="68" t="str">
        <f>IF(II43=1,Stats!$R58,"")</f>
        <v/>
      </c>
      <c r="IO43" s="68" t="str">
        <f>IF(II43=1,Stats!$S58,"")</f>
        <v/>
      </c>
      <c r="IP43" s="68">
        <f t="shared" si="96"/>
        <v>0</v>
      </c>
      <c r="IQ43">
        <f t="shared" si="97"/>
        <v>0</v>
      </c>
      <c r="IR43" s="68">
        <f>IF(IQ43=0,MAX(IR$2:IR42)+1,0)</f>
        <v>41</v>
      </c>
      <c r="IS43" s="5" t="str">
        <f t="shared" si="98"/>
        <v>Reliable</v>
      </c>
      <c r="IT43" s="5" t="str">
        <f t="shared" si="99"/>
        <v>Reliable</v>
      </c>
      <c r="IV43">
        <f t="shared" si="100"/>
        <v>41</v>
      </c>
      <c r="IW43" s="5" t="str">
        <f t="shared" si="101"/>
        <v>Reliable</v>
      </c>
      <c r="IX43" s="68">
        <f>COUNTIF(Builder!$K$22:$N$22,IW43)</f>
        <v>0</v>
      </c>
      <c r="IY43" s="68" t="str">
        <f>IF(IX43=1,Stats!$N58,"")</f>
        <v/>
      </c>
      <c r="IZ43" s="68" t="str">
        <f>IF(IX43=1,Stats!$O58,"")</f>
        <v/>
      </c>
      <c r="JA43" s="68" t="str">
        <f>IF(IX43=1,Stats!$P58,"")</f>
        <v/>
      </c>
      <c r="JB43" s="68" t="str">
        <f>IF(IX43=1,Stats!$Q58,"")</f>
        <v/>
      </c>
      <c r="JC43" s="68" t="str">
        <f>IF(IX43=1,Stats!$R58,"")</f>
        <v/>
      </c>
      <c r="JD43" s="68" t="str">
        <f>IF(IX43=1,Stats!$S58,"")</f>
        <v/>
      </c>
      <c r="JE43" s="68">
        <f t="shared" si="102"/>
        <v>0</v>
      </c>
      <c r="JF43">
        <f t="shared" si="103"/>
        <v>0</v>
      </c>
      <c r="JG43" s="68">
        <f>IF(JF43=0,MAX(JG$2:JG42)+1,0)</f>
        <v>41</v>
      </c>
      <c r="JH43" s="5" t="str">
        <f t="shared" si="104"/>
        <v>Reliable</v>
      </c>
      <c r="JI43" s="5" t="str">
        <f t="shared" si="105"/>
        <v>Reliable</v>
      </c>
      <c r="JK43">
        <f t="shared" si="106"/>
        <v>41</v>
      </c>
      <c r="JL43" s="5" t="str">
        <f t="shared" si="107"/>
        <v>Reliable</v>
      </c>
      <c r="JM43" s="68">
        <f>COUNTIF(Builder!$K$23:$N$23,JL43)</f>
        <v>0</v>
      </c>
      <c r="JN43" s="68" t="str">
        <f>IF(JM43=1,Stats!$N58,"")</f>
        <v/>
      </c>
      <c r="JO43" s="68" t="str">
        <f>IF(JM43=1,Stats!$O58,"")</f>
        <v/>
      </c>
      <c r="JP43" s="68" t="str">
        <f>IF(JM43=1,Stats!$P58,"")</f>
        <v/>
      </c>
      <c r="JQ43" s="68" t="str">
        <f>IF(JM43=1,Stats!$Q58,"")</f>
        <v/>
      </c>
      <c r="JR43" s="68" t="str">
        <f>IF(JM43=1,Stats!$R58,"")</f>
        <v/>
      </c>
      <c r="JS43" s="68" t="str">
        <f>IF(JM43=1,Stats!$S58,"")</f>
        <v/>
      </c>
      <c r="JT43" s="68">
        <f t="shared" si="108"/>
        <v>0</v>
      </c>
      <c r="JU43">
        <f t="shared" si="109"/>
        <v>0</v>
      </c>
      <c r="JV43" s="68">
        <f>IF(JU43=0,MAX(JV$2:JV42)+1,0)</f>
        <v>41</v>
      </c>
      <c r="JW43" s="5" t="str">
        <f t="shared" si="110"/>
        <v>Reliable</v>
      </c>
      <c r="JX43" s="5" t="str">
        <f t="shared" si="111"/>
        <v>Reliable</v>
      </c>
      <c r="JZ43">
        <f t="shared" si="112"/>
        <v>41</v>
      </c>
      <c r="KA43" s="5" t="str">
        <f t="shared" si="113"/>
        <v>Reliable</v>
      </c>
      <c r="KB43" s="68">
        <f>COUNTIF(Builder!$K$24:$N$24,KA43)</f>
        <v>0</v>
      </c>
      <c r="KC43" s="68" t="str">
        <f>IF(KB43=1,Stats!$N58,"")</f>
        <v/>
      </c>
      <c r="KD43" s="68" t="str">
        <f>IF(KB43=1,Stats!$O58,"")</f>
        <v/>
      </c>
      <c r="KE43" s="68" t="str">
        <f>IF(KB43=1,Stats!$P58,"")</f>
        <v/>
      </c>
      <c r="KF43" s="68" t="str">
        <f>IF(KB43=1,Stats!$Q58,"")</f>
        <v/>
      </c>
      <c r="KG43" s="68" t="str">
        <f>IF(KB43=1,Stats!$R58,"")</f>
        <v/>
      </c>
      <c r="KH43" s="68" t="str">
        <f>IF(KB43=1,Stats!$S58,"")</f>
        <v/>
      </c>
      <c r="KI43" s="68">
        <f t="shared" si="114"/>
        <v>0</v>
      </c>
      <c r="KJ43">
        <f t="shared" si="115"/>
        <v>0</v>
      </c>
      <c r="KK43" s="68">
        <f>IF(KJ43=0,MAX(KK$2:KK42)+1,0)</f>
        <v>41</v>
      </c>
      <c r="KL43" s="5" t="str">
        <f t="shared" si="116"/>
        <v>Reliable</v>
      </c>
      <c r="KM43" s="5" t="str">
        <f t="shared" si="117"/>
        <v>Reliable</v>
      </c>
      <c r="KO43">
        <f t="shared" si="118"/>
        <v>41</v>
      </c>
      <c r="KP43" s="5" t="str">
        <f t="shared" si="119"/>
        <v>Reliable</v>
      </c>
      <c r="KQ43" s="68">
        <f>COUNTIF(Builder!$K$25:$N$25,KP43)</f>
        <v>0</v>
      </c>
      <c r="KR43" s="68" t="str">
        <f>IF(KQ43=1,Stats!$N58,"")</f>
        <v/>
      </c>
      <c r="KS43" s="68" t="str">
        <f>IF(KQ43=1,Stats!$O58,"")</f>
        <v/>
      </c>
      <c r="KT43" s="68" t="str">
        <f>IF(KQ43=1,Stats!$P58,"")</f>
        <v/>
      </c>
      <c r="KU43" s="68" t="str">
        <f>IF(KQ43=1,Stats!$Q58,"")</f>
        <v/>
      </c>
      <c r="KV43" s="68" t="str">
        <f>IF(KQ43=1,Stats!$R58,"")</f>
        <v/>
      </c>
      <c r="KW43" s="68" t="str">
        <f>IF(KQ43=1,Stats!$S58,"")</f>
        <v/>
      </c>
      <c r="KX43" s="68">
        <f t="shared" si="120"/>
        <v>0</v>
      </c>
      <c r="KY43">
        <f t="shared" si="121"/>
        <v>0</v>
      </c>
      <c r="KZ43" s="68">
        <f>IF(KY43=0,MAX(KZ$2:KZ42)+1,0)</f>
        <v>41</v>
      </c>
      <c r="LA43" s="5" t="str">
        <f t="shared" si="122"/>
        <v>Reliable</v>
      </c>
      <c r="LB43" s="5" t="str">
        <f t="shared" si="123"/>
        <v>Reliable</v>
      </c>
      <c r="LD43">
        <f t="shared" si="124"/>
        <v>41</v>
      </c>
      <c r="LE43" s="5" t="str">
        <f t="shared" si="125"/>
        <v>Reliable</v>
      </c>
      <c r="LF43" s="68">
        <f>COUNTIF(Builder!$K$26:$N$26,LE43)</f>
        <v>0</v>
      </c>
      <c r="LG43" s="68" t="str">
        <f>IF(LF43=1,Stats!$N58,"")</f>
        <v/>
      </c>
      <c r="LH43" s="68" t="str">
        <f>IF(LF43=1,Stats!$O58,"")</f>
        <v/>
      </c>
      <c r="LI43" s="68" t="str">
        <f>IF(LF43=1,Stats!$P58,"")</f>
        <v/>
      </c>
      <c r="LJ43" s="68" t="str">
        <f>IF(LF43=1,Stats!$Q58,"")</f>
        <v/>
      </c>
      <c r="LK43" s="68" t="str">
        <f>IF(LF43=1,Stats!$R58,"")</f>
        <v/>
      </c>
      <c r="LL43" s="68" t="str">
        <f>IF(LF43=1,Stats!$S58,"")</f>
        <v/>
      </c>
      <c r="LM43" s="68">
        <f t="shared" si="126"/>
        <v>0</v>
      </c>
      <c r="LN43">
        <f t="shared" si="127"/>
        <v>0</v>
      </c>
      <c r="LO43" s="68">
        <f>IF(LN43=0,MAX(LO$2:LO42)+1,0)</f>
        <v>41</v>
      </c>
      <c r="LP43" s="5" t="str">
        <f t="shared" si="128"/>
        <v>Reliable</v>
      </c>
      <c r="LQ43" s="5" t="str">
        <f t="shared" si="129"/>
        <v>Reliable</v>
      </c>
      <c r="LS43">
        <f t="shared" si="130"/>
        <v>41</v>
      </c>
      <c r="LT43" s="5" t="str">
        <f t="shared" si="131"/>
        <v>Reliable</v>
      </c>
      <c r="LU43" s="68">
        <f>COUNTIF(Builder!$K$27:$N$27,LT43)</f>
        <v>0</v>
      </c>
      <c r="LV43" s="68" t="str">
        <f>IF(LU43=1,Stats!$N58,"")</f>
        <v/>
      </c>
      <c r="LW43" s="68" t="str">
        <f>IF(LU43=1,Stats!$O58,"")</f>
        <v/>
      </c>
      <c r="LX43" s="68" t="str">
        <f>IF(LU43=1,Stats!$P58,"")</f>
        <v/>
      </c>
      <c r="LY43" s="68" t="str">
        <f>IF(LU43=1,Stats!$Q58,"")</f>
        <v/>
      </c>
      <c r="LZ43" s="68" t="str">
        <f>IF(LU43=1,Stats!$R58,"")</f>
        <v/>
      </c>
      <c r="MA43" s="68" t="str">
        <f>IF(LU43=1,Stats!$S58,"")</f>
        <v/>
      </c>
      <c r="MB43" s="68">
        <f t="shared" si="132"/>
        <v>0</v>
      </c>
      <c r="MC43">
        <f t="shared" si="133"/>
        <v>0</v>
      </c>
      <c r="MD43" s="68">
        <f>IF(MC43=0,MAX(MD$2:MD42)+1,0)</f>
        <v>41</v>
      </c>
      <c r="ME43" s="5" t="str">
        <f t="shared" si="134"/>
        <v>Reliable</v>
      </c>
      <c r="MF43" s="5" t="str">
        <f t="shared" si="135"/>
        <v>Reliable</v>
      </c>
      <c r="MH43">
        <f t="shared" si="136"/>
        <v>41</v>
      </c>
      <c r="MI43" s="5" t="str">
        <f t="shared" si="137"/>
        <v>Reliable</v>
      </c>
      <c r="MJ43" s="68">
        <f>COUNTIF(Builder!$K$28:$N$28,MI43)</f>
        <v>0</v>
      </c>
      <c r="MK43" s="68" t="str">
        <f>IF(MJ43=1,Stats!$N58,"")</f>
        <v/>
      </c>
      <c r="ML43" s="68" t="str">
        <f>IF(MJ43=1,Stats!$O58,"")</f>
        <v/>
      </c>
      <c r="MM43" s="68" t="str">
        <f>IF(MJ43=1,Stats!$P58,"")</f>
        <v/>
      </c>
      <c r="MN43" s="68" t="str">
        <f>IF(MJ43=1,Stats!$Q58,"")</f>
        <v/>
      </c>
      <c r="MO43" s="68" t="str">
        <f>IF(MJ43=1,Stats!$R58,"")</f>
        <v/>
      </c>
      <c r="MP43" s="68" t="str">
        <f>IF(MJ43=1,Stats!$S58,"")</f>
        <v/>
      </c>
      <c r="MQ43" s="68">
        <f t="shared" si="138"/>
        <v>0</v>
      </c>
      <c r="MR43">
        <f t="shared" si="139"/>
        <v>0</v>
      </c>
      <c r="MS43" s="68">
        <f>IF(MR43=0,MAX(MS$2:MS42)+1,0)</f>
        <v>41</v>
      </c>
      <c r="MT43" s="5" t="str">
        <f t="shared" si="140"/>
        <v>Reliable</v>
      </c>
      <c r="MU43" s="5" t="str">
        <f t="shared" si="141"/>
        <v>Reliable</v>
      </c>
      <c r="MW43">
        <f t="shared" si="142"/>
        <v>41</v>
      </c>
      <c r="MX43" s="5" t="str">
        <f t="shared" si="143"/>
        <v>Reliable</v>
      </c>
      <c r="MY43" s="68">
        <f>COUNTIF(Builder!$K$29:$N$29,MX43)</f>
        <v>0</v>
      </c>
      <c r="MZ43" s="68" t="str">
        <f>IF(MY43=1,Stats!$N58,"")</f>
        <v/>
      </c>
      <c r="NA43" s="68" t="str">
        <f>IF(MY43=1,Stats!$O58,"")</f>
        <v/>
      </c>
      <c r="NB43" s="68" t="str">
        <f>IF(MY43=1,Stats!$P58,"")</f>
        <v/>
      </c>
      <c r="NC43" s="68" t="str">
        <f>IF(MY43=1,Stats!$Q58,"")</f>
        <v/>
      </c>
      <c r="ND43" s="68" t="str">
        <f>IF(MY43=1,Stats!$R58,"")</f>
        <v/>
      </c>
      <c r="NE43" s="68" t="str">
        <f>IF(MY43=1,Stats!$S58,"")</f>
        <v/>
      </c>
      <c r="NF43" s="68">
        <f t="shared" si="144"/>
        <v>0</v>
      </c>
      <c r="NG43">
        <f t="shared" si="145"/>
        <v>0</v>
      </c>
      <c r="NH43" s="68">
        <f>IF(NG43=0,MAX(NH$2:NH42)+1,0)</f>
        <v>41</v>
      </c>
      <c r="NI43" s="5" t="str">
        <f t="shared" si="146"/>
        <v>Reliable</v>
      </c>
      <c r="NJ43" s="5" t="str">
        <f t="shared" si="147"/>
        <v>Reliable</v>
      </c>
    </row>
    <row r="44" spans="1:374" ht="15" x14ac:dyDescent="0.3">
      <c r="A44">
        <v>42</v>
      </c>
      <c r="B44" s="5" t="s">
        <v>44</v>
      </c>
      <c r="C44" s="68">
        <f>COUNTIF(Builder!$K$5:$N$5,B44)</f>
        <v>0</v>
      </c>
      <c r="D44" s="68" t="str">
        <f>IF(C44=1,Stats!$N59,"")</f>
        <v/>
      </c>
      <c r="E44" s="68" t="str">
        <f>IF(C44=1,Stats!$O59,"")</f>
        <v/>
      </c>
      <c r="F44" s="68" t="str">
        <f>IF(C44=1,Stats!$P59,"")</f>
        <v/>
      </c>
      <c r="G44" s="68" t="str">
        <f>IF(C44=1,Stats!$Q59,"")</f>
        <v/>
      </c>
      <c r="H44" s="68" t="str">
        <f>IF(C44=1,Stats!$R59,"")</f>
        <v/>
      </c>
      <c r="I44" s="68" t="str">
        <f>IF(C44=1,Stats!$S59,"")</f>
        <v/>
      </c>
      <c r="J44" s="68">
        <f t="shared" si="0"/>
        <v>0</v>
      </c>
      <c r="K44">
        <f t="shared" si="1"/>
        <v>0</v>
      </c>
      <c r="L44" s="68">
        <f>IF(K44=0,MAX($L$2:L43)+1,0)</f>
        <v>42</v>
      </c>
      <c r="M44" s="5" t="str">
        <f t="shared" si="2"/>
        <v>Shieldwall</v>
      </c>
      <c r="N44" s="5" t="str">
        <f t="shared" si="3"/>
        <v>Shieldwall</v>
      </c>
      <c r="O44" s="5"/>
      <c r="P44">
        <f t="shared" si="4"/>
        <v>42</v>
      </c>
      <c r="Q44" s="5" t="str">
        <f t="shared" si="5"/>
        <v>Shieldwall</v>
      </c>
      <c r="R44" s="68">
        <f>COUNTIF(Builder!$K$6:$N$6,Q44)</f>
        <v>0</v>
      </c>
      <c r="S44" s="68" t="str">
        <f>IF(R44=1,Stats!$N59,"")</f>
        <v/>
      </c>
      <c r="T44" s="68" t="str">
        <f>IF(R44=1,Stats!$O59,"")</f>
        <v/>
      </c>
      <c r="U44" s="68" t="str">
        <f>IF(R44=1,Stats!$P59,"")</f>
        <v/>
      </c>
      <c r="V44" s="68" t="str">
        <f>IF(R44=1,Stats!$Q59,"")</f>
        <v/>
      </c>
      <c r="W44" s="68" t="str">
        <f>IF(R44=1,Stats!$R59,"")</f>
        <v/>
      </c>
      <c r="X44" s="68" t="str">
        <f>IF(R44=1,Stats!$S59,"")</f>
        <v/>
      </c>
      <c r="Y44" s="68">
        <f t="shared" si="6"/>
        <v>0</v>
      </c>
      <c r="Z44">
        <f t="shared" si="7"/>
        <v>0</v>
      </c>
      <c r="AA44" s="68">
        <f>IF(Z44=0,MAX($AA$2:AA43)+1,0)</f>
        <v>42</v>
      </c>
      <c r="AB44" s="5" t="str">
        <f t="shared" si="8"/>
        <v>Shieldwall</v>
      </c>
      <c r="AC44" s="5" t="str">
        <f t="shared" si="9"/>
        <v>Shieldwall</v>
      </c>
      <c r="AD44" s="5"/>
      <c r="AE44">
        <f t="shared" si="10"/>
        <v>42</v>
      </c>
      <c r="AF44" s="5" t="str">
        <f t="shared" si="11"/>
        <v>Shieldwall</v>
      </c>
      <c r="AG44" s="68">
        <f>COUNTIF(Builder!$K$7:$N$7,AF44)</f>
        <v>0</v>
      </c>
      <c r="AH44" s="68" t="str">
        <f>IF(AG44=1,Stats!$N59,"")</f>
        <v/>
      </c>
      <c r="AI44" s="68" t="str">
        <f>IF(AG44=1,Stats!$O59,"")</f>
        <v/>
      </c>
      <c r="AJ44" s="68" t="str">
        <f>IF(AG44=1,Stats!$P59,"")</f>
        <v/>
      </c>
      <c r="AK44" s="68" t="str">
        <f>IF(AG44=1,Stats!$Q59,"")</f>
        <v/>
      </c>
      <c r="AL44" s="68" t="str">
        <f>IF(AG44=1,Stats!$R59,"")</f>
        <v/>
      </c>
      <c r="AM44" s="68" t="str">
        <f>IF(AG44=1,Stats!$S59,"")</f>
        <v/>
      </c>
      <c r="AN44" s="68">
        <f t="shared" si="12"/>
        <v>0</v>
      </c>
      <c r="AO44">
        <f t="shared" si="13"/>
        <v>0</v>
      </c>
      <c r="AP44" s="68">
        <f>IF(AO44=0,MAX($AP$2:AP43)+1,0)</f>
        <v>42</v>
      </c>
      <c r="AQ44" s="5" t="str">
        <f t="shared" si="14"/>
        <v>Shieldwall</v>
      </c>
      <c r="AR44" s="5" t="str">
        <f t="shared" si="15"/>
        <v>Shieldwall</v>
      </c>
      <c r="AS44" s="5"/>
      <c r="AT44">
        <f t="shared" si="16"/>
        <v>42</v>
      </c>
      <c r="AU44" s="5" t="str">
        <f t="shared" si="17"/>
        <v>Shieldwall</v>
      </c>
      <c r="AV44" s="68">
        <f>COUNTIF(Builder!$K$8:$N$8,AU44)</f>
        <v>0</v>
      </c>
      <c r="AW44" s="68" t="str">
        <f>IF(AV44=1,Stats!$N59,"")</f>
        <v/>
      </c>
      <c r="AX44" s="68" t="str">
        <f>IF(AV44=1,Stats!$O59,"")</f>
        <v/>
      </c>
      <c r="AY44" s="68" t="str">
        <f>IF(AV44=1,Stats!$P59,"")</f>
        <v/>
      </c>
      <c r="AZ44" s="68" t="str">
        <f>IF(AV44=1,Stats!$Q59,"")</f>
        <v/>
      </c>
      <c r="BA44" s="68" t="str">
        <f>IF(AV44=1,Stats!$R59,"")</f>
        <v/>
      </c>
      <c r="BB44" s="68" t="str">
        <f>IF(AV44=1,Stats!$S59,"")</f>
        <v/>
      </c>
      <c r="BC44" s="68">
        <f t="shared" si="18"/>
        <v>0</v>
      </c>
      <c r="BD44">
        <f t="shared" si="19"/>
        <v>0</v>
      </c>
      <c r="BE44" s="68">
        <f>IF(BD44=0,MAX($BE$2:BE43)+1,0)</f>
        <v>42</v>
      </c>
      <c r="BF44" s="5" t="str">
        <f t="shared" si="20"/>
        <v>Shieldwall</v>
      </c>
      <c r="BG44" s="5" t="str">
        <f t="shared" si="21"/>
        <v>Shieldwall</v>
      </c>
      <c r="BH44" s="5"/>
      <c r="BI44">
        <f t="shared" si="148"/>
        <v>42</v>
      </c>
      <c r="BJ44" s="5" t="str">
        <f t="shared" si="149"/>
        <v>Shieldwall</v>
      </c>
      <c r="BK44" s="68">
        <f>COUNTIF(Builder!$K$9:$N$9,BJ44)</f>
        <v>0</v>
      </c>
      <c r="BL44" s="68" t="str">
        <f>IF(BK44=1,Stats!$N59,"")</f>
        <v/>
      </c>
      <c r="BM44" s="68" t="str">
        <f>IF(BK44=1,Stats!$O59,"")</f>
        <v/>
      </c>
      <c r="BN44" s="68" t="str">
        <f>IF(BK44=1,Stats!$P59,"")</f>
        <v/>
      </c>
      <c r="BO44" s="68" t="str">
        <f>IF(BK44=1,Stats!$Q59,"")</f>
        <v/>
      </c>
      <c r="BP44" s="68" t="str">
        <f>IF(BK44=1,Stats!$R59,"")</f>
        <v/>
      </c>
      <c r="BQ44" s="68" t="str">
        <f>IF(BK44=1,Stats!$S59,"")</f>
        <v/>
      </c>
      <c r="BR44" s="68">
        <f t="shared" si="150"/>
        <v>0</v>
      </c>
      <c r="BS44">
        <f t="shared" si="151"/>
        <v>0</v>
      </c>
      <c r="BT44" s="68">
        <f>IF(BS44=0,MAX(BT$2:BT43)+1,0)</f>
        <v>42</v>
      </c>
      <c r="BU44" s="5" t="str">
        <f t="shared" si="152"/>
        <v>Shieldwall</v>
      </c>
      <c r="BV44" s="5" t="str">
        <f t="shared" si="27"/>
        <v>Shieldwall</v>
      </c>
      <c r="BX44">
        <f t="shared" si="153"/>
        <v>42</v>
      </c>
      <c r="BY44" s="5" t="str">
        <f t="shared" si="154"/>
        <v>Shieldwall</v>
      </c>
      <c r="BZ44" s="68">
        <f>COUNTIF(Builder!$K$10:$N$10,BY44)</f>
        <v>0</v>
      </c>
      <c r="CA44" s="68" t="str">
        <f>IF(BZ44=1,Stats!$N59,"")</f>
        <v/>
      </c>
      <c r="CB44" s="68" t="str">
        <f>IF(BZ44=1,Stats!$O59,"")</f>
        <v/>
      </c>
      <c r="CC44" s="68" t="str">
        <f>IF(BZ44=1,Stats!$P59,"")</f>
        <v/>
      </c>
      <c r="CD44" s="68" t="str">
        <f>IF(BZ44=1,Stats!$Q59,"")</f>
        <v/>
      </c>
      <c r="CE44" s="68" t="str">
        <f>IF(BZ44=1,Stats!$R59,"")</f>
        <v/>
      </c>
      <c r="CF44" s="68" t="str">
        <f>IF(BZ44=1,Stats!$S59,"")</f>
        <v/>
      </c>
      <c r="CG44" s="68">
        <f t="shared" si="155"/>
        <v>0</v>
      </c>
      <c r="CH44">
        <f t="shared" si="156"/>
        <v>0</v>
      </c>
      <c r="CI44" s="68">
        <f>IF(CH44=0,MAX(CI$2:CI43)+1,0)</f>
        <v>42</v>
      </c>
      <c r="CJ44" s="5" t="str">
        <f t="shared" si="157"/>
        <v>Shieldwall</v>
      </c>
      <c r="CK44" s="5" t="str">
        <f t="shared" si="33"/>
        <v>Shieldwall</v>
      </c>
      <c r="CM44">
        <f t="shared" si="34"/>
        <v>42</v>
      </c>
      <c r="CN44" s="5" t="str">
        <f t="shared" si="35"/>
        <v>Shieldwall</v>
      </c>
      <c r="CO44" s="68">
        <f>COUNTIF(Builder!$K$11:$N$11,CN44)</f>
        <v>0</v>
      </c>
      <c r="CP44" s="68" t="str">
        <f>IF(CO44=1,Stats!$N59,"")</f>
        <v/>
      </c>
      <c r="CQ44" s="68" t="str">
        <f>IF(CO44=1,Stats!$O59,"")</f>
        <v/>
      </c>
      <c r="CR44" s="68" t="str">
        <f>IF(CO44=1,Stats!$P59,"")</f>
        <v/>
      </c>
      <c r="CS44" s="68" t="str">
        <f>IF(CO44=1,Stats!$Q59,"")</f>
        <v/>
      </c>
      <c r="CT44" s="68" t="str">
        <f>IF(CO44=1,Stats!$R59,"")</f>
        <v/>
      </c>
      <c r="CU44" s="68" t="str">
        <f>IF(CO44=1,Stats!$S59,"")</f>
        <v/>
      </c>
      <c r="CV44" s="68">
        <f t="shared" si="36"/>
        <v>0</v>
      </c>
      <c r="CW44">
        <f t="shared" si="37"/>
        <v>0</v>
      </c>
      <c r="CX44" s="68">
        <f>IF(CW44=0,MAX(CX$2:CX43)+1,0)</f>
        <v>42</v>
      </c>
      <c r="CY44" s="5" t="str">
        <f t="shared" si="38"/>
        <v>Shieldwall</v>
      </c>
      <c r="CZ44" s="5" t="str">
        <f t="shared" si="39"/>
        <v>Shieldwall</v>
      </c>
      <c r="DB44">
        <f t="shared" si="158"/>
        <v>42</v>
      </c>
      <c r="DC44" s="5" t="str">
        <f t="shared" si="159"/>
        <v>Shieldwall</v>
      </c>
      <c r="DD44" s="68">
        <f>COUNTIF(Builder!$K$12:$N$12,DC44)</f>
        <v>0</v>
      </c>
      <c r="DE44" s="68" t="str">
        <f>IF(DD44=1,Stats!$N59,"")</f>
        <v/>
      </c>
      <c r="DF44" s="68" t="str">
        <f>IF(DD44=1,Stats!$O59,"")</f>
        <v/>
      </c>
      <c r="DG44" s="68" t="str">
        <f>IF(DD44=1,Stats!$P59,"")</f>
        <v/>
      </c>
      <c r="DH44" s="68" t="str">
        <f>IF(DD44=1,Stats!$Q59,"")</f>
        <v/>
      </c>
      <c r="DI44" s="68" t="str">
        <f>IF(DD44=1,Stats!$R59,"")</f>
        <v/>
      </c>
      <c r="DJ44" s="68" t="str">
        <f>IF(DD44=1,Stats!$S59,"")</f>
        <v/>
      </c>
      <c r="DK44" s="68">
        <f t="shared" si="160"/>
        <v>0</v>
      </c>
      <c r="DL44">
        <f t="shared" si="161"/>
        <v>0</v>
      </c>
      <c r="DM44" s="68">
        <f>IF(DL44=0,MAX(DM$2:DM43)+1,0)</f>
        <v>42</v>
      </c>
      <c r="DN44" s="5" t="str">
        <f t="shared" si="162"/>
        <v>Shieldwall</v>
      </c>
      <c r="DO44" s="5" t="str">
        <f t="shared" si="45"/>
        <v>Shieldwall</v>
      </c>
      <c r="DQ44">
        <f t="shared" si="163"/>
        <v>42</v>
      </c>
      <c r="DR44" s="5" t="str">
        <f t="shared" si="164"/>
        <v>Shieldwall</v>
      </c>
      <c r="DS44" s="68">
        <f>COUNTIF(Builder!$K$13:$N$13,DR44)</f>
        <v>0</v>
      </c>
      <c r="DT44" s="68" t="str">
        <f>IF(DS44=1,Stats!$N59,"")</f>
        <v/>
      </c>
      <c r="DU44" s="68" t="str">
        <f>IF(DS44=1,Stats!$O59,"")</f>
        <v/>
      </c>
      <c r="DV44" s="68" t="str">
        <f>IF(DS44=1,Stats!$P59,"")</f>
        <v/>
      </c>
      <c r="DW44" s="68" t="str">
        <f>IF(DS44=1,Stats!$Q59,"")</f>
        <v/>
      </c>
      <c r="DX44" s="68" t="str">
        <f>IF(DS44=1,Stats!$R59,"")</f>
        <v/>
      </c>
      <c r="DY44" s="68" t="str">
        <f>IF(DS44=1,Stats!$S59,"")</f>
        <v/>
      </c>
      <c r="DZ44" s="68">
        <f t="shared" si="165"/>
        <v>0</v>
      </c>
      <c r="EA44">
        <f t="shared" si="166"/>
        <v>0</v>
      </c>
      <c r="EB44" s="68">
        <f>IF(EA44=0,MAX(EB$2:EB43)+1,0)</f>
        <v>42</v>
      </c>
      <c r="EC44" s="5" t="str">
        <f t="shared" si="167"/>
        <v>Shieldwall</v>
      </c>
      <c r="ED44" s="5" t="str">
        <f t="shared" si="51"/>
        <v>Shieldwall</v>
      </c>
      <c r="EF44">
        <f t="shared" si="52"/>
        <v>42</v>
      </c>
      <c r="EG44" s="5" t="str">
        <f t="shared" si="53"/>
        <v>Shieldwall</v>
      </c>
      <c r="EH44" s="68">
        <f>COUNTIF(Builder!$K$14:$N$14,EG44)</f>
        <v>0</v>
      </c>
      <c r="EI44" s="68" t="str">
        <f>IF(EH44=1,Stats!$N59,"")</f>
        <v/>
      </c>
      <c r="EJ44" s="68" t="str">
        <f>IF(EH44=1,Stats!$O59,"")</f>
        <v/>
      </c>
      <c r="EK44" s="68" t="str">
        <f>IF(EH44=1,Stats!$P59,"")</f>
        <v/>
      </c>
      <c r="EL44" s="68" t="str">
        <f>IF(EH44=1,Stats!$Q59,"")</f>
        <v/>
      </c>
      <c r="EM44" s="68" t="str">
        <f>IF(EH44=1,Stats!$R59,"")</f>
        <v/>
      </c>
      <c r="EN44" s="68" t="str">
        <f>IF(EH44=1,Stats!$S59,"")</f>
        <v/>
      </c>
      <c r="EO44" s="68">
        <f t="shared" si="54"/>
        <v>0</v>
      </c>
      <c r="EP44">
        <f t="shared" si="55"/>
        <v>0</v>
      </c>
      <c r="EQ44" s="68">
        <f>IF(EP44=0,MAX(EQ$2:EQ43)+1,0)</f>
        <v>42</v>
      </c>
      <c r="ER44" s="5" t="str">
        <f t="shared" si="56"/>
        <v>Shieldwall</v>
      </c>
      <c r="ES44" s="5" t="str">
        <f t="shared" si="57"/>
        <v>Shieldwall</v>
      </c>
      <c r="EU44">
        <f t="shared" si="58"/>
        <v>42</v>
      </c>
      <c r="EV44" s="5" t="str">
        <f t="shared" si="59"/>
        <v>Shieldwall</v>
      </c>
      <c r="EW44" s="68">
        <f>COUNTIF(Builder!$K$15:$N$15,EV44)</f>
        <v>0</v>
      </c>
      <c r="EX44" s="68" t="str">
        <f>IF(EW44=1,Stats!$N59,"")</f>
        <v/>
      </c>
      <c r="EY44" s="68" t="str">
        <f>IF(EW44=1,Stats!$O59,"")</f>
        <v/>
      </c>
      <c r="EZ44" s="68" t="str">
        <f>IF(EW44=1,Stats!$P59,"")</f>
        <v/>
      </c>
      <c r="FA44" s="68" t="str">
        <f>IF(EW44=1,Stats!$Q59,"")</f>
        <v/>
      </c>
      <c r="FB44" s="68" t="str">
        <f>IF(EW44=1,Stats!$R59,"")</f>
        <v/>
      </c>
      <c r="FC44" s="68" t="str">
        <f>IF(EW44=1,Stats!$S59,"")</f>
        <v/>
      </c>
      <c r="FD44" s="68">
        <f t="shared" si="60"/>
        <v>0</v>
      </c>
      <c r="FE44">
        <f t="shared" si="61"/>
        <v>0</v>
      </c>
      <c r="FF44" s="68">
        <f>IF(FE44=0,MAX(FF$2:FF43)+1,0)</f>
        <v>42</v>
      </c>
      <c r="FG44" s="5" t="str">
        <f t="shared" si="62"/>
        <v>Shieldwall</v>
      </c>
      <c r="FH44" s="5" t="str">
        <f t="shared" si="63"/>
        <v>Shieldwall</v>
      </c>
      <c r="FJ44">
        <f t="shared" si="64"/>
        <v>42</v>
      </c>
      <c r="FK44" s="5" t="str">
        <f t="shared" si="65"/>
        <v>Shieldwall</v>
      </c>
      <c r="FL44" s="68">
        <f>COUNTIF(Builder!$K$16:$N$16,FK44)</f>
        <v>0</v>
      </c>
      <c r="FM44" s="68" t="str">
        <f>IF(FL44=1,Stats!$N59,"")</f>
        <v/>
      </c>
      <c r="FN44" s="68" t="str">
        <f>IF(FL44=1,Stats!$O59,"")</f>
        <v/>
      </c>
      <c r="FO44" s="68" t="str">
        <f>IF(FL44=1,Stats!$P59,"")</f>
        <v/>
      </c>
      <c r="FP44" s="68" t="str">
        <f>IF(FL44=1,Stats!$Q59,"")</f>
        <v/>
      </c>
      <c r="FQ44" s="68" t="str">
        <f>IF(FL44=1,Stats!$R59,"")</f>
        <v/>
      </c>
      <c r="FR44" s="68" t="str">
        <f>IF(FL44=1,Stats!$S59,"")</f>
        <v/>
      </c>
      <c r="FS44" s="68">
        <f t="shared" si="66"/>
        <v>0</v>
      </c>
      <c r="FT44">
        <f t="shared" si="67"/>
        <v>0</v>
      </c>
      <c r="FU44" s="68">
        <f>IF(FT44=0,MAX(FU$2:FU43)+1,0)</f>
        <v>42</v>
      </c>
      <c r="FV44" s="5" t="str">
        <f t="shared" si="68"/>
        <v>Shieldwall</v>
      </c>
      <c r="FW44" s="5" t="str">
        <f t="shared" si="69"/>
        <v>Shieldwall</v>
      </c>
      <c r="FY44">
        <f t="shared" si="168"/>
        <v>42</v>
      </c>
      <c r="FZ44" s="5" t="str">
        <f t="shared" si="169"/>
        <v>Shieldwall</v>
      </c>
      <c r="GA44" s="68">
        <f>COUNTIF(Builder!$K$17:$N$17,FZ44)</f>
        <v>0</v>
      </c>
      <c r="GB44" s="68" t="str">
        <f>IF(GA44=1,Stats!$N59,"")</f>
        <v/>
      </c>
      <c r="GC44" s="68" t="str">
        <f>IF(GA44=1,Stats!$O59,"")</f>
        <v/>
      </c>
      <c r="GD44" s="68" t="str">
        <f>IF(GA44=1,Stats!$P59,"")</f>
        <v/>
      </c>
      <c r="GE44" s="68" t="str">
        <f>IF(GA44=1,Stats!$Q59,"")</f>
        <v/>
      </c>
      <c r="GF44" s="68" t="str">
        <f>IF(GA44=1,Stats!$R59,"")</f>
        <v/>
      </c>
      <c r="GG44" s="68" t="str">
        <f>IF(GA44=1,Stats!$S59,"")</f>
        <v/>
      </c>
      <c r="GH44" s="68">
        <f t="shared" si="170"/>
        <v>0</v>
      </c>
      <c r="GI44">
        <f t="shared" si="171"/>
        <v>0</v>
      </c>
      <c r="GJ44" s="68">
        <f>IF(GI44=0,MAX(GJ$2:GJ43)+1,0)</f>
        <v>42</v>
      </c>
      <c r="GK44" s="5" t="str">
        <f t="shared" si="172"/>
        <v>Shieldwall</v>
      </c>
      <c r="GL44" s="5" t="str">
        <f t="shared" si="75"/>
        <v>Shieldwall</v>
      </c>
      <c r="GN44">
        <f t="shared" si="76"/>
        <v>42</v>
      </c>
      <c r="GO44" s="5" t="str">
        <f t="shared" si="77"/>
        <v>Shieldwall</v>
      </c>
      <c r="GP44" s="68">
        <f>COUNTIF(Builder!$K$18:$N$18,GO44)</f>
        <v>0</v>
      </c>
      <c r="GQ44" s="68" t="str">
        <f>IF(GP44=1,Stats!$N59,"")</f>
        <v/>
      </c>
      <c r="GR44" s="68" t="str">
        <f>IF(GP44=1,Stats!$O59,"")</f>
        <v/>
      </c>
      <c r="GS44" s="68" t="str">
        <f>IF(GP44=1,Stats!$P59,"")</f>
        <v/>
      </c>
      <c r="GT44" s="68" t="str">
        <f>IF(GP44=1,Stats!$Q59,"")</f>
        <v/>
      </c>
      <c r="GU44" s="68" t="str">
        <f>IF(GP44=1,Stats!$R59,"")</f>
        <v/>
      </c>
      <c r="GV44" s="68" t="str">
        <f>IF(GP44=1,Stats!$S59,"")</f>
        <v/>
      </c>
      <c r="GW44" s="68">
        <f t="shared" si="78"/>
        <v>0</v>
      </c>
      <c r="GX44">
        <f t="shared" si="79"/>
        <v>0</v>
      </c>
      <c r="GY44" s="68">
        <f>IF(GX44=0,MAX(GY$2:GY43)+1,0)</f>
        <v>42</v>
      </c>
      <c r="GZ44" s="5" t="str">
        <f t="shared" si="80"/>
        <v>Shieldwall</v>
      </c>
      <c r="HA44" s="5" t="str">
        <f t="shared" si="81"/>
        <v>Shieldwall</v>
      </c>
      <c r="HC44">
        <f t="shared" si="82"/>
        <v>42</v>
      </c>
      <c r="HD44" s="5" t="str">
        <f t="shared" si="83"/>
        <v>Shieldwall</v>
      </c>
      <c r="HE44" s="68">
        <f>COUNTIF(Builder!$K$19:$N$19,HD44)</f>
        <v>0</v>
      </c>
      <c r="HF44" s="68" t="str">
        <f>IF(HE44=1,Stats!$N59,"")</f>
        <v/>
      </c>
      <c r="HG44" s="68" t="str">
        <f>IF(HE44=1,Stats!$O59,"")</f>
        <v/>
      </c>
      <c r="HH44" s="68" t="str">
        <f>IF(HE44=1,Stats!$P59,"")</f>
        <v/>
      </c>
      <c r="HI44" s="68" t="str">
        <f>IF(HE44=1,Stats!$Q59,"")</f>
        <v/>
      </c>
      <c r="HJ44" s="68" t="str">
        <f>IF(HE44=1,Stats!$R59,"")</f>
        <v/>
      </c>
      <c r="HK44" s="68" t="str">
        <f>IF(HE44=1,Stats!$S59,"")</f>
        <v/>
      </c>
      <c r="HL44" s="68">
        <f t="shared" si="84"/>
        <v>0</v>
      </c>
      <c r="HM44">
        <f t="shared" si="85"/>
        <v>0</v>
      </c>
      <c r="HN44" s="68">
        <f>IF(HM44=0,MAX(HN$2:HN43)+1,0)</f>
        <v>42</v>
      </c>
      <c r="HO44" s="5" t="str">
        <f t="shared" si="86"/>
        <v>Shieldwall</v>
      </c>
      <c r="HP44" s="5" t="str">
        <f t="shared" si="87"/>
        <v>Shieldwall</v>
      </c>
      <c r="HR44">
        <f t="shared" si="88"/>
        <v>42</v>
      </c>
      <c r="HS44" s="5" t="str">
        <f t="shared" si="89"/>
        <v>Shieldwall</v>
      </c>
      <c r="HT44" s="68">
        <f>COUNTIF(Builder!$K$20:$N$20,HS44)</f>
        <v>0</v>
      </c>
      <c r="HU44" s="68" t="str">
        <f>IF(HT44=1,Stats!$N59,"")</f>
        <v/>
      </c>
      <c r="HV44" s="68" t="str">
        <f>IF(HT44=1,Stats!$O59,"")</f>
        <v/>
      </c>
      <c r="HW44" s="68" t="str">
        <f>IF(HT44=1,Stats!$P59,"")</f>
        <v/>
      </c>
      <c r="HX44" s="68" t="str">
        <f>IF(HT44=1,Stats!$Q59,"")</f>
        <v/>
      </c>
      <c r="HY44" s="68" t="str">
        <f>IF(HT44=1,Stats!$R59,"")</f>
        <v/>
      </c>
      <c r="HZ44" s="68" t="str">
        <f>IF(HT44=1,Stats!$S59,"")</f>
        <v/>
      </c>
      <c r="IA44" s="68">
        <f t="shared" si="90"/>
        <v>0</v>
      </c>
      <c r="IB44">
        <f t="shared" si="91"/>
        <v>0</v>
      </c>
      <c r="IC44" s="68">
        <f>IF(IB44=0,MAX(IC$2:IC43)+1,0)</f>
        <v>42</v>
      </c>
      <c r="ID44" s="5" t="str">
        <f t="shared" si="92"/>
        <v>Shieldwall</v>
      </c>
      <c r="IE44" s="5" t="str">
        <f t="shared" si="93"/>
        <v>Shieldwall</v>
      </c>
      <c r="IG44">
        <f t="shared" si="94"/>
        <v>42</v>
      </c>
      <c r="IH44" s="5" t="str">
        <f t="shared" si="95"/>
        <v>Shieldwall</v>
      </c>
      <c r="II44" s="68">
        <f>COUNTIF(Builder!$K$21:$N$21,IH44)</f>
        <v>0</v>
      </c>
      <c r="IJ44" s="68" t="str">
        <f>IF(II44=1,Stats!$N59,"")</f>
        <v/>
      </c>
      <c r="IK44" s="68" t="str">
        <f>IF(II44=1,Stats!$O59,"")</f>
        <v/>
      </c>
      <c r="IL44" s="68" t="str">
        <f>IF(II44=1,Stats!$P59,"")</f>
        <v/>
      </c>
      <c r="IM44" s="68" t="str">
        <f>IF(II44=1,Stats!$Q59,"")</f>
        <v/>
      </c>
      <c r="IN44" s="68" t="str">
        <f>IF(II44=1,Stats!$R59,"")</f>
        <v/>
      </c>
      <c r="IO44" s="68" t="str">
        <f>IF(II44=1,Stats!$S59,"")</f>
        <v/>
      </c>
      <c r="IP44" s="68">
        <f t="shared" si="96"/>
        <v>0</v>
      </c>
      <c r="IQ44">
        <f t="shared" si="97"/>
        <v>0</v>
      </c>
      <c r="IR44" s="68">
        <f>IF(IQ44=0,MAX(IR$2:IR43)+1,0)</f>
        <v>42</v>
      </c>
      <c r="IS44" s="5" t="str">
        <f t="shared" si="98"/>
        <v>Shieldwall</v>
      </c>
      <c r="IT44" s="5" t="str">
        <f t="shared" si="99"/>
        <v>Shieldwall</v>
      </c>
      <c r="IV44">
        <f t="shared" si="100"/>
        <v>42</v>
      </c>
      <c r="IW44" s="5" t="str">
        <f t="shared" si="101"/>
        <v>Shieldwall</v>
      </c>
      <c r="IX44" s="68">
        <f>COUNTIF(Builder!$K$22:$N$22,IW44)</f>
        <v>0</v>
      </c>
      <c r="IY44" s="68" t="str">
        <f>IF(IX44=1,Stats!$N59,"")</f>
        <v/>
      </c>
      <c r="IZ44" s="68" t="str">
        <f>IF(IX44=1,Stats!$O59,"")</f>
        <v/>
      </c>
      <c r="JA44" s="68" t="str">
        <f>IF(IX44=1,Stats!$P59,"")</f>
        <v/>
      </c>
      <c r="JB44" s="68" t="str">
        <f>IF(IX44=1,Stats!$Q59,"")</f>
        <v/>
      </c>
      <c r="JC44" s="68" t="str">
        <f>IF(IX44=1,Stats!$R59,"")</f>
        <v/>
      </c>
      <c r="JD44" s="68" t="str">
        <f>IF(IX44=1,Stats!$S59,"")</f>
        <v/>
      </c>
      <c r="JE44" s="68">
        <f t="shared" si="102"/>
        <v>0</v>
      </c>
      <c r="JF44">
        <f t="shared" si="103"/>
        <v>0</v>
      </c>
      <c r="JG44" s="68">
        <f>IF(JF44=0,MAX(JG$2:JG43)+1,0)</f>
        <v>42</v>
      </c>
      <c r="JH44" s="5" t="str">
        <f t="shared" si="104"/>
        <v>Shieldwall</v>
      </c>
      <c r="JI44" s="5" t="str">
        <f t="shared" si="105"/>
        <v>Shieldwall</v>
      </c>
      <c r="JK44">
        <f t="shared" si="106"/>
        <v>42</v>
      </c>
      <c r="JL44" s="5" t="str">
        <f t="shared" si="107"/>
        <v>Shieldwall</v>
      </c>
      <c r="JM44" s="68">
        <f>COUNTIF(Builder!$K$23:$N$23,JL44)</f>
        <v>0</v>
      </c>
      <c r="JN44" s="68" t="str">
        <f>IF(JM44=1,Stats!$N59,"")</f>
        <v/>
      </c>
      <c r="JO44" s="68" t="str">
        <f>IF(JM44=1,Stats!$O59,"")</f>
        <v/>
      </c>
      <c r="JP44" s="68" t="str">
        <f>IF(JM44=1,Stats!$P59,"")</f>
        <v/>
      </c>
      <c r="JQ44" s="68" t="str">
        <f>IF(JM44=1,Stats!$Q59,"")</f>
        <v/>
      </c>
      <c r="JR44" s="68" t="str">
        <f>IF(JM44=1,Stats!$R59,"")</f>
        <v/>
      </c>
      <c r="JS44" s="68" t="str">
        <f>IF(JM44=1,Stats!$S59,"")</f>
        <v/>
      </c>
      <c r="JT44" s="68">
        <f t="shared" si="108"/>
        <v>0</v>
      </c>
      <c r="JU44">
        <f t="shared" si="109"/>
        <v>0</v>
      </c>
      <c r="JV44" s="68">
        <f>IF(JU44=0,MAX(JV$2:JV43)+1,0)</f>
        <v>42</v>
      </c>
      <c r="JW44" s="5" t="str">
        <f t="shared" si="110"/>
        <v>Shieldwall</v>
      </c>
      <c r="JX44" s="5" t="str">
        <f t="shared" si="111"/>
        <v>Shieldwall</v>
      </c>
      <c r="JZ44">
        <f t="shared" si="112"/>
        <v>42</v>
      </c>
      <c r="KA44" s="5" t="str">
        <f t="shared" si="113"/>
        <v>Shieldwall</v>
      </c>
      <c r="KB44" s="68">
        <f>COUNTIF(Builder!$K$24:$N$24,KA44)</f>
        <v>0</v>
      </c>
      <c r="KC44" s="68" t="str">
        <f>IF(KB44=1,Stats!$N59,"")</f>
        <v/>
      </c>
      <c r="KD44" s="68" t="str">
        <f>IF(KB44=1,Stats!$O59,"")</f>
        <v/>
      </c>
      <c r="KE44" s="68" t="str">
        <f>IF(KB44=1,Stats!$P59,"")</f>
        <v/>
      </c>
      <c r="KF44" s="68" t="str">
        <f>IF(KB44=1,Stats!$Q59,"")</f>
        <v/>
      </c>
      <c r="KG44" s="68" t="str">
        <f>IF(KB44=1,Stats!$R59,"")</f>
        <v/>
      </c>
      <c r="KH44" s="68" t="str">
        <f>IF(KB44=1,Stats!$S59,"")</f>
        <v/>
      </c>
      <c r="KI44" s="68">
        <f t="shared" si="114"/>
        <v>0</v>
      </c>
      <c r="KJ44">
        <f t="shared" si="115"/>
        <v>0</v>
      </c>
      <c r="KK44" s="68">
        <f>IF(KJ44=0,MAX(KK$2:KK43)+1,0)</f>
        <v>42</v>
      </c>
      <c r="KL44" s="5" t="str">
        <f t="shared" si="116"/>
        <v>Shieldwall</v>
      </c>
      <c r="KM44" s="5" t="str">
        <f t="shared" si="117"/>
        <v>Shieldwall</v>
      </c>
      <c r="KO44">
        <f t="shared" si="118"/>
        <v>42</v>
      </c>
      <c r="KP44" s="5" t="str">
        <f t="shared" si="119"/>
        <v>Shieldwall</v>
      </c>
      <c r="KQ44" s="68">
        <f>COUNTIF(Builder!$K$25:$N$25,KP44)</f>
        <v>0</v>
      </c>
      <c r="KR44" s="68" t="str">
        <f>IF(KQ44=1,Stats!$N59,"")</f>
        <v/>
      </c>
      <c r="KS44" s="68" t="str">
        <f>IF(KQ44=1,Stats!$O59,"")</f>
        <v/>
      </c>
      <c r="KT44" s="68" t="str">
        <f>IF(KQ44=1,Stats!$P59,"")</f>
        <v/>
      </c>
      <c r="KU44" s="68" t="str">
        <f>IF(KQ44=1,Stats!$Q59,"")</f>
        <v/>
      </c>
      <c r="KV44" s="68" t="str">
        <f>IF(KQ44=1,Stats!$R59,"")</f>
        <v/>
      </c>
      <c r="KW44" s="68" t="str">
        <f>IF(KQ44=1,Stats!$S59,"")</f>
        <v/>
      </c>
      <c r="KX44" s="68">
        <f t="shared" si="120"/>
        <v>0</v>
      </c>
      <c r="KY44">
        <f t="shared" si="121"/>
        <v>0</v>
      </c>
      <c r="KZ44" s="68">
        <f>IF(KY44=0,MAX(KZ$2:KZ43)+1,0)</f>
        <v>42</v>
      </c>
      <c r="LA44" s="5" t="str">
        <f t="shared" si="122"/>
        <v>Shieldwall</v>
      </c>
      <c r="LB44" s="5" t="str">
        <f t="shared" si="123"/>
        <v>Shieldwall</v>
      </c>
      <c r="LD44">
        <f t="shared" si="124"/>
        <v>42</v>
      </c>
      <c r="LE44" s="5" t="str">
        <f t="shared" si="125"/>
        <v>Shieldwall</v>
      </c>
      <c r="LF44" s="68">
        <f>COUNTIF(Builder!$K$26:$N$26,LE44)</f>
        <v>0</v>
      </c>
      <c r="LG44" s="68" t="str">
        <f>IF(LF44=1,Stats!$N59,"")</f>
        <v/>
      </c>
      <c r="LH44" s="68" t="str">
        <f>IF(LF44=1,Stats!$O59,"")</f>
        <v/>
      </c>
      <c r="LI44" s="68" t="str">
        <f>IF(LF44=1,Stats!$P59,"")</f>
        <v/>
      </c>
      <c r="LJ44" s="68" t="str">
        <f>IF(LF44=1,Stats!$Q59,"")</f>
        <v/>
      </c>
      <c r="LK44" s="68" t="str">
        <f>IF(LF44=1,Stats!$R59,"")</f>
        <v/>
      </c>
      <c r="LL44" s="68" t="str">
        <f>IF(LF44=1,Stats!$S59,"")</f>
        <v/>
      </c>
      <c r="LM44" s="68">
        <f t="shared" si="126"/>
        <v>0</v>
      </c>
      <c r="LN44">
        <f t="shared" si="127"/>
        <v>0</v>
      </c>
      <c r="LO44" s="68">
        <f>IF(LN44=0,MAX(LO$2:LO43)+1,0)</f>
        <v>42</v>
      </c>
      <c r="LP44" s="5" t="str">
        <f t="shared" si="128"/>
        <v>Shieldwall</v>
      </c>
      <c r="LQ44" s="5" t="str">
        <f t="shared" si="129"/>
        <v>Shieldwall</v>
      </c>
      <c r="LS44">
        <f t="shared" si="130"/>
        <v>42</v>
      </c>
      <c r="LT44" s="5" t="str">
        <f t="shared" si="131"/>
        <v>Shieldwall</v>
      </c>
      <c r="LU44" s="68">
        <f>COUNTIF(Builder!$K$27:$N$27,LT44)</f>
        <v>0</v>
      </c>
      <c r="LV44" s="68" t="str">
        <f>IF(LU44=1,Stats!$N59,"")</f>
        <v/>
      </c>
      <c r="LW44" s="68" t="str">
        <f>IF(LU44=1,Stats!$O59,"")</f>
        <v/>
      </c>
      <c r="LX44" s="68" t="str">
        <f>IF(LU44=1,Stats!$P59,"")</f>
        <v/>
      </c>
      <c r="LY44" s="68" t="str">
        <f>IF(LU44=1,Stats!$Q59,"")</f>
        <v/>
      </c>
      <c r="LZ44" s="68" t="str">
        <f>IF(LU44=1,Stats!$R59,"")</f>
        <v/>
      </c>
      <c r="MA44" s="68" t="str">
        <f>IF(LU44=1,Stats!$S59,"")</f>
        <v/>
      </c>
      <c r="MB44" s="68">
        <f t="shared" si="132"/>
        <v>0</v>
      </c>
      <c r="MC44">
        <f t="shared" si="133"/>
        <v>0</v>
      </c>
      <c r="MD44" s="68">
        <f>IF(MC44=0,MAX(MD$2:MD43)+1,0)</f>
        <v>42</v>
      </c>
      <c r="ME44" s="5" t="str">
        <f t="shared" si="134"/>
        <v>Shieldwall</v>
      </c>
      <c r="MF44" s="5" t="str">
        <f t="shared" si="135"/>
        <v>Shieldwall</v>
      </c>
      <c r="MH44">
        <f t="shared" si="136"/>
        <v>42</v>
      </c>
      <c r="MI44" s="5" t="str">
        <f t="shared" si="137"/>
        <v>Shieldwall</v>
      </c>
      <c r="MJ44" s="68">
        <f>COUNTIF(Builder!$K$28:$N$28,MI44)</f>
        <v>0</v>
      </c>
      <c r="MK44" s="68" t="str">
        <f>IF(MJ44=1,Stats!$N59,"")</f>
        <v/>
      </c>
      <c r="ML44" s="68" t="str">
        <f>IF(MJ44=1,Stats!$O59,"")</f>
        <v/>
      </c>
      <c r="MM44" s="68" t="str">
        <f>IF(MJ44=1,Stats!$P59,"")</f>
        <v/>
      </c>
      <c r="MN44" s="68" t="str">
        <f>IF(MJ44=1,Stats!$Q59,"")</f>
        <v/>
      </c>
      <c r="MO44" s="68" t="str">
        <f>IF(MJ44=1,Stats!$R59,"")</f>
        <v/>
      </c>
      <c r="MP44" s="68" t="str">
        <f>IF(MJ44=1,Stats!$S59,"")</f>
        <v/>
      </c>
      <c r="MQ44" s="68">
        <f t="shared" si="138"/>
        <v>0</v>
      </c>
      <c r="MR44">
        <f t="shared" si="139"/>
        <v>0</v>
      </c>
      <c r="MS44" s="68">
        <f>IF(MR44=0,MAX(MS$2:MS43)+1,0)</f>
        <v>42</v>
      </c>
      <c r="MT44" s="5" t="str">
        <f t="shared" si="140"/>
        <v>Shieldwall</v>
      </c>
      <c r="MU44" s="5" t="str">
        <f t="shared" si="141"/>
        <v>Shieldwall</v>
      </c>
      <c r="MW44">
        <f t="shared" si="142"/>
        <v>42</v>
      </c>
      <c r="MX44" s="5" t="str">
        <f t="shared" si="143"/>
        <v>Shieldwall</v>
      </c>
      <c r="MY44" s="68">
        <f>COUNTIF(Builder!$K$29:$N$29,MX44)</f>
        <v>0</v>
      </c>
      <c r="MZ44" s="68" t="str">
        <f>IF(MY44=1,Stats!$N59,"")</f>
        <v/>
      </c>
      <c r="NA44" s="68" t="str">
        <f>IF(MY44=1,Stats!$O59,"")</f>
        <v/>
      </c>
      <c r="NB44" s="68" t="str">
        <f>IF(MY44=1,Stats!$P59,"")</f>
        <v/>
      </c>
      <c r="NC44" s="68" t="str">
        <f>IF(MY44=1,Stats!$Q59,"")</f>
        <v/>
      </c>
      <c r="ND44" s="68" t="str">
        <f>IF(MY44=1,Stats!$R59,"")</f>
        <v/>
      </c>
      <c r="NE44" s="68" t="str">
        <f>IF(MY44=1,Stats!$S59,"")</f>
        <v/>
      </c>
      <c r="NF44" s="68">
        <f t="shared" si="144"/>
        <v>0</v>
      </c>
      <c r="NG44">
        <f t="shared" si="145"/>
        <v>0</v>
      </c>
      <c r="NH44" s="68">
        <f>IF(NG44=0,MAX(NH$2:NH43)+1,0)</f>
        <v>42</v>
      </c>
      <c r="NI44" s="5" t="str">
        <f t="shared" si="146"/>
        <v>Shieldwall</v>
      </c>
      <c r="NJ44" s="5" t="str">
        <f t="shared" si="147"/>
        <v>Shieldwall</v>
      </c>
    </row>
    <row r="45" spans="1:374" ht="15" x14ac:dyDescent="0.3">
      <c r="A45">
        <v>43</v>
      </c>
      <c r="B45" s="5" t="s">
        <v>45</v>
      </c>
      <c r="C45" s="68">
        <f>COUNTIF(Builder!$K$5:$N$5,B45)</f>
        <v>0</v>
      </c>
      <c r="D45" s="68" t="str">
        <f>IF(C45=1,Stats!$N60,"")</f>
        <v/>
      </c>
      <c r="E45" s="68" t="str">
        <f>IF(C45=1,Stats!$O60,"")</f>
        <v/>
      </c>
      <c r="F45" s="68" t="str">
        <f>IF(C45=1,Stats!$P60,"")</f>
        <v/>
      </c>
      <c r="G45" s="68" t="str">
        <f>IF(C45=1,Stats!$Q60,"")</f>
        <v/>
      </c>
      <c r="H45" s="68" t="str">
        <f>IF(C45=1,Stats!$R60,"")</f>
        <v/>
      </c>
      <c r="I45" s="68" t="str">
        <f>IF(C45=1,Stats!$S60,"")</f>
        <v/>
      </c>
      <c r="J45" s="68">
        <f t="shared" si="0"/>
        <v>0</v>
      </c>
      <c r="K45">
        <f t="shared" si="1"/>
        <v>0</v>
      </c>
      <c r="L45" s="68">
        <f>IF(K45=0,MAX($L$2:L44)+1,0)</f>
        <v>43</v>
      </c>
      <c r="M45" s="5" t="str">
        <f t="shared" si="2"/>
        <v>Shooting</v>
      </c>
      <c r="N45" s="5" t="str">
        <f t="shared" si="3"/>
        <v>Shooting</v>
      </c>
      <c r="O45" s="5"/>
      <c r="P45">
        <f t="shared" si="4"/>
        <v>43</v>
      </c>
      <c r="Q45" s="5" t="str">
        <f t="shared" si="5"/>
        <v>Shooting</v>
      </c>
      <c r="R45" s="68">
        <f>COUNTIF(Builder!$K$6:$N$6,Q45)</f>
        <v>0</v>
      </c>
      <c r="S45" s="68" t="str">
        <f>IF(R45=1,Stats!$N60,"")</f>
        <v/>
      </c>
      <c r="T45" s="68" t="str">
        <f>IF(R45=1,Stats!$O60,"")</f>
        <v/>
      </c>
      <c r="U45" s="68" t="str">
        <f>IF(R45=1,Stats!$P60,"")</f>
        <v/>
      </c>
      <c r="V45" s="68" t="str">
        <f>IF(R45=1,Stats!$Q60,"")</f>
        <v/>
      </c>
      <c r="W45" s="68" t="str">
        <f>IF(R45=1,Stats!$R60,"")</f>
        <v/>
      </c>
      <c r="X45" s="68" t="str">
        <f>IF(R45=1,Stats!$S60,"")</f>
        <v/>
      </c>
      <c r="Y45" s="68">
        <f t="shared" si="6"/>
        <v>0</v>
      </c>
      <c r="Z45">
        <f t="shared" si="7"/>
        <v>0</v>
      </c>
      <c r="AA45" s="68">
        <f>IF(Z45=0,MAX($AA$2:AA44)+1,0)</f>
        <v>43</v>
      </c>
      <c r="AB45" s="5" t="str">
        <f t="shared" si="8"/>
        <v>Shooting</v>
      </c>
      <c r="AC45" s="5" t="str">
        <f t="shared" si="9"/>
        <v>Shooting</v>
      </c>
      <c r="AD45" s="5"/>
      <c r="AE45">
        <f t="shared" si="10"/>
        <v>43</v>
      </c>
      <c r="AF45" s="5" t="str">
        <f t="shared" si="11"/>
        <v>Shooting</v>
      </c>
      <c r="AG45" s="68">
        <f>COUNTIF(Builder!$K$7:$N$7,AF45)</f>
        <v>0</v>
      </c>
      <c r="AH45" s="68" t="str">
        <f>IF(AG45=1,Stats!$N60,"")</f>
        <v/>
      </c>
      <c r="AI45" s="68" t="str">
        <f>IF(AG45=1,Stats!$O60,"")</f>
        <v/>
      </c>
      <c r="AJ45" s="68" t="str">
        <f>IF(AG45=1,Stats!$P60,"")</f>
        <v/>
      </c>
      <c r="AK45" s="68" t="str">
        <f>IF(AG45=1,Stats!$Q60,"")</f>
        <v/>
      </c>
      <c r="AL45" s="68" t="str">
        <f>IF(AG45=1,Stats!$R60,"")</f>
        <v/>
      </c>
      <c r="AM45" s="68" t="str">
        <f>IF(AG45=1,Stats!$S60,"")</f>
        <v/>
      </c>
      <c r="AN45" s="68">
        <f t="shared" si="12"/>
        <v>0</v>
      </c>
      <c r="AO45">
        <f t="shared" si="13"/>
        <v>0</v>
      </c>
      <c r="AP45" s="68">
        <f>IF(AO45=0,MAX($AP$2:AP44)+1,0)</f>
        <v>43</v>
      </c>
      <c r="AQ45" s="5" t="str">
        <f t="shared" si="14"/>
        <v>Shooting</v>
      </c>
      <c r="AR45" s="5" t="str">
        <f t="shared" si="15"/>
        <v>Shooting</v>
      </c>
      <c r="AS45" s="5"/>
      <c r="AT45">
        <f t="shared" si="16"/>
        <v>43</v>
      </c>
      <c r="AU45" s="5" t="str">
        <f t="shared" si="17"/>
        <v>Shooting</v>
      </c>
      <c r="AV45" s="68">
        <f>COUNTIF(Builder!$K$8:$N$8,AU45)</f>
        <v>0</v>
      </c>
      <c r="AW45" s="68" t="str">
        <f>IF(AV45=1,Stats!$N60,"")</f>
        <v/>
      </c>
      <c r="AX45" s="68" t="str">
        <f>IF(AV45=1,Stats!$O60,"")</f>
        <v/>
      </c>
      <c r="AY45" s="68" t="str">
        <f>IF(AV45=1,Stats!$P60,"")</f>
        <v/>
      </c>
      <c r="AZ45" s="68" t="str">
        <f>IF(AV45=1,Stats!$Q60,"")</f>
        <v/>
      </c>
      <c r="BA45" s="68" t="str">
        <f>IF(AV45=1,Stats!$R60,"")</f>
        <v/>
      </c>
      <c r="BB45" s="68" t="str">
        <f>IF(AV45=1,Stats!$S60,"")</f>
        <v/>
      </c>
      <c r="BC45" s="68">
        <f t="shared" si="18"/>
        <v>0</v>
      </c>
      <c r="BD45">
        <f t="shared" si="19"/>
        <v>0</v>
      </c>
      <c r="BE45" s="68">
        <f>IF(BD45=0,MAX($BE$2:BE44)+1,0)</f>
        <v>43</v>
      </c>
      <c r="BF45" s="5" t="str">
        <f t="shared" si="20"/>
        <v>Shooting</v>
      </c>
      <c r="BG45" s="5" t="str">
        <f t="shared" si="21"/>
        <v>Shooting</v>
      </c>
      <c r="BH45" s="5"/>
      <c r="BI45">
        <f t="shared" si="148"/>
        <v>43</v>
      </c>
      <c r="BJ45" s="5" t="str">
        <f t="shared" si="149"/>
        <v>Shooting</v>
      </c>
      <c r="BK45" s="68">
        <f>COUNTIF(Builder!$K$9:$N$9,BJ45)</f>
        <v>0</v>
      </c>
      <c r="BL45" s="68" t="str">
        <f>IF(BK45=1,Stats!$N60,"")</f>
        <v/>
      </c>
      <c r="BM45" s="68" t="str">
        <f>IF(BK45=1,Stats!$O60,"")</f>
        <v/>
      </c>
      <c r="BN45" s="68" t="str">
        <f>IF(BK45=1,Stats!$P60,"")</f>
        <v/>
      </c>
      <c r="BO45" s="68" t="str">
        <f>IF(BK45=1,Stats!$Q60,"")</f>
        <v/>
      </c>
      <c r="BP45" s="68" t="str">
        <f>IF(BK45=1,Stats!$R60,"")</f>
        <v/>
      </c>
      <c r="BQ45" s="68" t="str">
        <f>IF(BK45=1,Stats!$S60,"")</f>
        <v/>
      </c>
      <c r="BR45" s="68">
        <f t="shared" si="150"/>
        <v>0</v>
      </c>
      <c r="BS45">
        <f t="shared" si="151"/>
        <v>0</v>
      </c>
      <c r="BT45" s="68">
        <f>IF(BS45=0,MAX(BT$2:BT44)+1,0)</f>
        <v>43</v>
      </c>
      <c r="BU45" s="5" t="str">
        <f t="shared" si="152"/>
        <v>Shooting</v>
      </c>
      <c r="BV45" s="5" t="str">
        <f t="shared" si="27"/>
        <v>Shooting</v>
      </c>
      <c r="BX45">
        <f t="shared" si="153"/>
        <v>43</v>
      </c>
      <c r="BY45" s="5" t="str">
        <f t="shared" si="154"/>
        <v>Shooting</v>
      </c>
      <c r="BZ45" s="68">
        <f>COUNTIF(Builder!$K$10:$N$10,BY45)</f>
        <v>0</v>
      </c>
      <c r="CA45" s="68" t="str">
        <f>IF(BZ45=1,Stats!$N60,"")</f>
        <v/>
      </c>
      <c r="CB45" s="68" t="str">
        <f>IF(BZ45=1,Stats!$O60,"")</f>
        <v/>
      </c>
      <c r="CC45" s="68" t="str">
        <f>IF(BZ45=1,Stats!$P60,"")</f>
        <v/>
      </c>
      <c r="CD45" s="68" t="str">
        <f>IF(BZ45=1,Stats!$Q60,"")</f>
        <v/>
      </c>
      <c r="CE45" s="68" t="str">
        <f>IF(BZ45=1,Stats!$R60,"")</f>
        <v/>
      </c>
      <c r="CF45" s="68" t="str">
        <f>IF(BZ45=1,Stats!$S60,"")</f>
        <v/>
      </c>
      <c r="CG45" s="68">
        <f t="shared" si="155"/>
        <v>0</v>
      </c>
      <c r="CH45">
        <f t="shared" si="156"/>
        <v>0</v>
      </c>
      <c r="CI45" s="68">
        <f>IF(CH45=0,MAX(CI$2:CI44)+1,0)</f>
        <v>43</v>
      </c>
      <c r="CJ45" s="5" t="str">
        <f t="shared" si="157"/>
        <v>Shooting</v>
      </c>
      <c r="CK45" s="5" t="str">
        <f t="shared" si="33"/>
        <v>Shooting</v>
      </c>
      <c r="CM45">
        <f t="shared" si="34"/>
        <v>43</v>
      </c>
      <c r="CN45" s="5" t="str">
        <f t="shared" si="35"/>
        <v>Shooting</v>
      </c>
      <c r="CO45" s="68">
        <f>COUNTIF(Builder!$K$11:$N$11,CN45)</f>
        <v>0</v>
      </c>
      <c r="CP45" s="68" t="str">
        <f>IF(CO45=1,Stats!$N60,"")</f>
        <v/>
      </c>
      <c r="CQ45" s="68" t="str">
        <f>IF(CO45=1,Stats!$O60,"")</f>
        <v/>
      </c>
      <c r="CR45" s="68" t="str">
        <f>IF(CO45=1,Stats!$P60,"")</f>
        <v/>
      </c>
      <c r="CS45" s="68" t="str">
        <f>IF(CO45=1,Stats!$Q60,"")</f>
        <v/>
      </c>
      <c r="CT45" s="68" t="str">
        <f>IF(CO45=1,Stats!$R60,"")</f>
        <v/>
      </c>
      <c r="CU45" s="68" t="str">
        <f>IF(CO45=1,Stats!$S60,"")</f>
        <v/>
      </c>
      <c r="CV45" s="68">
        <f t="shared" si="36"/>
        <v>0</v>
      </c>
      <c r="CW45">
        <f t="shared" si="37"/>
        <v>0</v>
      </c>
      <c r="CX45" s="68">
        <f>IF(CW45=0,MAX(CX$2:CX44)+1,0)</f>
        <v>43</v>
      </c>
      <c r="CY45" s="5" t="str">
        <f t="shared" si="38"/>
        <v>Shooting</v>
      </c>
      <c r="CZ45" s="5" t="str">
        <f t="shared" si="39"/>
        <v>Shooting</v>
      </c>
      <c r="DB45">
        <f t="shared" si="158"/>
        <v>43</v>
      </c>
      <c r="DC45" s="5" t="str">
        <f t="shared" si="159"/>
        <v>Shooting</v>
      </c>
      <c r="DD45" s="68">
        <f>COUNTIF(Builder!$K$12:$N$12,DC45)</f>
        <v>0</v>
      </c>
      <c r="DE45" s="68" t="str">
        <f>IF(DD45=1,Stats!$N60,"")</f>
        <v/>
      </c>
      <c r="DF45" s="68" t="str">
        <f>IF(DD45=1,Stats!$O60,"")</f>
        <v/>
      </c>
      <c r="DG45" s="68" t="str">
        <f>IF(DD45=1,Stats!$P60,"")</f>
        <v/>
      </c>
      <c r="DH45" s="68" t="str">
        <f>IF(DD45=1,Stats!$Q60,"")</f>
        <v/>
      </c>
      <c r="DI45" s="68" t="str">
        <f>IF(DD45=1,Stats!$R60,"")</f>
        <v/>
      </c>
      <c r="DJ45" s="68" t="str">
        <f>IF(DD45=1,Stats!$S60,"")</f>
        <v/>
      </c>
      <c r="DK45" s="68">
        <f t="shared" si="160"/>
        <v>0</v>
      </c>
      <c r="DL45">
        <f t="shared" si="161"/>
        <v>0</v>
      </c>
      <c r="DM45" s="68">
        <f>IF(DL45=0,MAX(DM$2:DM44)+1,0)</f>
        <v>43</v>
      </c>
      <c r="DN45" s="5" t="str">
        <f t="shared" si="162"/>
        <v>Shooting</v>
      </c>
      <c r="DO45" s="5" t="str">
        <f t="shared" si="45"/>
        <v>Shooting</v>
      </c>
      <c r="DQ45">
        <f t="shared" si="163"/>
        <v>43</v>
      </c>
      <c r="DR45" s="5" t="str">
        <f t="shared" si="164"/>
        <v>Shooting</v>
      </c>
      <c r="DS45" s="68">
        <f>COUNTIF(Builder!$K$13:$N$13,DR45)</f>
        <v>0</v>
      </c>
      <c r="DT45" s="68" t="str">
        <f>IF(DS45=1,Stats!$N60,"")</f>
        <v/>
      </c>
      <c r="DU45" s="68" t="str">
        <f>IF(DS45=1,Stats!$O60,"")</f>
        <v/>
      </c>
      <c r="DV45" s="68" t="str">
        <f>IF(DS45=1,Stats!$P60,"")</f>
        <v/>
      </c>
      <c r="DW45" s="68" t="str">
        <f>IF(DS45=1,Stats!$Q60,"")</f>
        <v/>
      </c>
      <c r="DX45" s="68" t="str">
        <f>IF(DS45=1,Stats!$R60,"")</f>
        <v/>
      </c>
      <c r="DY45" s="68" t="str">
        <f>IF(DS45=1,Stats!$S60,"")</f>
        <v/>
      </c>
      <c r="DZ45" s="68">
        <f t="shared" si="165"/>
        <v>0</v>
      </c>
      <c r="EA45">
        <f t="shared" si="166"/>
        <v>0</v>
      </c>
      <c r="EB45" s="68">
        <f>IF(EA45=0,MAX(EB$2:EB44)+1,0)</f>
        <v>43</v>
      </c>
      <c r="EC45" s="5" t="str">
        <f t="shared" si="167"/>
        <v>Shooting</v>
      </c>
      <c r="ED45" s="5" t="str">
        <f t="shared" si="51"/>
        <v>Shooting</v>
      </c>
      <c r="EF45">
        <f t="shared" si="52"/>
        <v>43</v>
      </c>
      <c r="EG45" s="5" t="str">
        <f t="shared" si="53"/>
        <v>Shooting</v>
      </c>
      <c r="EH45" s="68">
        <f>COUNTIF(Builder!$K$14:$N$14,EG45)</f>
        <v>0</v>
      </c>
      <c r="EI45" s="68" t="str">
        <f>IF(EH45=1,Stats!$N60,"")</f>
        <v/>
      </c>
      <c r="EJ45" s="68" t="str">
        <f>IF(EH45=1,Stats!$O60,"")</f>
        <v/>
      </c>
      <c r="EK45" s="68" t="str">
        <f>IF(EH45=1,Stats!$P60,"")</f>
        <v/>
      </c>
      <c r="EL45" s="68" t="str">
        <f>IF(EH45=1,Stats!$Q60,"")</f>
        <v/>
      </c>
      <c r="EM45" s="68" t="str">
        <f>IF(EH45=1,Stats!$R60,"")</f>
        <v/>
      </c>
      <c r="EN45" s="68" t="str">
        <f>IF(EH45=1,Stats!$S60,"")</f>
        <v/>
      </c>
      <c r="EO45" s="68">
        <f t="shared" si="54"/>
        <v>0</v>
      </c>
      <c r="EP45">
        <f t="shared" si="55"/>
        <v>0</v>
      </c>
      <c r="EQ45" s="68">
        <f>IF(EP45=0,MAX(EQ$2:EQ44)+1,0)</f>
        <v>43</v>
      </c>
      <c r="ER45" s="5" t="str">
        <f t="shared" si="56"/>
        <v>Shooting</v>
      </c>
      <c r="ES45" s="5" t="str">
        <f t="shared" si="57"/>
        <v>Shooting</v>
      </c>
      <c r="EU45">
        <f t="shared" si="58"/>
        <v>43</v>
      </c>
      <c r="EV45" s="5" t="str">
        <f t="shared" si="59"/>
        <v>Shooting</v>
      </c>
      <c r="EW45" s="68">
        <f>COUNTIF(Builder!$K$15:$N$15,EV45)</f>
        <v>0</v>
      </c>
      <c r="EX45" s="68" t="str">
        <f>IF(EW45=1,Stats!$N60,"")</f>
        <v/>
      </c>
      <c r="EY45" s="68" t="str">
        <f>IF(EW45=1,Stats!$O60,"")</f>
        <v/>
      </c>
      <c r="EZ45" s="68" t="str">
        <f>IF(EW45=1,Stats!$P60,"")</f>
        <v/>
      </c>
      <c r="FA45" s="68" t="str">
        <f>IF(EW45=1,Stats!$Q60,"")</f>
        <v/>
      </c>
      <c r="FB45" s="68" t="str">
        <f>IF(EW45=1,Stats!$R60,"")</f>
        <v/>
      </c>
      <c r="FC45" s="68" t="str">
        <f>IF(EW45=1,Stats!$S60,"")</f>
        <v/>
      </c>
      <c r="FD45" s="68">
        <f t="shared" si="60"/>
        <v>0</v>
      </c>
      <c r="FE45">
        <f t="shared" si="61"/>
        <v>0</v>
      </c>
      <c r="FF45" s="68">
        <f>IF(FE45=0,MAX(FF$2:FF44)+1,0)</f>
        <v>43</v>
      </c>
      <c r="FG45" s="5" t="str">
        <f t="shared" si="62"/>
        <v>Shooting</v>
      </c>
      <c r="FH45" s="5" t="str">
        <f t="shared" si="63"/>
        <v>Shooting</v>
      </c>
      <c r="FJ45">
        <f t="shared" si="64"/>
        <v>43</v>
      </c>
      <c r="FK45" s="5" t="str">
        <f t="shared" si="65"/>
        <v>Shooting</v>
      </c>
      <c r="FL45" s="68">
        <f>COUNTIF(Builder!$K$16:$N$16,FK45)</f>
        <v>0</v>
      </c>
      <c r="FM45" s="68" t="str">
        <f>IF(FL45=1,Stats!$N60,"")</f>
        <v/>
      </c>
      <c r="FN45" s="68" t="str">
        <f>IF(FL45=1,Stats!$O60,"")</f>
        <v/>
      </c>
      <c r="FO45" s="68" t="str">
        <f>IF(FL45=1,Stats!$P60,"")</f>
        <v/>
      </c>
      <c r="FP45" s="68" t="str">
        <f>IF(FL45=1,Stats!$Q60,"")</f>
        <v/>
      </c>
      <c r="FQ45" s="68" t="str">
        <f>IF(FL45=1,Stats!$R60,"")</f>
        <v/>
      </c>
      <c r="FR45" s="68" t="str">
        <f>IF(FL45=1,Stats!$S60,"")</f>
        <v/>
      </c>
      <c r="FS45" s="68">
        <f t="shared" si="66"/>
        <v>0</v>
      </c>
      <c r="FT45">
        <f t="shared" si="67"/>
        <v>0</v>
      </c>
      <c r="FU45" s="68">
        <f>IF(FT45=0,MAX(FU$2:FU44)+1,0)</f>
        <v>43</v>
      </c>
      <c r="FV45" s="5" t="str">
        <f t="shared" si="68"/>
        <v>Shooting</v>
      </c>
      <c r="FW45" s="5" t="str">
        <f t="shared" si="69"/>
        <v>Shooting</v>
      </c>
      <c r="FY45">
        <f t="shared" si="168"/>
        <v>43</v>
      </c>
      <c r="FZ45" s="5" t="str">
        <f t="shared" si="169"/>
        <v>Shooting</v>
      </c>
      <c r="GA45" s="68">
        <f>COUNTIF(Builder!$K$17:$N$17,FZ45)</f>
        <v>0</v>
      </c>
      <c r="GB45" s="68" t="str">
        <f>IF(GA45=1,Stats!$N60,"")</f>
        <v/>
      </c>
      <c r="GC45" s="68" t="str">
        <f>IF(GA45=1,Stats!$O60,"")</f>
        <v/>
      </c>
      <c r="GD45" s="68" t="str">
        <f>IF(GA45=1,Stats!$P60,"")</f>
        <v/>
      </c>
      <c r="GE45" s="68" t="str">
        <f>IF(GA45=1,Stats!$Q60,"")</f>
        <v/>
      </c>
      <c r="GF45" s="68" t="str">
        <f>IF(GA45=1,Stats!$R60,"")</f>
        <v/>
      </c>
      <c r="GG45" s="68" t="str">
        <f>IF(GA45=1,Stats!$S60,"")</f>
        <v/>
      </c>
      <c r="GH45" s="68">
        <f t="shared" si="170"/>
        <v>0</v>
      </c>
      <c r="GI45">
        <f t="shared" si="171"/>
        <v>0</v>
      </c>
      <c r="GJ45" s="68">
        <f>IF(GI45=0,MAX(GJ$2:GJ44)+1,0)</f>
        <v>43</v>
      </c>
      <c r="GK45" s="5" t="str">
        <f t="shared" si="172"/>
        <v>Shooting</v>
      </c>
      <c r="GL45" s="5" t="str">
        <f t="shared" si="75"/>
        <v>Shooting</v>
      </c>
      <c r="GN45">
        <f t="shared" si="76"/>
        <v>43</v>
      </c>
      <c r="GO45" s="5" t="str">
        <f t="shared" si="77"/>
        <v>Shooting</v>
      </c>
      <c r="GP45" s="68">
        <f>COUNTIF(Builder!$K$18:$N$18,GO45)</f>
        <v>0</v>
      </c>
      <c r="GQ45" s="68" t="str">
        <f>IF(GP45=1,Stats!$N60,"")</f>
        <v/>
      </c>
      <c r="GR45" s="68" t="str">
        <f>IF(GP45=1,Stats!$O60,"")</f>
        <v/>
      </c>
      <c r="GS45" s="68" t="str">
        <f>IF(GP45=1,Stats!$P60,"")</f>
        <v/>
      </c>
      <c r="GT45" s="68" t="str">
        <f>IF(GP45=1,Stats!$Q60,"")</f>
        <v/>
      </c>
      <c r="GU45" s="68" t="str">
        <f>IF(GP45=1,Stats!$R60,"")</f>
        <v/>
      </c>
      <c r="GV45" s="68" t="str">
        <f>IF(GP45=1,Stats!$S60,"")</f>
        <v/>
      </c>
      <c r="GW45" s="68">
        <f t="shared" si="78"/>
        <v>0</v>
      </c>
      <c r="GX45">
        <f t="shared" si="79"/>
        <v>0</v>
      </c>
      <c r="GY45" s="68">
        <f>IF(GX45=0,MAX(GY$2:GY44)+1,0)</f>
        <v>43</v>
      </c>
      <c r="GZ45" s="5" t="str">
        <f t="shared" si="80"/>
        <v>Shooting</v>
      </c>
      <c r="HA45" s="5" t="str">
        <f t="shared" si="81"/>
        <v>Shooting</v>
      </c>
      <c r="HC45">
        <f t="shared" si="82"/>
        <v>43</v>
      </c>
      <c r="HD45" s="5" t="str">
        <f t="shared" si="83"/>
        <v>Shooting</v>
      </c>
      <c r="HE45" s="68">
        <f>COUNTIF(Builder!$K$19:$N$19,HD45)</f>
        <v>0</v>
      </c>
      <c r="HF45" s="68" t="str">
        <f>IF(HE45=1,Stats!$N60,"")</f>
        <v/>
      </c>
      <c r="HG45" s="68" t="str">
        <f>IF(HE45=1,Stats!$O60,"")</f>
        <v/>
      </c>
      <c r="HH45" s="68" t="str">
        <f>IF(HE45=1,Stats!$P60,"")</f>
        <v/>
      </c>
      <c r="HI45" s="68" t="str">
        <f>IF(HE45=1,Stats!$Q60,"")</f>
        <v/>
      </c>
      <c r="HJ45" s="68" t="str">
        <f>IF(HE45=1,Stats!$R60,"")</f>
        <v/>
      </c>
      <c r="HK45" s="68" t="str">
        <f>IF(HE45=1,Stats!$S60,"")</f>
        <v/>
      </c>
      <c r="HL45" s="68">
        <f t="shared" si="84"/>
        <v>0</v>
      </c>
      <c r="HM45">
        <f t="shared" si="85"/>
        <v>0</v>
      </c>
      <c r="HN45" s="68">
        <f>IF(HM45=0,MAX(HN$2:HN44)+1,0)</f>
        <v>43</v>
      </c>
      <c r="HO45" s="5" t="str">
        <f t="shared" si="86"/>
        <v>Shooting</v>
      </c>
      <c r="HP45" s="5" t="str">
        <f t="shared" si="87"/>
        <v>Shooting</v>
      </c>
      <c r="HR45">
        <f t="shared" si="88"/>
        <v>43</v>
      </c>
      <c r="HS45" s="5" t="str">
        <f t="shared" si="89"/>
        <v>Shooting</v>
      </c>
      <c r="HT45" s="68">
        <f>COUNTIF(Builder!$K$20:$N$20,HS45)</f>
        <v>0</v>
      </c>
      <c r="HU45" s="68" t="str">
        <f>IF(HT45=1,Stats!$N60,"")</f>
        <v/>
      </c>
      <c r="HV45" s="68" t="str">
        <f>IF(HT45=1,Stats!$O60,"")</f>
        <v/>
      </c>
      <c r="HW45" s="68" t="str">
        <f>IF(HT45=1,Stats!$P60,"")</f>
        <v/>
      </c>
      <c r="HX45" s="68" t="str">
        <f>IF(HT45=1,Stats!$Q60,"")</f>
        <v/>
      </c>
      <c r="HY45" s="68" t="str">
        <f>IF(HT45=1,Stats!$R60,"")</f>
        <v/>
      </c>
      <c r="HZ45" s="68" t="str">
        <f>IF(HT45=1,Stats!$S60,"")</f>
        <v/>
      </c>
      <c r="IA45" s="68">
        <f t="shared" si="90"/>
        <v>0</v>
      </c>
      <c r="IB45">
        <f t="shared" si="91"/>
        <v>0</v>
      </c>
      <c r="IC45" s="68">
        <f>IF(IB45=0,MAX(IC$2:IC44)+1,0)</f>
        <v>43</v>
      </c>
      <c r="ID45" s="5" t="str">
        <f t="shared" si="92"/>
        <v>Shooting</v>
      </c>
      <c r="IE45" s="5" t="str">
        <f t="shared" si="93"/>
        <v>Shooting</v>
      </c>
      <c r="IG45">
        <f t="shared" si="94"/>
        <v>43</v>
      </c>
      <c r="IH45" s="5" t="str">
        <f t="shared" si="95"/>
        <v>Shooting</v>
      </c>
      <c r="II45" s="68">
        <f>COUNTIF(Builder!$K$21:$N$21,IH45)</f>
        <v>0</v>
      </c>
      <c r="IJ45" s="68" t="str">
        <f>IF(II45=1,Stats!$N60,"")</f>
        <v/>
      </c>
      <c r="IK45" s="68" t="str">
        <f>IF(II45=1,Stats!$O60,"")</f>
        <v/>
      </c>
      <c r="IL45" s="68" t="str">
        <f>IF(II45=1,Stats!$P60,"")</f>
        <v/>
      </c>
      <c r="IM45" s="68" t="str">
        <f>IF(II45=1,Stats!$Q60,"")</f>
        <v/>
      </c>
      <c r="IN45" s="68" t="str">
        <f>IF(II45=1,Stats!$R60,"")</f>
        <v/>
      </c>
      <c r="IO45" s="68" t="str">
        <f>IF(II45=1,Stats!$S60,"")</f>
        <v/>
      </c>
      <c r="IP45" s="68">
        <f t="shared" si="96"/>
        <v>0</v>
      </c>
      <c r="IQ45">
        <f t="shared" si="97"/>
        <v>0</v>
      </c>
      <c r="IR45" s="68">
        <f>IF(IQ45=0,MAX(IR$2:IR44)+1,0)</f>
        <v>43</v>
      </c>
      <c r="IS45" s="5" t="str">
        <f t="shared" si="98"/>
        <v>Shooting</v>
      </c>
      <c r="IT45" s="5" t="str">
        <f t="shared" si="99"/>
        <v>Shooting</v>
      </c>
      <c r="IV45">
        <f t="shared" si="100"/>
        <v>43</v>
      </c>
      <c r="IW45" s="5" t="str">
        <f t="shared" si="101"/>
        <v>Shooting</v>
      </c>
      <c r="IX45" s="68">
        <f>COUNTIF(Builder!$K$22:$N$22,IW45)</f>
        <v>0</v>
      </c>
      <c r="IY45" s="68" t="str">
        <f>IF(IX45=1,Stats!$N60,"")</f>
        <v/>
      </c>
      <c r="IZ45" s="68" t="str">
        <f>IF(IX45=1,Stats!$O60,"")</f>
        <v/>
      </c>
      <c r="JA45" s="68" t="str">
        <f>IF(IX45=1,Stats!$P60,"")</f>
        <v/>
      </c>
      <c r="JB45" s="68" t="str">
        <f>IF(IX45=1,Stats!$Q60,"")</f>
        <v/>
      </c>
      <c r="JC45" s="68" t="str">
        <f>IF(IX45=1,Stats!$R60,"")</f>
        <v/>
      </c>
      <c r="JD45" s="68" t="str">
        <f>IF(IX45=1,Stats!$S60,"")</f>
        <v/>
      </c>
      <c r="JE45" s="68">
        <f t="shared" si="102"/>
        <v>0</v>
      </c>
      <c r="JF45">
        <f t="shared" si="103"/>
        <v>0</v>
      </c>
      <c r="JG45" s="68">
        <f>IF(JF45=0,MAX(JG$2:JG44)+1,0)</f>
        <v>43</v>
      </c>
      <c r="JH45" s="5" t="str">
        <f t="shared" si="104"/>
        <v>Shooting</v>
      </c>
      <c r="JI45" s="5" t="str">
        <f t="shared" si="105"/>
        <v>Shooting</v>
      </c>
      <c r="JK45">
        <f t="shared" si="106"/>
        <v>43</v>
      </c>
      <c r="JL45" s="5" t="str">
        <f t="shared" si="107"/>
        <v>Shooting</v>
      </c>
      <c r="JM45" s="68">
        <f>COUNTIF(Builder!$K$23:$N$23,JL45)</f>
        <v>0</v>
      </c>
      <c r="JN45" s="68" t="str">
        <f>IF(JM45=1,Stats!$N60,"")</f>
        <v/>
      </c>
      <c r="JO45" s="68" t="str">
        <f>IF(JM45=1,Stats!$O60,"")</f>
        <v/>
      </c>
      <c r="JP45" s="68" t="str">
        <f>IF(JM45=1,Stats!$P60,"")</f>
        <v/>
      </c>
      <c r="JQ45" s="68" t="str">
        <f>IF(JM45=1,Stats!$Q60,"")</f>
        <v/>
      </c>
      <c r="JR45" s="68" t="str">
        <f>IF(JM45=1,Stats!$R60,"")</f>
        <v/>
      </c>
      <c r="JS45" s="68" t="str">
        <f>IF(JM45=1,Stats!$S60,"")</f>
        <v/>
      </c>
      <c r="JT45" s="68">
        <f t="shared" si="108"/>
        <v>0</v>
      </c>
      <c r="JU45">
        <f t="shared" si="109"/>
        <v>0</v>
      </c>
      <c r="JV45" s="68">
        <f>IF(JU45=0,MAX(JV$2:JV44)+1,0)</f>
        <v>43</v>
      </c>
      <c r="JW45" s="5" t="str">
        <f t="shared" si="110"/>
        <v>Shooting</v>
      </c>
      <c r="JX45" s="5" t="str">
        <f t="shared" si="111"/>
        <v>Shooting</v>
      </c>
      <c r="JZ45">
        <f t="shared" si="112"/>
        <v>43</v>
      </c>
      <c r="KA45" s="5" t="str">
        <f t="shared" si="113"/>
        <v>Shooting</v>
      </c>
      <c r="KB45" s="68">
        <f>COUNTIF(Builder!$K$24:$N$24,KA45)</f>
        <v>0</v>
      </c>
      <c r="KC45" s="68" t="str">
        <f>IF(KB45=1,Stats!$N60,"")</f>
        <v/>
      </c>
      <c r="KD45" s="68" t="str">
        <f>IF(KB45=1,Stats!$O60,"")</f>
        <v/>
      </c>
      <c r="KE45" s="68" t="str">
        <f>IF(KB45=1,Stats!$P60,"")</f>
        <v/>
      </c>
      <c r="KF45" s="68" t="str">
        <f>IF(KB45=1,Stats!$Q60,"")</f>
        <v/>
      </c>
      <c r="KG45" s="68" t="str">
        <f>IF(KB45=1,Stats!$R60,"")</f>
        <v/>
      </c>
      <c r="KH45" s="68" t="str">
        <f>IF(KB45=1,Stats!$S60,"")</f>
        <v/>
      </c>
      <c r="KI45" s="68">
        <f t="shared" si="114"/>
        <v>0</v>
      </c>
      <c r="KJ45">
        <f t="shared" si="115"/>
        <v>0</v>
      </c>
      <c r="KK45" s="68">
        <f>IF(KJ45=0,MAX(KK$2:KK44)+1,0)</f>
        <v>43</v>
      </c>
      <c r="KL45" s="5" t="str">
        <f t="shared" si="116"/>
        <v>Shooting</v>
      </c>
      <c r="KM45" s="5" t="str">
        <f t="shared" si="117"/>
        <v>Shooting</v>
      </c>
      <c r="KO45">
        <f t="shared" si="118"/>
        <v>43</v>
      </c>
      <c r="KP45" s="5" t="str">
        <f t="shared" si="119"/>
        <v>Shooting</v>
      </c>
      <c r="KQ45" s="68">
        <f>COUNTIF(Builder!$K$25:$N$25,KP45)</f>
        <v>0</v>
      </c>
      <c r="KR45" s="68" t="str">
        <f>IF(KQ45=1,Stats!$N60,"")</f>
        <v/>
      </c>
      <c r="KS45" s="68" t="str">
        <f>IF(KQ45=1,Stats!$O60,"")</f>
        <v/>
      </c>
      <c r="KT45" s="68" t="str">
        <f>IF(KQ45=1,Stats!$P60,"")</f>
        <v/>
      </c>
      <c r="KU45" s="68" t="str">
        <f>IF(KQ45=1,Stats!$Q60,"")</f>
        <v/>
      </c>
      <c r="KV45" s="68" t="str">
        <f>IF(KQ45=1,Stats!$R60,"")</f>
        <v/>
      </c>
      <c r="KW45" s="68" t="str">
        <f>IF(KQ45=1,Stats!$S60,"")</f>
        <v/>
      </c>
      <c r="KX45" s="68">
        <f t="shared" si="120"/>
        <v>0</v>
      </c>
      <c r="KY45">
        <f t="shared" si="121"/>
        <v>0</v>
      </c>
      <c r="KZ45" s="68">
        <f>IF(KY45=0,MAX(KZ$2:KZ44)+1,0)</f>
        <v>43</v>
      </c>
      <c r="LA45" s="5" t="str">
        <f t="shared" si="122"/>
        <v>Shooting</v>
      </c>
      <c r="LB45" s="5" t="str">
        <f t="shared" si="123"/>
        <v>Shooting</v>
      </c>
      <c r="LD45">
        <f t="shared" si="124"/>
        <v>43</v>
      </c>
      <c r="LE45" s="5" t="str">
        <f t="shared" si="125"/>
        <v>Shooting</v>
      </c>
      <c r="LF45" s="68">
        <f>COUNTIF(Builder!$K$26:$N$26,LE45)</f>
        <v>0</v>
      </c>
      <c r="LG45" s="68" t="str">
        <f>IF(LF45=1,Stats!$N60,"")</f>
        <v/>
      </c>
      <c r="LH45" s="68" t="str">
        <f>IF(LF45=1,Stats!$O60,"")</f>
        <v/>
      </c>
      <c r="LI45" s="68" t="str">
        <f>IF(LF45=1,Stats!$P60,"")</f>
        <v/>
      </c>
      <c r="LJ45" s="68" t="str">
        <f>IF(LF45=1,Stats!$Q60,"")</f>
        <v/>
      </c>
      <c r="LK45" s="68" t="str">
        <f>IF(LF45=1,Stats!$R60,"")</f>
        <v/>
      </c>
      <c r="LL45" s="68" t="str">
        <f>IF(LF45=1,Stats!$S60,"")</f>
        <v/>
      </c>
      <c r="LM45" s="68">
        <f t="shared" si="126"/>
        <v>0</v>
      </c>
      <c r="LN45">
        <f t="shared" si="127"/>
        <v>0</v>
      </c>
      <c r="LO45" s="68">
        <f>IF(LN45=0,MAX(LO$2:LO44)+1,0)</f>
        <v>43</v>
      </c>
      <c r="LP45" s="5" t="str">
        <f t="shared" si="128"/>
        <v>Shooting</v>
      </c>
      <c r="LQ45" s="5" t="str">
        <f t="shared" si="129"/>
        <v>Shooting</v>
      </c>
      <c r="LS45">
        <f t="shared" si="130"/>
        <v>43</v>
      </c>
      <c r="LT45" s="5" t="str">
        <f t="shared" si="131"/>
        <v>Shooting</v>
      </c>
      <c r="LU45" s="68">
        <f>COUNTIF(Builder!$K$27:$N$27,LT45)</f>
        <v>0</v>
      </c>
      <c r="LV45" s="68" t="str">
        <f>IF(LU45=1,Stats!$N60,"")</f>
        <v/>
      </c>
      <c r="LW45" s="68" t="str">
        <f>IF(LU45=1,Stats!$O60,"")</f>
        <v/>
      </c>
      <c r="LX45" s="68" t="str">
        <f>IF(LU45=1,Stats!$P60,"")</f>
        <v/>
      </c>
      <c r="LY45" s="68" t="str">
        <f>IF(LU45=1,Stats!$Q60,"")</f>
        <v/>
      </c>
      <c r="LZ45" s="68" t="str">
        <f>IF(LU45=1,Stats!$R60,"")</f>
        <v/>
      </c>
      <c r="MA45" s="68" t="str">
        <f>IF(LU45=1,Stats!$S60,"")</f>
        <v/>
      </c>
      <c r="MB45" s="68">
        <f t="shared" si="132"/>
        <v>0</v>
      </c>
      <c r="MC45">
        <f t="shared" si="133"/>
        <v>0</v>
      </c>
      <c r="MD45" s="68">
        <f>IF(MC45=0,MAX(MD$2:MD44)+1,0)</f>
        <v>43</v>
      </c>
      <c r="ME45" s="5" t="str">
        <f t="shared" si="134"/>
        <v>Shooting</v>
      </c>
      <c r="MF45" s="5" t="str">
        <f t="shared" si="135"/>
        <v>Shooting</v>
      </c>
      <c r="MH45">
        <f t="shared" si="136"/>
        <v>43</v>
      </c>
      <c r="MI45" s="5" t="str">
        <f t="shared" si="137"/>
        <v>Shooting</v>
      </c>
      <c r="MJ45" s="68">
        <f>COUNTIF(Builder!$K$28:$N$28,MI45)</f>
        <v>0</v>
      </c>
      <c r="MK45" s="68" t="str">
        <f>IF(MJ45=1,Stats!$N60,"")</f>
        <v/>
      </c>
      <c r="ML45" s="68" t="str">
        <f>IF(MJ45=1,Stats!$O60,"")</f>
        <v/>
      </c>
      <c r="MM45" s="68" t="str">
        <f>IF(MJ45=1,Stats!$P60,"")</f>
        <v/>
      </c>
      <c r="MN45" s="68" t="str">
        <f>IF(MJ45=1,Stats!$Q60,"")</f>
        <v/>
      </c>
      <c r="MO45" s="68" t="str">
        <f>IF(MJ45=1,Stats!$R60,"")</f>
        <v/>
      </c>
      <c r="MP45" s="68" t="str">
        <f>IF(MJ45=1,Stats!$S60,"")</f>
        <v/>
      </c>
      <c r="MQ45" s="68">
        <f t="shared" si="138"/>
        <v>0</v>
      </c>
      <c r="MR45">
        <f t="shared" si="139"/>
        <v>0</v>
      </c>
      <c r="MS45" s="68">
        <f>IF(MR45=0,MAX(MS$2:MS44)+1,0)</f>
        <v>43</v>
      </c>
      <c r="MT45" s="5" t="str">
        <f t="shared" si="140"/>
        <v>Shooting</v>
      </c>
      <c r="MU45" s="5" t="str">
        <f t="shared" si="141"/>
        <v>Shooting</v>
      </c>
      <c r="MW45">
        <f t="shared" si="142"/>
        <v>43</v>
      </c>
      <c r="MX45" s="5" t="str">
        <f t="shared" si="143"/>
        <v>Shooting</v>
      </c>
      <c r="MY45" s="68">
        <f>COUNTIF(Builder!$K$29:$N$29,MX45)</f>
        <v>0</v>
      </c>
      <c r="MZ45" s="68" t="str">
        <f>IF(MY45=1,Stats!$N60,"")</f>
        <v/>
      </c>
      <c r="NA45" s="68" t="str">
        <f>IF(MY45=1,Stats!$O60,"")</f>
        <v/>
      </c>
      <c r="NB45" s="68" t="str">
        <f>IF(MY45=1,Stats!$P60,"")</f>
        <v/>
      </c>
      <c r="NC45" s="68" t="str">
        <f>IF(MY45=1,Stats!$Q60,"")</f>
        <v/>
      </c>
      <c r="ND45" s="68" t="str">
        <f>IF(MY45=1,Stats!$R60,"")</f>
        <v/>
      </c>
      <c r="NE45" s="68" t="str">
        <f>IF(MY45=1,Stats!$S60,"")</f>
        <v/>
      </c>
      <c r="NF45" s="68">
        <f t="shared" si="144"/>
        <v>0</v>
      </c>
      <c r="NG45">
        <f t="shared" si="145"/>
        <v>0</v>
      </c>
      <c r="NH45" s="68">
        <f>IF(NG45=0,MAX(NH$2:NH44)+1,0)</f>
        <v>43</v>
      </c>
      <c r="NI45" s="5" t="str">
        <f t="shared" si="146"/>
        <v>Shooting</v>
      </c>
      <c r="NJ45" s="5" t="str">
        <f t="shared" si="147"/>
        <v>Shooting</v>
      </c>
    </row>
    <row r="46" spans="1:374" ht="15" x14ac:dyDescent="0.3">
      <c r="A46">
        <v>44</v>
      </c>
      <c r="B46" s="5" t="s">
        <v>153</v>
      </c>
      <c r="C46" s="68">
        <f>COUNTIF(Builder!$K$5:$N$5,B46)</f>
        <v>0</v>
      </c>
      <c r="D46" s="68" t="str">
        <f>IF(C46=1,Stats!$N61,"")</f>
        <v/>
      </c>
      <c r="E46" s="68" t="str">
        <f>IF(C46=1,Stats!$O61,"")</f>
        <v/>
      </c>
      <c r="F46" s="68" t="str">
        <f>IF(C46=1,Stats!$P61,"")</f>
        <v/>
      </c>
      <c r="G46" s="68" t="str">
        <f>IF(C46=1,Stats!$Q61,"")</f>
        <v/>
      </c>
      <c r="H46" s="68" t="str">
        <f>IF(C46=1,Stats!$R61,"")</f>
        <v/>
      </c>
      <c r="I46" s="68" t="str">
        <f>IF(C46=1,Stats!$S61,"")</f>
        <v/>
      </c>
      <c r="J46" s="68">
        <f t="shared" si="0"/>
        <v>0</v>
      </c>
      <c r="K46">
        <f t="shared" si="1"/>
        <v>0</v>
      </c>
      <c r="L46" s="68">
        <f>IF(K46=0,MAX($L$2:L45)+1,0)</f>
        <v>44</v>
      </c>
      <c r="M46" s="5" t="str">
        <f t="shared" si="2"/>
        <v>Shooting (mixed)</v>
      </c>
      <c r="N46" s="5" t="str">
        <f t="shared" si="3"/>
        <v>Shooting (mixed)</v>
      </c>
      <c r="O46" s="5"/>
      <c r="P46">
        <f t="shared" si="4"/>
        <v>44</v>
      </c>
      <c r="Q46" s="5" t="str">
        <f t="shared" si="5"/>
        <v>Shooting (mixed)</v>
      </c>
      <c r="R46" s="68">
        <f>COUNTIF(Builder!$K$6:$N$6,Q46)</f>
        <v>0</v>
      </c>
      <c r="S46" s="68" t="str">
        <f>IF(R46=1,Stats!$N61,"")</f>
        <v/>
      </c>
      <c r="T46" s="68" t="str">
        <f>IF(R46=1,Stats!$O61,"")</f>
        <v/>
      </c>
      <c r="U46" s="68" t="str">
        <f>IF(R46=1,Stats!$P61,"")</f>
        <v/>
      </c>
      <c r="V46" s="68" t="str">
        <f>IF(R46=1,Stats!$Q61,"")</f>
        <v/>
      </c>
      <c r="W46" s="68" t="str">
        <f>IF(R46=1,Stats!$R61,"")</f>
        <v/>
      </c>
      <c r="X46" s="68" t="str">
        <f>IF(R46=1,Stats!$S61,"")</f>
        <v/>
      </c>
      <c r="Y46" s="68">
        <f t="shared" si="6"/>
        <v>0</v>
      </c>
      <c r="Z46">
        <f t="shared" si="7"/>
        <v>0</v>
      </c>
      <c r="AA46" s="68">
        <f>IF(Z46=0,MAX($AA$2:AA45)+1,0)</f>
        <v>44</v>
      </c>
      <c r="AB46" s="5" t="str">
        <f t="shared" si="8"/>
        <v>Shooting (mixed)</v>
      </c>
      <c r="AC46" s="5" t="str">
        <f t="shared" si="9"/>
        <v>Shooting (mixed)</v>
      </c>
      <c r="AD46" s="5"/>
      <c r="AE46">
        <f t="shared" si="10"/>
        <v>44</v>
      </c>
      <c r="AF46" s="5" t="str">
        <f t="shared" si="11"/>
        <v>Shooting (mixed)</v>
      </c>
      <c r="AG46" s="68">
        <f>COUNTIF(Builder!$K$7:$N$7,AF46)</f>
        <v>0</v>
      </c>
      <c r="AH46" s="68" t="str">
        <f>IF(AG46=1,Stats!$N61,"")</f>
        <v/>
      </c>
      <c r="AI46" s="68" t="str">
        <f>IF(AG46=1,Stats!$O61,"")</f>
        <v/>
      </c>
      <c r="AJ46" s="68" t="str">
        <f>IF(AG46=1,Stats!$P61,"")</f>
        <v/>
      </c>
      <c r="AK46" s="68" t="str">
        <f>IF(AG46=1,Stats!$Q61,"")</f>
        <v/>
      </c>
      <c r="AL46" s="68" t="str">
        <f>IF(AG46=1,Stats!$R61,"")</f>
        <v/>
      </c>
      <c r="AM46" s="68" t="str">
        <f>IF(AG46=1,Stats!$S61,"")</f>
        <v/>
      </c>
      <c r="AN46" s="68">
        <f t="shared" si="12"/>
        <v>0</v>
      </c>
      <c r="AO46">
        <f t="shared" si="13"/>
        <v>0</v>
      </c>
      <c r="AP46" s="68">
        <f>IF(AO46=0,MAX($AP$2:AP45)+1,0)</f>
        <v>44</v>
      </c>
      <c r="AQ46" s="5" t="str">
        <f t="shared" si="14"/>
        <v>Shooting (mixed)</v>
      </c>
      <c r="AR46" s="5" t="str">
        <f t="shared" si="15"/>
        <v>Shooting (mixed)</v>
      </c>
      <c r="AS46" s="5"/>
      <c r="AT46">
        <f t="shared" si="16"/>
        <v>44</v>
      </c>
      <c r="AU46" s="5" t="str">
        <f t="shared" si="17"/>
        <v>Shooting (mixed)</v>
      </c>
      <c r="AV46" s="68">
        <f>COUNTIF(Builder!$K$8:$N$8,AU46)</f>
        <v>0</v>
      </c>
      <c r="AW46" s="68" t="str">
        <f>IF(AV46=1,Stats!$N61,"")</f>
        <v/>
      </c>
      <c r="AX46" s="68" t="str">
        <f>IF(AV46=1,Stats!$O61,"")</f>
        <v/>
      </c>
      <c r="AY46" s="68" t="str">
        <f>IF(AV46=1,Stats!$P61,"")</f>
        <v/>
      </c>
      <c r="AZ46" s="68" t="str">
        <f>IF(AV46=1,Stats!$Q61,"")</f>
        <v/>
      </c>
      <c r="BA46" s="68" t="str">
        <f>IF(AV46=1,Stats!$R61,"")</f>
        <v/>
      </c>
      <c r="BB46" s="68" t="str">
        <f>IF(AV46=1,Stats!$S61,"")</f>
        <v/>
      </c>
      <c r="BC46" s="68">
        <f t="shared" si="18"/>
        <v>0</v>
      </c>
      <c r="BD46">
        <f t="shared" si="19"/>
        <v>0</v>
      </c>
      <c r="BE46" s="68">
        <f>IF(BD46=0,MAX($BE$2:BE45)+1,0)</f>
        <v>44</v>
      </c>
      <c r="BF46" s="5" t="str">
        <f t="shared" si="20"/>
        <v>Shooting (mixed)</v>
      </c>
      <c r="BG46" s="5" t="str">
        <f t="shared" si="21"/>
        <v>Shooting (mixed)</v>
      </c>
      <c r="BH46" s="5"/>
      <c r="BI46">
        <f t="shared" si="148"/>
        <v>44</v>
      </c>
      <c r="BJ46" s="5" t="str">
        <f t="shared" si="149"/>
        <v>Shooting (mixed)</v>
      </c>
      <c r="BK46" s="68">
        <f>COUNTIF(Builder!$K$9:$N$9,BJ46)</f>
        <v>0</v>
      </c>
      <c r="BL46" s="68" t="str">
        <f>IF(BK46=1,Stats!$N61,"")</f>
        <v/>
      </c>
      <c r="BM46" s="68" t="str">
        <f>IF(BK46=1,Stats!$O61,"")</f>
        <v/>
      </c>
      <c r="BN46" s="68" t="str">
        <f>IF(BK46=1,Stats!$P61,"")</f>
        <v/>
      </c>
      <c r="BO46" s="68" t="str">
        <f>IF(BK46=1,Stats!$Q61,"")</f>
        <v/>
      </c>
      <c r="BP46" s="68" t="str">
        <f>IF(BK46=1,Stats!$R61,"")</f>
        <v/>
      </c>
      <c r="BQ46" s="68" t="str">
        <f>IF(BK46=1,Stats!$S61,"")</f>
        <v/>
      </c>
      <c r="BR46" s="68">
        <f t="shared" si="150"/>
        <v>0</v>
      </c>
      <c r="BS46">
        <f t="shared" si="151"/>
        <v>0</v>
      </c>
      <c r="BT46" s="68">
        <f>IF(BS46=0,MAX(BT$2:BT45)+1,0)</f>
        <v>44</v>
      </c>
      <c r="BU46" s="5" t="str">
        <f t="shared" si="152"/>
        <v>Shooting (mixed)</v>
      </c>
      <c r="BV46" s="5" t="str">
        <f t="shared" si="27"/>
        <v>Shooting (mixed)</v>
      </c>
      <c r="BX46">
        <f t="shared" si="153"/>
        <v>44</v>
      </c>
      <c r="BY46" s="5" t="str">
        <f t="shared" si="154"/>
        <v>Shooting (mixed)</v>
      </c>
      <c r="BZ46" s="68">
        <f>COUNTIF(Builder!$K$10:$N$10,BY46)</f>
        <v>0</v>
      </c>
      <c r="CA46" s="68" t="str">
        <f>IF(BZ46=1,Stats!$N61,"")</f>
        <v/>
      </c>
      <c r="CB46" s="68" t="str">
        <f>IF(BZ46=1,Stats!$O61,"")</f>
        <v/>
      </c>
      <c r="CC46" s="68" t="str">
        <f>IF(BZ46=1,Stats!$P61,"")</f>
        <v/>
      </c>
      <c r="CD46" s="68" t="str">
        <f>IF(BZ46=1,Stats!$Q61,"")</f>
        <v/>
      </c>
      <c r="CE46" s="68" t="str">
        <f>IF(BZ46=1,Stats!$R61,"")</f>
        <v/>
      </c>
      <c r="CF46" s="68" t="str">
        <f>IF(BZ46=1,Stats!$S61,"")</f>
        <v/>
      </c>
      <c r="CG46" s="68">
        <f t="shared" si="155"/>
        <v>0</v>
      </c>
      <c r="CH46">
        <f t="shared" si="156"/>
        <v>0</v>
      </c>
      <c r="CI46" s="68">
        <f>IF(CH46=0,MAX(CI$2:CI45)+1,0)</f>
        <v>44</v>
      </c>
      <c r="CJ46" s="5" t="str">
        <f t="shared" si="157"/>
        <v>Shooting (mixed)</v>
      </c>
      <c r="CK46" s="5" t="str">
        <f t="shared" si="33"/>
        <v>Shooting (mixed)</v>
      </c>
      <c r="CM46">
        <f t="shared" si="34"/>
        <v>44</v>
      </c>
      <c r="CN46" s="5" t="str">
        <f t="shared" si="35"/>
        <v>Shooting (mixed)</v>
      </c>
      <c r="CO46" s="68">
        <f>COUNTIF(Builder!$K$11:$N$11,CN46)</f>
        <v>0</v>
      </c>
      <c r="CP46" s="68" t="str">
        <f>IF(CO46=1,Stats!$N61,"")</f>
        <v/>
      </c>
      <c r="CQ46" s="68" t="str">
        <f>IF(CO46=1,Stats!$O61,"")</f>
        <v/>
      </c>
      <c r="CR46" s="68" t="str">
        <f>IF(CO46=1,Stats!$P61,"")</f>
        <v/>
      </c>
      <c r="CS46" s="68" t="str">
        <f>IF(CO46=1,Stats!$Q61,"")</f>
        <v/>
      </c>
      <c r="CT46" s="68" t="str">
        <f>IF(CO46=1,Stats!$R61,"")</f>
        <v/>
      </c>
      <c r="CU46" s="68" t="str">
        <f>IF(CO46=1,Stats!$S61,"")</f>
        <v/>
      </c>
      <c r="CV46" s="68">
        <f t="shared" si="36"/>
        <v>0</v>
      </c>
      <c r="CW46">
        <f t="shared" si="37"/>
        <v>0</v>
      </c>
      <c r="CX46" s="68">
        <f>IF(CW46=0,MAX(CX$2:CX45)+1,0)</f>
        <v>44</v>
      </c>
      <c r="CY46" s="5" t="str">
        <f t="shared" si="38"/>
        <v>Shooting (mixed)</v>
      </c>
      <c r="CZ46" s="5" t="str">
        <f t="shared" si="39"/>
        <v>Shooting (mixed)</v>
      </c>
      <c r="DB46">
        <f t="shared" si="158"/>
        <v>44</v>
      </c>
      <c r="DC46" s="5" t="str">
        <f t="shared" si="159"/>
        <v>Shooting (mixed)</v>
      </c>
      <c r="DD46" s="68">
        <f>COUNTIF(Builder!$K$12:$N$12,DC46)</f>
        <v>0</v>
      </c>
      <c r="DE46" s="68" t="str">
        <f>IF(DD46=1,Stats!$N61,"")</f>
        <v/>
      </c>
      <c r="DF46" s="68" t="str">
        <f>IF(DD46=1,Stats!$O61,"")</f>
        <v/>
      </c>
      <c r="DG46" s="68" t="str">
        <f>IF(DD46=1,Stats!$P61,"")</f>
        <v/>
      </c>
      <c r="DH46" s="68" t="str">
        <f>IF(DD46=1,Stats!$Q61,"")</f>
        <v/>
      </c>
      <c r="DI46" s="68" t="str">
        <f>IF(DD46=1,Stats!$R61,"")</f>
        <v/>
      </c>
      <c r="DJ46" s="68" t="str">
        <f>IF(DD46=1,Stats!$S61,"")</f>
        <v/>
      </c>
      <c r="DK46" s="68">
        <f t="shared" si="160"/>
        <v>0</v>
      </c>
      <c r="DL46">
        <f t="shared" si="161"/>
        <v>0</v>
      </c>
      <c r="DM46" s="68">
        <f>IF(DL46=0,MAX(DM$2:DM45)+1,0)</f>
        <v>44</v>
      </c>
      <c r="DN46" s="5" t="str">
        <f t="shared" si="162"/>
        <v>Shooting (mixed)</v>
      </c>
      <c r="DO46" s="5" t="str">
        <f t="shared" si="45"/>
        <v>Shooting (mixed)</v>
      </c>
      <c r="DQ46">
        <f t="shared" si="163"/>
        <v>44</v>
      </c>
      <c r="DR46" s="5" t="str">
        <f t="shared" si="164"/>
        <v>Shooting (mixed)</v>
      </c>
      <c r="DS46" s="68">
        <f>COUNTIF(Builder!$K$13:$N$13,DR46)</f>
        <v>0</v>
      </c>
      <c r="DT46" s="68" t="str">
        <f>IF(DS46=1,Stats!$N61,"")</f>
        <v/>
      </c>
      <c r="DU46" s="68" t="str">
        <f>IF(DS46=1,Stats!$O61,"")</f>
        <v/>
      </c>
      <c r="DV46" s="68" t="str">
        <f>IF(DS46=1,Stats!$P61,"")</f>
        <v/>
      </c>
      <c r="DW46" s="68" t="str">
        <f>IF(DS46=1,Stats!$Q61,"")</f>
        <v/>
      </c>
      <c r="DX46" s="68" t="str">
        <f>IF(DS46=1,Stats!$R61,"")</f>
        <v/>
      </c>
      <c r="DY46" s="68" t="str">
        <f>IF(DS46=1,Stats!$S61,"")</f>
        <v/>
      </c>
      <c r="DZ46" s="68">
        <f t="shared" si="165"/>
        <v>0</v>
      </c>
      <c r="EA46">
        <f t="shared" si="166"/>
        <v>0</v>
      </c>
      <c r="EB46" s="68">
        <f>IF(EA46=0,MAX(EB$2:EB45)+1,0)</f>
        <v>44</v>
      </c>
      <c r="EC46" s="5" t="str">
        <f t="shared" si="167"/>
        <v>Shooting (mixed)</v>
      </c>
      <c r="ED46" s="5" t="str">
        <f t="shared" si="51"/>
        <v>Shooting (mixed)</v>
      </c>
      <c r="EF46">
        <f t="shared" si="52"/>
        <v>44</v>
      </c>
      <c r="EG46" s="5" t="str">
        <f t="shared" si="53"/>
        <v>Shooting (mixed)</v>
      </c>
      <c r="EH46" s="68">
        <f>COUNTIF(Builder!$K$14:$N$14,EG46)</f>
        <v>0</v>
      </c>
      <c r="EI46" s="68" t="str">
        <f>IF(EH46=1,Stats!$N61,"")</f>
        <v/>
      </c>
      <c r="EJ46" s="68" t="str">
        <f>IF(EH46=1,Stats!$O61,"")</f>
        <v/>
      </c>
      <c r="EK46" s="68" t="str">
        <f>IF(EH46=1,Stats!$P61,"")</f>
        <v/>
      </c>
      <c r="EL46" s="68" t="str">
        <f>IF(EH46=1,Stats!$Q61,"")</f>
        <v/>
      </c>
      <c r="EM46" s="68" t="str">
        <f>IF(EH46=1,Stats!$R61,"")</f>
        <v/>
      </c>
      <c r="EN46" s="68" t="str">
        <f>IF(EH46=1,Stats!$S61,"")</f>
        <v/>
      </c>
      <c r="EO46" s="68">
        <f t="shared" si="54"/>
        <v>0</v>
      </c>
      <c r="EP46">
        <f t="shared" si="55"/>
        <v>0</v>
      </c>
      <c r="EQ46" s="68">
        <f>IF(EP46=0,MAX(EQ$2:EQ45)+1,0)</f>
        <v>44</v>
      </c>
      <c r="ER46" s="5" t="str">
        <f t="shared" si="56"/>
        <v>Shooting (mixed)</v>
      </c>
      <c r="ES46" s="5" t="str">
        <f t="shared" si="57"/>
        <v>Shooting (mixed)</v>
      </c>
      <c r="EU46">
        <f t="shared" si="58"/>
        <v>44</v>
      </c>
      <c r="EV46" s="5" t="str">
        <f t="shared" si="59"/>
        <v>Shooting (mixed)</v>
      </c>
      <c r="EW46" s="68">
        <f>COUNTIF(Builder!$K$15:$N$15,EV46)</f>
        <v>0</v>
      </c>
      <c r="EX46" s="68" t="str">
        <f>IF(EW46=1,Stats!$N61,"")</f>
        <v/>
      </c>
      <c r="EY46" s="68" t="str">
        <f>IF(EW46=1,Stats!$O61,"")</f>
        <v/>
      </c>
      <c r="EZ46" s="68" t="str">
        <f>IF(EW46=1,Stats!$P61,"")</f>
        <v/>
      </c>
      <c r="FA46" s="68" t="str">
        <f>IF(EW46=1,Stats!$Q61,"")</f>
        <v/>
      </c>
      <c r="FB46" s="68" t="str">
        <f>IF(EW46=1,Stats!$R61,"")</f>
        <v/>
      </c>
      <c r="FC46" s="68" t="str">
        <f>IF(EW46=1,Stats!$S61,"")</f>
        <v/>
      </c>
      <c r="FD46" s="68">
        <f t="shared" si="60"/>
        <v>0</v>
      </c>
      <c r="FE46">
        <f t="shared" si="61"/>
        <v>0</v>
      </c>
      <c r="FF46" s="68">
        <f>IF(FE46=0,MAX(FF$2:FF45)+1,0)</f>
        <v>44</v>
      </c>
      <c r="FG46" s="5" t="str">
        <f t="shared" si="62"/>
        <v>Shooting (mixed)</v>
      </c>
      <c r="FH46" s="5" t="str">
        <f t="shared" si="63"/>
        <v>Shooting (mixed)</v>
      </c>
      <c r="FJ46">
        <f t="shared" si="64"/>
        <v>44</v>
      </c>
      <c r="FK46" s="5" t="str">
        <f t="shared" si="65"/>
        <v>Shooting (mixed)</v>
      </c>
      <c r="FL46" s="68">
        <f>COUNTIF(Builder!$K$16:$N$16,FK46)</f>
        <v>0</v>
      </c>
      <c r="FM46" s="68" t="str">
        <f>IF(FL46=1,Stats!$N61,"")</f>
        <v/>
      </c>
      <c r="FN46" s="68" t="str">
        <f>IF(FL46=1,Stats!$O61,"")</f>
        <v/>
      </c>
      <c r="FO46" s="68" t="str">
        <f>IF(FL46=1,Stats!$P61,"")</f>
        <v/>
      </c>
      <c r="FP46" s="68" t="str">
        <f>IF(FL46=1,Stats!$Q61,"")</f>
        <v/>
      </c>
      <c r="FQ46" s="68" t="str">
        <f>IF(FL46=1,Stats!$R61,"")</f>
        <v/>
      </c>
      <c r="FR46" s="68" t="str">
        <f>IF(FL46=1,Stats!$S61,"")</f>
        <v/>
      </c>
      <c r="FS46" s="68">
        <f t="shared" si="66"/>
        <v>0</v>
      </c>
      <c r="FT46">
        <f t="shared" si="67"/>
        <v>0</v>
      </c>
      <c r="FU46" s="68">
        <f>IF(FT46=0,MAX(FU$2:FU45)+1,0)</f>
        <v>44</v>
      </c>
      <c r="FV46" s="5" t="str">
        <f t="shared" si="68"/>
        <v>Shooting (mixed)</v>
      </c>
      <c r="FW46" s="5" t="str">
        <f t="shared" si="69"/>
        <v>Shooting (mixed)</v>
      </c>
      <c r="FY46">
        <f t="shared" si="168"/>
        <v>44</v>
      </c>
      <c r="FZ46" s="5" t="str">
        <f t="shared" si="169"/>
        <v>Shooting (mixed)</v>
      </c>
      <c r="GA46" s="68">
        <f>COUNTIF(Builder!$K$17:$N$17,FZ46)</f>
        <v>0</v>
      </c>
      <c r="GB46" s="68" t="str">
        <f>IF(GA46=1,Stats!$N61,"")</f>
        <v/>
      </c>
      <c r="GC46" s="68" t="str">
        <f>IF(GA46=1,Stats!$O61,"")</f>
        <v/>
      </c>
      <c r="GD46" s="68" t="str">
        <f>IF(GA46=1,Stats!$P61,"")</f>
        <v/>
      </c>
      <c r="GE46" s="68" t="str">
        <f>IF(GA46=1,Stats!$Q61,"")</f>
        <v/>
      </c>
      <c r="GF46" s="68" t="str">
        <f>IF(GA46=1,Stats!$R61,"")</f>
        <v/>
      </c>
      <c r="GG46" s="68" t="str">
        <f>IF(GA46=1,Stats!$S61,"")</f>
        <v/>
      </c>
      <c r="GH46" s="68">
        <f t="shared" si="170"/>
        <v>0</v>
      </c>
      <c r="GI46">
        <f t="shared" si="171"/>
        <v>0</v>
      </c>
      <c r="GJ46" s="68">
        <f>IF(GI46=0,MAX(GJ$2:GJ45)+1,0)</f>
        <v>44</v>
      </c>
      <c r="GK46" s="5" t="str">
        <f t="shared" si="172"/>
        <v>Shooting (mixed)</v>
      </c>
      <c r="GL46" s="5" t="str">
        <f t="shared" si="75"/>
        <v>Shooting (mixed)</v>
      </c>
      <c r="GN46">
        <f t="shared" si="76"/>
        <v>44</v>
      </c>
      <c r="GO46" s="5" t="str">
        <f t="shared" si="77"/>
        <v>Shooting (mixed)</v>
      </c>
      <c r="GP46" s="68">
        <f>COUNTIF(Builder!$K$18:$N$18,GO46)</f>
        <v>0</v>
      </c>
      <c r="GQ46" s="68" t="str">
        <f>IF(GP46=1,Stats!$N61,"")</f>
        <v/>
      </c>
      <c r="GR46" s="68" t="str">
        <f>IF(GP46=1,Stats!$O61,"")</f>
        <v/>
      </c>
      <c r="GS46" s="68" t="str">
        <f>IF(GP46=1,Stats!$P61,"")</f>
        <v/>
      </c>
      <c r="GT46" s="68" t="str">
        <f>IF(GP46=1,Stats!$Q61,"")</f>
        <v/>
      </c>
      <c r="GU46" s="68" t="str">
        <f>IF(GP46=1,Stats!$R61,"")</f>
        <v/>
      </c>
      <c r="GV46" s="68" t="str">
        <f>IF(GP46=1,Stats!$S61,"")</f>
        <v/>
      </c>
      <c r="GW46" s="68">
        <f t="shared" si="78"/>
        <v>0</v>
      </c>
      <c r="GX46">
        <f t="shared" si="79"/>
        <v>0</v>
      </c>
      <c r="GY46" s="68">
        <f>IF(GX46=0,MAX(GY$2:GY45)+1,0)</f>
        <v>44</v>
      </c>
      <c r="GZ46" s="5" t="str">
        <f t="shared" si="80"/>
        <v>Shooting (mixed)</v>
      </c>
      <c r="HA46" s="5" t="str">
        <f t="shared" si="81"/>
        <v>Shooting (mixed)</v>
      </c>
      <c r="HC46">
        <f t="shared" si="82"/>
        <v>44</v>
      </c>
      <c r="HD46" s="5" t="str">
        <f t="shared" si="83"/>
        <v>Shooting (mixed)</v>
      </c>
      <c r="HE46" s="68">
        <f>COUNTIF(Builder!$K$19:$N$19,HD46)</f>
        <v>0</v>
      </c>
      <c r="HF46" s="68" t="str">
        <f>IF(HE46=1,Stats!$N61,"")</f>
        <v/>
      </c>
      <c r="HG46" s="68" t="str">
        <f>IF(HE46=1,Stats!$O61,"")</f>
        <v/>
      </c>
      <c r="HH46" s="68" t="str">
        <f>IF(HE46=1,Stats!$P61,"")</f>
        <v/>
      </c>
      <c r="HI46" s="68" t="str">
        <f>IF(HE46=1,Stats!$Q61,"")</f>
        <v/>
      </c>
      <c r="HJ46" s="68" t="str">
        <f>IF(HE46=1,Stats!$R61,"")</f>
        <v/>
      </c>
      <c r="HK46" s="68" t="str">
        <f>IF(HE46=1,Stats!$S61,"")</f>
        <v/>
      </c>
      <c r="HL46" s="68">
        <f t="shared" si="84"/>
        <v>0</v>
      </c>
      <c r="HM46">
        <f t="shared" si="85"/>
        <v>0</v>
      </c>
      <c r="HN46" s="68">
        <f>IF(HM46=0,MAX(HN$2:HN45)+1,0)</f>
        <v>44</v>
      </c>
      <c r="HO46" s="5" t="str">
        <f t="shared" si="86"/>
        <v>Shooting (mixed)</v>
      </c>
      <c r="HP46" s="5" t="str">
        <f t="shared" si="87"/>
        <v>Shooting (mixed)</v>
      </c>
      <c r="HR46">
        <f t="shared" si="88"/>
        <v>44</v>
      </c>
      <c r="HS46" s="5" t="str">
        <f t="shared" si="89"/>
        <v>Shooting (mixed)</v>
      </c>
      <c r="HT46" s="68">
        <f>COUNTIF(Builder!$K$20:$N$20,HS46)</f>
        <v>0</v>
      </c>
      <c r="HU46" s="68" t="str">
        <f>IF(HT46=1,Stats!$N61,"")</f>
        <v/>
      </c>
      <c r="HV46" s="68" t="str">
        <f>IF(HT46=1,Stats!$O61,"")</f>
        <v/>
      </c>
      <c r="HW46" s="68" t="str">
        <f>IF(HT46=1,Stats!$P61,"")</f>
        <v/>
      </c>
      <c r="HX46" s="68" t="str">
        <f>IF(HT46=1,Stats!$Q61,"")</f>
        <v/>
      </c>
      <c r="HY46" s="68" t="str">
        <f>IF(HT46=1,Stats!$R61,"")</f>
        <v/>
      </c>
      <c r="HZ46" s="68" t="str">
        <f>IF(HT46=1,Stats!$S61,"")</f>
        <v/>
      </c>
      <c r="IA46" s="68">
        <f t="shared" si="90"/>
        <v>0</v>
      </c>
      <c r="IB46">
        <f t="shared" si="91"/>
        <v>0</v>
      </c>
      <c r="IC46" s="68">
        <f>IF(IB46=0,MAX(IC$2:IC45)+1,0)</f>
        <v>44</v>
      </c>
      <c r="ID46" s="5" t="str">
        <f t="shared" si="92"/>
        <v>Shooting (mixed)</v>
      </c>
      <c r="IE46" s="5" t="str">
        <f t="shared" si="93"/>
        <v>Shooting (mixed)</v>
      </c>
      <c r="IG46">
        <f t="shared" si="94"/>
        <v>44</v>
      </c>
      <c r="IH46" s="5" t="str">
        <f t="shared" si="95"/>
        <v>Shooting (mixed)</v>
      </c>
      <c r="II46" s="68">
        <f>COUNTIF(Builder!$K$21:$N$21,IH46)</f>
        <v>0</v>
      </c>
      <c r="IJ46" s="68" t="str">
        <f>IF(II46=1,Stats!$N61,"")</f>
        <v/>
      </c>
      <c r="IK46" s="68" t="str">
        <f>IF(II46=1,Stats!$O61,"")</f>
        <v/>
      </c>
      <c r="IL46" s="68" t="str">
        <f>IF(II46=1,Stats!$P61,"")</f>
        <v/>
      </c>
      <c r="IM46" s="68" t="str">
        <f>IF(II46=1,Stats!$Q61,"")</f>
        <v/>
      </c>
      <c r="IN46" s="68" t="str">
        <f>IF(II46=1,Stats!$R61,"")</f>
        <v/>
      </c>
      <c r="IO46" s="68" t="str">
        <f>IF(II46=1,Stats!$S61,"")</f>
        <v/>
      </c>
      <c r="IP46" s="68">
        <f t="shared" si="96"/>
        <v>0</v>
      </c>
      <c r="IQ46">
        <f t="shared" si="97"/>
        <v>0</v>
      </c>
      <c r="IR46" s="68">
        <f>IF(IQ46=0,MAX(IR$2:IR45)+1,0)</f>
        <v>44</v>
      </c>
      <c r="IS46" s="5" t="str">
        <f t="shared" si="98"/>
        <v>Shooting (mixed)</v>
      </c>
      <c r="IT46" s="5" t="str">
        <f t="shared" si="99"/>
        <v>Shooting (mixed)</v>
      </c>
      <c r="IV46">
        <f t="shared" si="100"/>
        <v>44</v>
      </c>
      <c r="IW46" s="5" t="str">
        <f t="shared" si="101"/>
        <v>Shooting (mixed)</v>
      </c>
      <c r="IX46" s="68">
        <f>COUNTIF(Builder!$K$22:$N$22,IW46)</f>
        <v>0</v>
      </c>
      <c r="IY46" s="68" t="str">
        <f>IF(IX46=1,Stats!$N61,"")</f>
        <v/>
      </c>
      <c r="IZ46" s="68" t="str">
        <f>IF(IX46=1,Stats!$O61,"")</f>
        <v/>
      </c>
      <c r="JA46" s="68" t="str">
        <f>IF(IX46=1,Stats!$P61,"")</f>
        <v/>
      </c>
      <c r="JB46" s="68" t="str">
        <f>IF(IX46=1,Stats!$Q61,"")</f>
        <v/>
      </c>
      <c r="JC46" s="68" t="str">
        <f>IF(IX46=1,Stats!$R61,"")</f>
        <v/>
      </c>
      <c r="JD46" s="68" t="str">
        <f>IF(IX46=1,Stats!$S61,"")</f>
        <v/>
      </c>
      <c r="JE46" s="68">
        <f t="shared" si="102"/>
        <v>0</v>
      </c>
      <c r="JF46">
        <f t="shared" si="103"/>
        <v>0</v>
      </c>
      <c r="JG46" s="68">
        <f>IF(JF46=0,MAX(JG$2:JG45)+1,0)</f>
        <v>44</v>
      </c>
      <c r="JH46" s="5" t="str">
        <f t="shared" si="104"/>
        <v>Shooting (mixed)</v>
      </c>
      <c r="JI46" s="5" t="str">
        <f t="shared" si="105"/>
        <v>Shooting (mixed)</v>
      </c>
      <c r="JK46">
        <f t="shared" si="106"/>
        <v>44</v>
      </c>
      <c r="JL46" s="5" t="str">
        <f t="shared" si="107"/>
        <v>Shooting (mixed)</v>
      </c>
      <c r="JM46" s="68">
        <f>COUNTIF(Builder!$K$23:$N$23,JL46)</f>
        <v>0</v>
      </c>
      <c r="JN46" s="68" t="str">
        <f>IF(JM46=1,Stats!$N61,"")</f>
        <v/>
      </c>
      <c r="JO46" s="68" t="str">
        <f>IF(JM46=1,Stats!$O61,"")</f>
        <v/>
      </c>
      <c r="JP46" s="68" t="str">
        <f>IF(JM46=1,Stats!$P61,"")</f>
        <v/>
      </c>
      <c r="JQ46" s="68" t="str">
        <f>IF(JM46=1,Stats!$Q61,"")</f>
        <v/>
      </c>
      <c r="JR46" s="68" t="str">
        <f>IF(JM46=1,Stats!$R61,"")</f>
        <v/>
      </c>
      <c r="JS46" s="68" t="str">
        <f>IF(JM46=1,Stats!$S61,"")</f>
        <v/>
      </c>
      <c r="JT46" s="68">
        <f t="shared" si="108"/>
        <v>0</v>
      </c>
      <c r="JU46">
        <f t="shared" si="109"/>
        <v>0</v>
      </c>
      <c r="JV46" s="68">
        <f>IF(JU46=0,MAX(JV$2:JV45)+1,0)</f>
        <v>44</v>
      </c>
      <c r="JW46" s="5" t="str">
        <f t="shared" si="110"/>
        <v>Shooting (mixed)</v>
      </c>
      <c r="JX46" s="5" t="str">
        <f t="shared" si="111"/>
        <v>Shooting (mixed)</v>
      </c>
      <c r="JZ46">
        <f t="shared" si="112"/>
        <v>44</v>
      </c>
      <c r="KA46" s="5" t="str">
        <f t="shared" si="113"/>
        <v>Shooting (mixed)</v>
      </c>
      <c r="KB46" s="68">
        <f>COUNTIF(Builder!$K$24:$N$24,KA46)</f>
        <v>0</v>
      </c>
      <c r="KC46" s="68" t="str">
        <f>IF(KB46=1,Stats!$N61,"")</f>
        <v/>
      </c>
      <c r="KD46" s="68" t="str">
        <f>IF(KB46=1,Stats!$O61,"")</f>
        <v/>
      </c>
      <c r="KE46" s="68" t="str">
        <f>IF(KB46=1,Stats!$P61,"")</f>
        <v/>
      </c>
      <c r="KF46" s="68" t="str">
        <f>IF(KB46=1,Stats!$Q61,"")</f>
        <v/>
      </c>
      <c r="KG46" s="68" t="str">
        <f>IF(KB46=1,Stats!$R61,"")</f>
        <v/>
      </c>
      <c r="KH46" s="68" t="str">
        <f>IF(KB46=1,Stats!$S61,"")</f>
        <v/>
      </c>
      <c r="KI46" s="68">
        <f t="shared" si="114"/>
        <v>0</v>
      </c>
      <c r="KJ46">
        <f t="shared" si="115"/>
        <v>0</v>
      </c>
      <c r="KK46" s="68">
        <f>IF(KJ46=0,MAX(KK$2:KK45)+1,0)</f>
        <v>44</v>
      </c>
      <c r="KL46" s="5" t="str">
        <f t="shared" si="116"/>
        <v>Shooting (mixed)</v>
      </c>
      <c r="KM46" s="5" t="str">
        <f t="shared" si="117"/>
        <v>Shooting (mixed)</v>
      </c>
      <c r="KO46">
        <f t="shared" si="118"/>
        <v>44</v>
      </c>
      <c r="KP46" s="5" t="str">
        <f t="shared" si="119"/>
        <v>Shooting (mixed)</v>
      </c>
      <c r="KQ46" s="68">
        <f>COUNTIF(Builder!$K$25:$N$25,KP46)</f>
        <v>0</v>
      </c>
      <c r="KR46" s="68" t="str">
        <f>IF(KQ46=1,Stats!$N61,"")</f>
        <v/>
      </c>
      <c r="KS46" s="68" t="str">
        <f>IF(KQ46=1,Stats!$O61,"")</f>
        <v/>
      </c>
      <c r="KT46" s="68" t="str">
        <f>IF(KQ46=1,Stats!$P61,"")</f>
        <v/>
      </c>
      <c r="KU46" s="68" t="str">
        <f>IF(KQ46=1,Stats!$Q61,"")</f>
        <v/>
      </c>
      <c r="KV46" s="68" t="str">
        <f>IF(KQ46=1,Stats!$R61,"")</f>
        <v/>
      </c>
      <c r="KW46" s="68" t="str">
        <f>IF(KQ46=1,Stats!$S61,"")</f>
        <v/>
      </c>
      <c r="KX46" s="68">
        <f t="shared" si="120"/>
        <v>0</v>
      </c>
      <c r="KY46">
        <f t="shared" si="121"/>
        <v>0</v>
      </c>
      <c r="KZ46" s="68">
        <f>IF(KY46=0,MAX(KZ$2:KZ45)+1,0)</f>
        <v>44</v>
      </c>
      <c r="LA46" s="5" t="str">
        <f t="shared" si="122"/>
        <v>Shooting (mixed)</v>
      </c>
      <c r="LB46" s="5" t="str">
        <f t="shared" si="123"/>
        <v>Shooting (mixed)</v>
      </c>
      <c r="LD46">
        <f t="shared" si="124"/>
        <v>44</v>
      </c>
      <c r="LE46" s="5" t="str">
        <f t="shared" si="125"/>
        <v>Shooting (mixed)</v>
      </c>
      <c r="LF46" s="68">
        <f>COUNTIF(Builder!$K$26:$N$26,LE46)</f>
        <v>0</v>
      </c>
      <c r="LG46" s="68" t="str">
        <f>IF(LF46=1,Stats!$N61,"")</f>
        <v/>
      </c>
      <c r="LH46" s="68" t="str">
        <f>IF(LF46=1,Stats!$O61,"")</f>
        <v/>
      </c>
      <c r="LI46" s="68" t="str">
        <f>IF(LF46=1,Stats!$P61,"")</f>
        <v/>
      </c>
      <c r="LJ46" s="68" t="str">
        <f>IF(LF46=1,Stats!$Q61,"")</f>
        <v/>
      </c>
      <c r="LK46" s="68" t="str">
        <f>IF(LF46=1,Stats!$R61,"")</f>
        <v/>
      </c>
      <c r="LL46" s="68" t="str">
        <f>IF(LF46=1,Stats!$S61,"")</f>
        <v/>
      </c>
      <c r="LM46" s="68">
        <f t="shared" si="126"/>
        <v>0</v>
      </c>
      <c r="LN46">
        <f t="shared" si="127"/>
        <v>0</v>
      </c>
      <c r="LO46" s="68">
        <f>IF(LN46=0,MAX(LO$2:LO45)+1,0)</f>
        <v>44</v>
      </c>
      <c r="LP46" s="5" t="str">
        <f t="shared" si="128"/>
        <v>Shooting (mixed)</v>
      </c>
      <c r="LQ46" s="5" t="str">
        <f t="shared" si="129"/>
        <v>Shooting (mixed)</v>
      </c>
      <c r="LS46">
        <f t="shared" si="130"/>
        <v>44</v>
      </c>
      <c r="LT46" s="5" t="str">
        <f t="shared" si="131"/>
        <v>Shooting (mixed)</v>
      </c>
      <c r="LU46" s="68">
        <f>COUNTIF(Builder!$K$27:$N$27,LT46)</f>
        <v>0</v>
      </c>
      <c r="LV46" s="68" t="str">
        <f>IF(LU46=1,Stats!$N61,"")</f>
        <v/>
      </c>
      <c r="LW46" s="68" t="str">
        <f>IF(LU46=1,Stats!$O61,"")</f>
        <v/>
      </c>
      <c r="LX46" s="68" t="str">
        <f>IF(LU46=1,Stats!$P61,"")</f>
        <v/>
      </c>
      <c r="LY46" s="68" t="str">
        <f>IF(LU46=1,Stats!$Q61,"")</f>
        <v/>
      </c>
      <c r="LZ46" s="68" t="str">
        <f>IF(LU46=1,Stats!$R61,"")</f>
        <v/>
      </c>
      <c r="MA46" s="68" t="str">
        <f>IF(LU46=1,Stats!$S61,"")</f>
        <v/>
      </c>
      <c r="MB46" s="68">
        <f t="shared" si="132"/>
        <v>0</v>
      </c>
      <c r="MC46">
        <f t="shared" si="133"/>
        <v>0</v>
      </c>
      <c r="MD46" s="68">
        <f>IF(MC46=0,MAX(MD$2:MD45)+1,0)</f>
        <v>44</v>
      </c>
      <c r="ME46" s="5" t="str">
        <f t="shared" si="134"/>
        <v>Shooting (mixed)</v>
      </c>
      <c r="MF46" s="5" t="str">
        <f t="shared" si="135"/>
        <v>Shooting (mixed)</v>
      </c>
      <c r="MH46">
        <f t="shared" si="136"/>
        <v>44</v>
      </c>
      <c r="MI46" s="5" t="str">
        <f t="shared" si="137"/>
        <v>Shooting (mixed)</v>
      </c>
      <c r="MJ46" s="68">
        <f>COUNTIF(Builder!$K$28:$N$28,MI46)</f>
        <v>0</v>
      </c>
      <c r="MK46" s="68" t="str">
        <f>IF(MJ46=1,Stats!$N61,"")</f>
        <v/>
      </c>
      <c r="ML46" s="68" t="str">
        <f>IF(MJ46=1,Stats!$O61,"")</f>
        <v/>
      </c>
      <c r="MM46" s="68" t="str">
        <f>IF(MJ46=1,Stats!$P61,"")</f>
        <v/>
      </c>
      <c r="MN46" s="68" t="str">
        <f>IF(MJ46=1,Stats!$Q61,"")</f>
        <v/>
      </c>
      <c r="MO46" s="68" t="str">
        <f>IF(MJ46=1,Stats!$R61,"")</f>
        <v/>
      </c>
      <c r="MP46" s="68" t="str">
        <f>IF(MJ46=1,Stats!$S61,"")</f>
        <v/>
      </c>
      <c r="MQ46" s="68">
        <f t="shared" si="138"/>
        <v>0</v>
      </c>
      <c r="MR46">
        <f t="shared" si="139"/>
        <v>0</v>
      </c>
      <c r="MS46" s="68">
        <f>IF(MR46=0,MAX(MS$2:MS45)+1,0)</f>
        <v>44</v>
      </c>
      <c r="MT46" s="5" t="str">
        <f t="shared" si="140"/>
        <v>Shooting (mixed)</v>
      </c>
      <c r="MU46" s="5" t="str">
        <f t="shared" si="141"/>
        <v>Shooting (mixed)</v>
      </c>
      <c r="MW46">
        <f t="shared" si="142"/>
        <v>44</v>
      </c>
      <c r="MX46" s="5" t="str">
        <f t="shared" si="143"/>
        <v>Shooting (mixed)</v>
      </c>
      <c r="MY46" s="68">
        <f>COUNTIF(Builder!$K$29:$N$29,MX46)</f>
        <v>0</v>
      </c>
      <c r="MZ46" s="68" t="str">
        <f>IF(MY46=1,Stats!$N61,"")</f>
        <v/>
      </c>
      <c r="NA46" s="68" t="str">
        <f>IF(MY46=1,Stats!$O61,"")</f>
        <v/>
      </c>
      <c r="NB46" s="68" t="str">
        <f>IF(MY46=1,Stats!$P61,"")</f>
        <v/>
      </c>
      <c r="NC46" s="68" t="str">
        <f>IF(MY46=1,Stats!$Q61,"")</f>
        <v/>
      </c>
      <c r="ND46" s="68" t="str">
        <f>IF(MY46=1,Stats!$R61,"")</f>
        <v/>
      </c>
      <c r="NE46" s="68" t="str">
        <f>IF(MY46=1,Stats!$S61,"")</f>
        <v/>
      </c>
      <c r="NF46" s="68">
        <f t="shared" si="144"/>
        <v>0</v>
      </c>
      <c r="NG46">
        <f t="shared" si="145"/>
        <v>0</v>
      </c>
      <c r="NH46" s="68">
        <f>IF(NG46=0,MAX(NH$2:NH45)+1,0)</f>
        <v>44</v>
      </c>
      <c r="NI46" s="5" t="str">
        <f t="shared" si="146"/>
        <v>Shooting (mixed)</v>
      </c>
      <c r="NJ46" s="5" t="str">
        <f t="shared" si="147"/>
        <v>Shooting (mixed)</v>
      </c>
    </row>
    <row r="47" spans="1:374" ht="15" x14ac:dyDescent="0.3">
      <c r="A47">
        <v>45</v>
      </c>
      <c r="B47" s="5" t="s">
        <v>46</v>
      </c>
      <c r="C47" s="68">
        <f>COUNTIF(Builder!$K$5:$N$5,B47)</f>
        <v>0</v>
      </c>
      <c r="D47" s="68" t="str">
        <f>IF(C47=1,Stats!$N62,"")</f>
        <v/>
      </c>
      <c r="E47" s="68" t="str">
        <f>IF(C47=1,Stats!$O62,"")</f>
        <v/>
      </c>
      <c r="F47" s="68" t="str">
        <f>IF(C47=1,Stats!$P62,"")</f>
        <v/>
      </c>
      <c r="G47" s="68" t="str">
        <f>IF(C47=1,Stats!$Q62,"")</f>
        <v/>
      </c>
      <c r="H47" s="68" t="str">
        <f>IF(C47=1,Stats!$R62,"")</f>
        <v/>
      </c>
      <c r="I47" s="68" t="str">
        <f>IF(C47=1,Stats!$S62,"")</f>
        <v/>
      </c>
      <c r="J47" s="68">
        <f t="shared" si="0"/>
        <v>0</v>
      </c>
      <c r="K47">
        <f t="shared" si="1"/>
        <v>0</v>
      </c>
      <c r="L47" s="68">
        <f>IF(K47=0,MAX($L$2:L46)+1,0)</f>
        <v>45</v>
      </c>
      <c r="M47" s="5" t="str">
        <f t="shared" si="2"/>
        <v>Shooting (skilled)</v>
      </c>
      <c r="N47" s="5" t="str">
        <f t="shared" si="3"/>
        <v>Shooting (skilled)</v>
      </c>
      <c r="O47" s="5"/>
      <c r="P47">
        <f t="shared" si="4"/>
        <v>45</v>
      </c>
      <c r="Q47" s="5" t="str">
        <f t="shared" si="5"/>
        <v>Shooting (skilled)</v>
      </c>
      <c r="R47" s="68">
        <f>COUNTIF(Builder!$K$6:$N$6,Q47)</f>
        <v>0</v>
      </c>
      <c r="S47" s="68" t="str">
        <f>IF(R47=1,Stats!$N62,"")</f>
        <v/>
      </c>
      <c r="T47" s="68" t="str">
        <f>IF(R47=1,Stats!$O62,"")</f>
        <v/>
      </c>
      <c r="U47" s="68" t="str">
        <f>IF(R47=1,Stats!$P62,"")</f>
        <v/>
      </c>
      <c r="V47" s="68" t="str">
        <f>IF(R47=1,Stats!$Q62,"")</f>
        <v/>
      </c>
      <c r="W47" s="68" t="str">
        <f>IF(R47=1,Stats!$R62,"")</f>
        <v/>
      </c>
      <c r="X47" s="68" t="str">
        <f>IF(R47=1,Stats!$S62,"")</f>
        <v/>
      </c>
      <c r="Y47" s="68">
        <f t="shared" si="6"/>
        <v>0</v>
      </c>
      <c r="Z47">
        <f t="shared" si="7"/>
        <v>0</v>
      </c>
      <c r="AA47" s="68">
        <f>IF(Z47=0,MAX($AA$2:AA46)+1,0)</f>
        <v>45</v>
      </c>
      <c r="AB47" s="5" t="str">
        <f t="shared" si="8"/>
        <v>Shooting (skilled)</v>
      </c>
      <c r="AC47" s="5" t="str">
        <f t="shared" si="9"/>
        <v>Shooting (skilled)</v>
      </c>
      <c r="AD47" s="5"/>
      <c r="AE47">
        <f t="shared" si="10"/>
        <v>45</v>
      </c>
      <c r="AF47" s="5" t="str">
        <f t="shared" si="11"/>
        <v>Shooting (skilled)</v>
      </c>
      <c r="AG47" s="68">
        <f>COUNTIF(Builder!$K$7:$N$7,AF47)</f>
        <v>0</v>
      </c>
      <c r="AH47" s="68" t="str">
        <f>IF(AG47=1,Stats!$N62,"")</f>
        <v/>
      </c>
      <c r="AI47" s="68" t="str">
        <f>IF(AG47=1,Stats!$O62,"")</f>
        <v/>
      </c>
      <c r="AJ47" s="68" t="str">
        <f>IF(AG47=1,Stats!$P62,"")</f>
        <v/>
      </c>
      <c r="AK47" s="68" t="str">
        <f>IF(AG47=1,Stats!$Q62,"")</f>
        <v/>
      </c>
      <c r="AL47" s="68" t="str">
        <f>IF(AG47=1,Stats!$R62,"")</f>
        <v/>
      </c>
      <c r="AM47" s="68" t="str">
        <f>IF(AG47=1,Stats!$S62,"")</f>
        <v/>
      </c>
      <c r="AN47" s="68">
        <f t="shared" si="12"/>
        <v>0</v>
      </c>
      <c r="AO47">
        <f t="shared" si="13"/>
        <v>0</v>
      </c>
      <c r="AP47" s="68">
        <f>IF(AO47=0,MAX($AP$2:AP46)+1,0)</f>
        <v>45</v>
      </c>
      <c r="AQ47" s="5" t="str">
        <f t="shared" si="14"/>
        <v>Shooting (skilled)</v>
      </c>
      <c r="AR47" s="5" t="str">
        <f t="shared" si="15"/>
        <v>Shooting (skilled)</v>
      </c>
      <c r="AS47" s="5"/>
      <c r="AT47">
        <f t="shared" si="16"/>
        <v>45</v>
      </c>
      <c r="AU47" s="5" t="str">
        <f t="shared" si="17"/>
        <v>Shooting (skilled)</v>
      </c>
      <c r="AV47" s="68">
        <f>COUNTIF(Builder!$K$8:$N$8,AU47)</f>
        <v>0</v>
      </c>
      <c r="AW47" s="68" t="str">
        <f>IF(AV47=1,Stats!$N62,"")</f>
        <v/>
      </c>
      <c r="AX47" s="68" t="str">
        <f>IF(AV47=1,Stats!$O62,"")</f>
        <v/>
      </c>
      <c r="AY47" s="68" t="str">
        <f>IF(AV47=1,Stats!$P62,"")</f>
        <v/>
      </c>
      <c r="AZ47" s="68" t="str">
        <f>IF(AV47=1,Stats!$Q62,"")</f>
        <v/>
      </c>
      <c r="BA47" s="68" t="str">
        <f>IF(AV47=1,Stats!$R62,"")</f>
        <v/>
      </c>
      <c r="BB47" s="68" t="str">
        <f>IF(AV47=1,Stats!$S62,"")</f>
        <v/>
      </c>
      <c r="BC47" s="68">
        <f t="shared" si="18"/>
        <v>0</v>
      </c>
      <c r="BD47">
        <f t="shared" si="19"/>
        <v>0</v>
      </c>
      <c r="BE47" s="68">
        <f>IF(BD47=0,MAX($BE$2:BE46)+1,0)</f>
        <v>45</v>
      </c>
      <c r="BF47" s="5" t="str">
        <f t="shared" si="20"/>
        <v>Shooting (skilled)</v>
      </c>
      <c r="BG47" s="5" t="str">
        <f t="shared" si="21"/>
        <v>Shooting (skilled)</v>
      </c>
      <c r="BH47" s="5"/>
      <c r="BI47">
        <f t="shared" si="148"/>
        <v>45</v>
      </c>
      <c r="BJ47" s="5" t="str">
        <f t="shared" si="149"/>
        <v>Shooting (skilled)</v>
      </c>
      <c r="BK47" s="68">
        <f>COUNTIF(Builder!$K$9:$N$9,BJ47)</f>
        <v>0</v>
      </c>
      <c r="BL47" s="68" t="str">
        <f>IF(BK47=1,Stats!$N62,"")</f>
        <v/>
      </c>
      <c r="BM47" s="68" t="str">
        <f>IF(BK47=1,Stats!$O62,"")</f>
        <v/>
      </c>
      <c r="BN47" s="68" t="str">
        <f>IF(BK47=1,Stats!$P62,"")</f>
        <v/>
      </c>
      <c r="BO47" s="68" t="str">
        <f>IF(BK47=1,Stats!$Q62,"")</f>
        <v/>
      </c>
      <c r="BP47" s="68" t="str">
        <f>IF(BK47=1,Stats!$R62,"")</f>
        <v/>
      </c>
      <c r="BQ47" s="68" t="str">
        <f>IF(BK47=1,Stats!$S62,"")</f>
        <v/>
      </c>
      <c r="BR47" s="68">
        <f t="shared" si="150"/>
        <v>0</v>
      </c>
      <c r="BS47">
        <f t="shared" si="151"/>
        <v>0</v>
      </c>
      <c r="BT47" s="68">
        <f>IF(BS47=0,MAX(BT$2:BT46)+1,0)</f>
        <v>45</v>
      </c>
      <c r="BU47" s="5" t="str">
        <f t="shared" si="152"/>
        <v>Shooting (skilled)</v>
      </c>
      <c r="BV47" s="5" t="str">
        <f t="shared" si="27"/>
        <v>Shooting (skilled)</v>
      </c>
      <c r="BX47">
        <f t="shared" si="153"/>
        <v>45</v>
      </c>
      <c r="BY47" s="5" t="str">
        <f t="shared" si="154"/>
        <v>Shooting (skilled)</v>
      </c>
      <c r="BZ47" s="68">
        <f>COUNTIF(Builder!$K$10:$N$10,BY47)</f>
        <v>0</v>
      </c>
      <c r="CA47" s="68" t="str">
        <f>IF(BZ47=1,Stats!$N62,"")</f>
        <v/>
      </c>
      <c r="CB47" s="68" t="str">
        <f>IF(BZ47=1,Stats!$O62,"")</f>
        <v/>
      </c>
      <c r="CC47" s="68" t="str">
        <f>IF(BZ47=1,Stats!$P62,"")</f>
        <v/>
      </c>
      <c r="CD47" s="68" t="str">
        <f>IF(BZ47=1,Stats!$Q62,"")</f>
        <v/>
      </c>
      <c r="CE47" s="68" t="str">
        <f>IF(BZ47=1,Stats!$R62,"")</f>
        <v/>
      </c>
      <c r="CF47" s="68" t="str">
        <f>IF(BZ47=1,Stats!$S62,"")</f>
        <v/>
      </c>
      <c r="CG47" s="68">
        <f t="shared" si="155"/>
        <v>0</v>
      </c>
      <c r="CH47">
        <f t="shared" si="156"/>
        <v>0</v>
      </c>
      <c r="CI47" s="68">
        <f>IF(CH47=0,MAX(CI$2:CI46)+1,0)</f>
        <v>45</v>
      </c>
      <c r="CJ47" s="5" t="str">
        <f t="shared" si="157"/>
        <v>Shooting (skilled)</v>
      </c>
      <c r="CK47" s="5" t="str">
        <f t="shared" si="33"/>
        <v>Shooting (skilled)</v>
      </c>
      <c r="CM47">
        <f t="shared" si="34"/>
        <v>45</v>
      </c>
      <c r="CN47" s="5" t="str">
        <f t="shared" si="35"/>
        <v>Shooting (skilled)</v>
      </c>
      <c r="CO47" s="68">
        <f>COUNTIF(Builder!$K$11:$N$11,CN47)</f>
        <v>0</v>
      </c>
      <c r="CP47" s="68" t="str">
        <f>IF(CO47=1,Stats!$N62,"")</f>
        <v/>
      </c>
      <c r="CQ47" s="68" t="str">
        <f>IF(CO47=1,Stats!$O62,"")</f>
        <v/>
      </c>
      <c r="CR47" s="68" t="str">
        <f>IF(CO47=1,Stats!$P62,"")</f>
        <v/>
      </c>
      <c r="CS47" s="68" t="str">
        <f>IF(CO47=1,Stats!$Q62,"")</f>
        <v/>
      </c>
      <c r="CT47" s="68" t="str">
        <f>IF(CO47=1,Stats!$R62,"")</f>
        <v/>
      </c>
      <c r="CU47" s="68" t="str">
        <f>IF(CO47=1,Stats!$S62,"")</f>
        <v/>
      </c>
      <c r="CV47" s="68">
        <f t="shared" si="36"/>
        <v>0</v>
      </c>
      <c r="CW47">
        <f t="shared" si="37"/>
        <v>0</v>
      </c>
      <c r="CX47" s="68">
        <f>IF(CW47=0,MAX(CX$2:CX46)+1,0)</f>
        <v>45</v>
      </c>
      <c r="CY47" s="5" t="str">
        <f t="shared" si="38"/>
        <v>Shooting (skilled)</v>
      </c>
      <c r="CZ47" s="5" t="str">
        <f t="shared" si="39"/>
        <v>Shooting (skilled)</v>
      </c>
      <c r="DB47">
        <f t="shared" si="158"/>
        <v>45</v>
      </c>
      <c r="DC47" s="5" t="str">
        <f t="shared" si="159"/>
        <v>Shooting (skilled)</v>
      </c>
      <c r="DD47" s="68">
        <f>COUNTIF(Builder!$K$12:$N$12,DC47)</f>
        <v>0</v>
      </c>
      <c r="DE47" s="68" t="str">
        <f>IF(DD47=1,Stats!$N62,"")</f>
        <v/>
      </c>
      <c r="DF47" s="68" t="str">
        <f>IF(DD47=1,Stats!$O62,"")</f>
        <v/>
      </c>
      <c r="DG47" s="68" t="str">
        <f>IF(DD47=1,Stats!$P62,"")</f>
        <v/>
      </c>
      <c r="DH47" s="68" t="str">
        <f>IF(DD47=1,Stats!$Q62,"")</f>
        <v/>
      </c>
      <c r="DI47" s="68" t="str">
        <f>IF(DD47=1,Stats!$R62,"")</f>
        <v/>
      </c>
      <c r="DJ47" s="68" t="str">
        <f>IF(DD47=1,Stats!$S62,"")</f>
        <v/>
      </c>
      <c r="DK47" s="68">
        <f t="shared" si="160"/>
        <v>0</v>
      </c>
      <c r="DL47">
        <f t="shared" si="161"/>
        <v>0</v>
      </c>
      <c r="DM47" s="68">
        <f>IF(DL47=0,MAX(DM$2:DM46)+1,0)</f>
        <v>45</v>
      </c>
      <c r="DN47" s="5" t="str">
        <f t="shared" si="162"/>
        <v>Shooting (skilled)</v>
      </c>
      <c r="DO47" s="5" t="str">
        <f t="shared" si="45"/>
        <v>Shooting (skilled)</v>
      </c>
      <c r="DQ47">
        <f t="shared" si="163"/>
        <v>45</v>
      </c>
      <c r="DR47" s="5" t="str">
        <f t="shared" si="164"/>
        <v>Shooting (skilled)</v>
      </c>
      <c r="DS47" s="68">
        <f>COUNTIF(Builder!$K$13:$N$13,DR47)</f>
        <v>0</v>
      </c>
      <c r="DT47" s="68" t="str">
        <f>IF(DS47=1,Stats!$N62,"")</f>
        <v/>
      </c>
      <c r="DU47" s="68" t="str">
        <f>IF(DS47=1,Stats!$O62,"")</f>
        <v/>
      </c>
      <c r="DV47" s="68" t="str">
        <f>IF(DS47=1,Stats!$P62,"")</f>
        <v/>
      </c>
      <c r="DW47" s="68" t="str">
        <f>IF(DS47=1,Stats!$Q62,"")</f>
        <v/>
      </c>
      <c r="DX47" s="68" t="str">
        <f>IF(DS47=1,Stats!$R62,"")</f>
        <v/>
      </c>
      <c r="DY47" s="68" t="str">
        <f>IF(DS47=1,Stats!$S62,"")</f>
        <v/>
      </c>
      <c r="DZ47" s="68">
        <f t="shared" si="165"/>
        <v>0</v>
      </c>
      <c r="EA47">
        <f t="shared" si="166"/>
        <v>0</v>
      </c>
      <c r="EB47" s="68">
        <f>IF(EA47=0,MAX(EB$2:EB46)+1,0)</f>
        <v>45</v>
      </c>
      <c r="EC47" s="5" t="str">
        <f t="shared" si="167"/>
        <v>Shooting (skilled)</v>
      </c>
      <c r="ED47" s="5" t="str">
        <f t="shared" si="51"/>
        <v>Shooting (skilled)</v>
      </c>
      <c r="EF47">
        <f t="shared" si="52"/>
        <v>45</v>
      </c>
      <c r="EG47" s="5" t="str">
        <f t="shared" si="53"/>
        <v>Shooting (skilled)</v>
      </c>
      <c r="EH47" s="68">
        <f>COUNTIF(Builder!$K$14:$N$14,EG47)</f>
        <v>0</v>
      </c>
      <c r="EI47" s="68" t="str">
        <f>IF(EH47=1,Stats!$N62,"")</f>
        <v/>
      </c>
      <c r="EJ47" s="68" t="str">
        <f>IF(EH47=1,Stats!$O62,"")</f>
        <v/>
      </c>
      <c r="EK47" s="68" t="str">
        <f>IF(EH47=1,Stats!$P62,"")</f>
        <v/>
      </c>
      <c r="EL47" s="68" t="str">
        <f>IF(EH47=1,Stats!$Q62,"")</f>
        <v/>
      </c>
      <c r="EM47" s="68" t="str">
        <f>IF(EH47=1,Stats!$R62,"")</f>
        <v/>
      </c>
      <c r="EN47" s="68" t="str">
        <f>IF(EH47=1,Stats!$S62,"")</f>
        <v/>
      </c>
      <c r="EO47" s="68">
        <f t="shared" si="54"/>
        <v>0</v>
      </c>
      <c r="EP47">
        <f t="shared" si="55"/>
        <v>0</v>
      </c>
      <c r="EQ47" s="68">
        <f>IF(EP47=0,MAX(EQ$2:EQ46)+1,0)</f>
        <v>45</v>
      </c>
      <c r="ER47" s="5" t="str">
        <f t="shared" si="56"/>
        <v>Shooting (skilled)</v>
      </c>
      <c r="ES47" s="5" t="str">
        <f t="shared" si="57"/>
        <v>Shooting (skilled)</v>
      </c>
      <c r="EU47">
        <f t="shared" si="58"/>
        <v>45</v>
      </c>
      <c r="EV47" s="5" t="str">
        <f t="shared" si="59"/>
        <v>Shooting (skilled)</v>
      </c>
      <c r="EW47" s="68">
        <f>COUNTIF(Builder!$K$15:$N$15,EV47)</f>
        <v>0</v>
      </c>
      <c r="EX47" s="68" t="str">
        <f>IF(EW47=1,Stats!$N62,"")</f>
        <v/>
      </c>
      <c r="EY47" s="68" t="str">
        <f>IF(EW47=1,Stats!$O62,"")</f>
        <v/>
      </c>
      <c r="EZ47" s="68" t="str">
        <f>IF(EW47=1,Stats!$P62,"")</f>
        <v/>
      </c>
      <c r="FA47" s="68" t="str">
        <f>IF(EW47=1,Stats!$Q62,"")</f>
        <v/>
      </c>
      <c r="FB47" s="68" t="str">
        <f>IF(EW47=1,Stats!$R62,"")</f>
        <v/>
      </c>
      <c r="FC47" s="68" t="str">
        <f>IF(EW47=1,Stats!$S62,"")</f>
        <v/>
      </c>
      <c r="FD47" s="68">
        <f t="shared" si="60"/>
        <v>0</v>
      </c>
      <c r="FE47">
        <f t="shared" si="61"/>
        <v>0</v>
      </c>
      <c r="FF47" s="68">
        <f>IF(FE47=0,MAX(FF$2:FF46)+1,0)</f>
        <v>45</v>
      </c>
      <c r="FG47" s="5" t="str">
        <f t="shared" si="62"/>
        <v>Shooting (skilled)</v>
      </c>
      <c r="FH47" s="5" t="str">
        <f t="shared" si="63"/>
        <v>Shooting (skilled)</v>
      </c>
      <c r="FJ47">
        <f t="shared" si="64"/>
        <v>45</v>
      </c>
      <c r="FK47" s="5" t="str">
        <f t="shared" si="65"/>
        <v>Shooting (skilled)</v>
      </c>
      <c r="FL47" s="68">
        <f>COUNTIF(Builder!$K$16:$N$16,FK47)</f>
        <v>0</v>
      </c>
      <c r="FM47" s="68" t="str">
        <f>IF(FL47=1,Stats!$N62,"")</f>
        <v/>
      </c>
      <c r="FN47" s="68" t="str">
        <f>IF(FL47=1,Stats!$O62,"")</f>
        <v/>
      </c>
      <c r="FO47" s="68" t="str">
        <f>IF(FL47=1,Stats!$P62,"")</f>
        <v/>
      </c>
      <c r="FP47" s="68" t="str">
        <f>IF(FL47=1,Stats!$Q62,"")</f>
        <v/>
      </c>
      <c r="FQ47" s="68" t="str">
        <f>IF(FL47=1,Stats!$R62,"")</f>
        <v/>
      </c>
      <c r="FR47" s="68" t="str">
        <f>IF(FL47=1,Stats!$S62,"")</f>
        <v/>
      </c>
      <c r="FS47" s="68">
        <f t="shared" si="66"/>
        <v>0</v>
      </c>
      <c r="FT47">
        <f t="shared" si="67"/>
        <v>0</v>
      </c>
      <c r="FU47" s="68">
        <f>IF(FT47=0,MAX(FU$2:FU46)+1,0)</f>
        <v>45</v>
      </c>
      <c r="FV47" s="5" t="str">
        <f t="shared" si="68"/>
        <v>Shooting (skilled)</v>
      </c>
      <c r="FW47" s="5" t="str">
        <f t="shared" si="69"/>
        <v>Shooting (skilled)</v>
      </c>
      <c r="FY47">
        <f t="shared" si="168"/>
        <v>45</v>
      </c>
      <c r="FZ47" s="5" t="str">
        <f t="shared" si="169"/>
        <v>Shooting (skilled)</v>
      </c>
      <c r="GA47" s="68">
        <f>COUNTIF(Builder!$K$17:$N$17,FZ47)</f>
        <v>0</v>
      </c>
      <c r="GB47" s="68" t="str">
        <f>IF(GA47=1,Stats!$N62,"")</f>
        <v/>
      </c>
      <c r="GC47" s="68" t="str">
        <f>IF(GA47=1,Stats!$O62,"")</f>
        <v/>
      </c>
      <c r="GD47" s="68" t="str">
        <f>IF(GA47=1,Stats!$P62,"")</f>
        <v/>
      </c>
      <c r="GE47" s="68" t="str">
        <f>IF(GA47=1,Stats!$Q62,"")</f>
        <v/>
      </c>
      <c r="GF47" s="68" t="str">
        <f>IF(GA47=1,Stats!$R62,"")</f>
        <v/>
      </c>
      <c r="GG47" s="68" t="str">
        <f>IF(GA47=1,Stats!$S62,"")</f>
        <v/>
      </c>
      <c r="GH47" s="68">
        <f t="shared" si="170"/>
        <v>0</v>
      </c>
      <c r="GI47">
        <f t="shared" si="171"/>
        <v>0</v>
      </c>
      <c r="GJ47" s="68">
        <f>IF(GI47=0,MAX(GJ$2:GJ46)+1,0)</f>
        <v>45</v>
      </c>
      <c r="GK47" s="5" t="str">
        <f t="shared" si="172"/>
        <v>Shooting (skilled)</v>
      </c>
      <c r="GL47" s="5" t="str">
        <f t="shared" si="75"/>
        <v>Shooting (skilled)</v>
      </c>
      <c r="GN47">
        <f t="shared" si="76"/>
        <v>45</v>
      </c>
      <c r="GO47" s="5" t="str">
        <f t="shared" si="77"/>
        <v>Shooting (skilled)</v>
      </c>
      <c r="GP47" s="68">
        <f>COUNTIF(Builder!$K$18:$N$18,GO47)</f>
        <v>0</v>
      </c>
      <c r="GQ47" s="68" t="str">
        <f>IF(GP47=1,Stats!$N62,"")</f>
        <v/>
      </c>
      <c r="GR47" s="68" t="str">
        <f>IF(GP47=1,Stats!$O62,"")</f>
        <v/>
      </c>
      <c r="GS47" s="68" t="str">
        <f>IF(GP47=1,Stats!$P62,"")</f>
        <v/>
      </c>
      <c r="GT47" s="68" t="str">
        <f>IF(GP47=1,Stats!$Q62,"")</f>
        <v/>
      </c>
      <c r="GU47" s="68" t="str">
        <f>IF(GP47=1,Stats!$R62,"")</f>
        <v/>
      </c>
      <c r="GV47" s="68" t="str">
        <f>IF(GP47=1,Stats!$S62,"")</f>
        <v/>
      </c>
      <c r="GW47" s="68">
        <f t="shared" si="78"/>
        <v>0</v>
      </c>
      <c r="GX47">
        <f t="shared" si="79"/>
        <v>0</v>
      </c>
      <c r="GY47" s="68">
        <f>IF(GX47=0,MAX(GY$2:GY46)+1,0)</f>
        <v>45</v>
      </c>
      <c r="GZ47" s="5" t="str">
        <f t="shared" si="80"/>
        <v>Shooting (skilled)</v>
      </c>
      <c r="HA47" s="5" t="str">
        <f t="shared" si="81"/>
        <v>Shooting (skilled)</v>
      </c>
      <c r="HC47">
        <f t="shared" si="82"/>
        <v>45</v>
      </c>
      <c r="HD47" s="5" t="str">
        <f t="shared" si="83"/>
        <v>Shooting (skilled)</v>
      </c>
      <c r="HE47" s="68">
        <f>COUNTIF(Builder!$K$19:$N$19,HD47)</f>
        <v>0</v>
      </c>
      <c r="HF47" s="68" t="str">
        <f>IF(HE47=1,Stats!$N62,"")</f>
        <v/>
      </c>
      <c r="HG47" s="68" t="str">
        <f>IF(HE47=1,Stats!$O62,"")</f>
        <v/>
      </c>
      <c r="HH47" s="68" t="str">
        <f>IF(HE47=1,Stats!$P62,"")</f>
        <v/>
      </c>
      <c r="HI47" s="68" t="str">
        <f>IF(HE47=1,Stats!$Q62,"")</f>
        <v/>
      </c>
      <c r="HJ47" s="68" t="str">
        <f>IF(HE47=1,Stats!$R62,"")</f>
        <v/>
      </c>
      <c r="HK47" s="68" t="str">
        <f>IF(HE47=1,Stats!$S62,"")</f>
        <v/>
      </c>
      <c r="HL47" s="68">
        <f t="shared" si="84"/>
        <v>0</v>
      </c>
      <c r="HM47">
        <f t="shared" si="85"/>
        <v>0</v>
      </c>
      <c r="HN47" s="68">
        <f>IF(HM47=0,MAX(HN$2:HN46)+1,0)</f>
        <v>45</v>
      </c>
      <c r="HO47" s="5" t="str">
        <f t="shared" si="86"/>
        <v>Shooting (skilled)</v>
      </c>
      <c r="HP47" s="5" t="str">
        <f t="shared" si="87"/>
        <v>Shooting (skilled)</v>
      </c>
      <c r="HR47">
        <f t="shared" si="88"/>
        <v>45</v>
      </c>
      <c r="HS47" s="5" t="str">
        <f t="shared" si="89"/>
        <v>Shooting (skilled)</v>
      </c>
      <c r="HT47" s="68">
        <f>COUNTIF(Builder!$K$20:$N$20,HS47)</f>
        <v>0</v>
      </c>
      <c r="HU47" s="68" t="str">
        <f>IF(HT47=1,Stats!$N62,"")</f>
        <v/>
      </c>
      <c r="HV47" s="68" t="str">
        <f>IF(HT47=1,Stats!$O62,"")</f>
        <v/>
      </c>
      <c r="HW47" s="68" t="str">
        <f>IF(HT47=1,Stats!$P62,"")</f>
        <v/>
      </c>
      <c r="HX47" s="68" t="str">
        <f>IF(HT47=1,Stats!$Q62,"")</f>
        <v/>
      </c>
      <c r="HY47" s="68" t="str">
        <f>IF(HT47=1,Stats!$R62,"")</f>
        <v/>
      </c>
      <c r="HZ47" s="68" t="str">
        <f>IF(HT47=1,Stats!$S62,"")</f>
        <v/>
      </c>
      <c r="IA47" s="68">
        <f t="shared" si="90"/>
        <v>0</v>
      </c>
      <c r="IB47">
        <f t="shared" si="91"/>
        <v>0</v>
      </c>
      <c r="IC47" s="68">
        <f>IF(IB47=0,MAX(IC$2:IC46)+1,0)</f>
        <v>45</v>
      </c>
      <c r="ID47" s="5" t="str">
        <f t="shared" si="92"/>
        <v>Shooting (skilled)</v>
      </c>
      <c r="IE47" s="5" t="str">
        <f t="shared" si="93"/>
        <v>Shooting (skilled)</v>
      </c>
      <c r="IG47">
        <f t="shared" si="94"/>
        <v>45</v>
      </c>
      <c r="IH47" s="5" t="str">
        <f t="shared" si="95"/>
        <v>Shooting (skilled)</v>
      </c>
      <c r="II47" s="68">
        <f>COUNTIF(Builder!$K$21:$N$21,IH47)</f>
        <v>0</v>
      </c>
      <c r="IJ47" s="68" t="str">
        <f>IF(II47=1,Stats!$N62,"")</f>
        <v/>
      </c>
      <c r="IK47" s="68" t="str">
        <f>IF(II47=1,Stats!$O62,"")</f>
        <v/>
      </c>
      <c r="IL47" s="68" t="str">
        <f>IF(II47=1,Stats!$P62,"")</f>
        <v/>
      </c>
      <c r="IM47" s="68" t="str">
        <f>IF(II47=1,Stats!$Q62,"")</f>
        <v/>
      </c>
      <c r="IN47" s="68" t="str">
        <f>IF(II47=1,Stats!$R62,"")</f>
        <v/>
      </c>
      <c r="IO47" s="68" t="str">
        <f>IF(II47=1,Stats!$S62,"")</f>
        <v/>
      </c>
      <c r="IP47" s="68">
        <f t="shared" si="96"/>
        <v>0</v>
      </c>
      <c r="IQ47">
        <f t="shared" si="97"/>
        <v>0</v>
      </c>
      <c r="IR47" s="68">
        <f>IF(IQ47=0,MAX(IR$2:IR46)+1,0)</f>
        <v>45</v>
      </c>
      <c r="IS47" s="5" t="str">
        <f t="shared" si="98"/>
        <v>Shooting (skilled)</v>
      </c>
      <c r="IT47" s="5" t="str">
        <f t="shared" si="99"/>
        <v>Shooting (skilled)</v>
      </c>
      <c r="IV47">
        <f t="shared" si="100"/>
        <v>45</v>
      </c>
      <c r="IW47" s="5" t="str">
        <f t="shared" si="101"/>
        <v>Shooting (skilled)</v>
      </c>
      <c r="IX47" s="68">
        <f>COUNTIF(Builder!$K$22:$N$22,IW47)</f>
        <v>0</v>
      </c>
      <c r="IY47" s="68" t="str">
        <f>IF(IX47=1,Stats!$N62,"")</f>
        <v/>
      </c>
      <c r="IZ47" s="68" t="str">
        <f>IF(IX47=1,Stats!$O62,"")</f>
        <v/>
      </c>
      <c r="JA47" s="68" t="str">
        <f>IF(IX47=1,Stats!$P62,"")</f>
        <v/>
      </c>
      <c r="JB47" s="68" t="str">
        <f>IF(IX47=1,Stats!$Q62,"")</f>
        <v/>
      </c>
      <c r="JC47" s="68" t="str">
        <f>IF(IX47=1,Stats!$R62,"")</f>
        <v/>
      </c>
      <c r="JD47" s="68" t="str">
        <f>IF(IX47=1,Stats!$S62,"")</f>
        <v/>
      </c>
      <c r="JE47" s="68">
        <f t="shared" si="102"/>
        <v>0</v>
      </c>
      <c r="JF47">
        <f t="shared" si="103"/>
        <v>0</v>
      </c>
      <c r="JG47" s="68">
        <f>IF(JF47=0,MAX(JG$2:JG46)+1,0)</f>
        <v>45</v>
      </c>
      <c r="JH47" s="5" t="str">
        <f t="shared" si="104"/>
        <v>Shooting (skilled)</v>
      </c>
      <c r="JI47" s="5" t="str">
        <f t="shared" si="105"/>
        <v>Shooting (skilled)</v>
      </c>
      <c r="JK47">
        <f t="shared" si="106"/>
        <v>45</v>
      </c>
      <c r="JL47" s="5" t="str">
        <f t="shared" si="107"/>
        <v>Shooting (skilled)</v>
      </c>
      <c r="JM47" s="68">
        <f>COUNTIF(Builder!$K$23:$N$23,JL47)</f>
        <v>0</v>
      </c>
      <c r="JN47" s="68" t="str">
        <f>IF(JM47=1,Stats!$N62,"")</f>
        <v/>
      </c>
      <c r="JO47" s="68" t="str">
        <f>IF(JM47=1,Stats!$O62,"")</f>
        <v/>
      </c>
      <c r="JP47" s="68" t="str">
        <f>IF(JM47=1,Stats!$P62,"")</f>
        <v/>
      </c>
      <c r="JQ47" s="68" t="str">
        <f>IF(JM47=1,Stats!$Q62,"")</f>
        <v/>
      </c>
      <c r="JR47" s="68" t="str">
        <f>IF(JM47=1,Stats!$R62,"")</f>
        <v/>
      </c>
      <c r="JS47" s="68" t="str">
        <f>IF(JM47=1,Stats!$S62,"")</f>
        <v/>
      </c>
      <c r="JT47" s="68">
        <f t="shared" si="108"/>
        <v>0</v>
      </c>
      <c r="JU47">
        <f t="shared" si="109"/>
        <v>0</v>
      </c>
      <c r="JV47" s="68">
        <f>IF(JU47=0,MAX(JV$2:JV46)+1,0)</f>
        <v>45</v>
      </c>
      <c r="JW47" s="5" t="str">
        <f t="shared" si="110"/>
        <v>Shooting (skilled)</v>
      </c>
      <c r="JX47" s="5" t="str">
        <f t="shared" si="111"/>
        <v>Shooting (skilled)</v>
      </c>
      <c r="JZ47">
        <f t="shared" si="112"/>
        <v>45</v>
      </c>
      <c r="KA47" s="5" t="str">
        <f t="shared" si="113"/>
        <v>Shooting (skilled)</v>
      </c>
      <c r="KB47" s="68">
        <f>COUNTIF(Builder!$K$24:$N$24,KA47)</f>
        <v>0</v>
      </c>
      <c r="KC47" s="68" t="str">
        <f>IF(KB47=1,Stats!$N62,"")</f>
        <v/>
      </c>
      <c r="KD47" s="68" t="str">
        <f>IF(KB47=1,Stats!$O62,"")</f>
        <v/>
      </c>
      <c r="KE47" s="68" t="str">
        <f>IF(KB47=1,Stats!$P62,"")</f>
        <v/>
      </c>
      <c r="KF47" s="68" t="str">
        <f>IF(KB47=1,Stats!$Q62,"")</f>
        <v/>
      </c>
      <c r="KG47" s="68" t="str">
        <f>IF(KB47=1,Stats!$R62,"")</f>
        <v/>
      </c>
      <c r="KH47" s="68" t="str">
        <f>IF(KB47=1,Stats!$S62,"")</f>
        <v/>
      </c>
      <c r="KI47" s="68">
        <f t="shared" si="114"/>
        <v>0</v>
      </c>
      <c r="KJ47">
        <f t="shared" si="115"/>
        <v>0</v>
      </c>
      <c r="KK47" s="68">
        <f>IF(KJ47=0,MAX(KK$2:KK46)+1,0)</f>
        <v>45</v>
      </c>
      <c r="KL47" s="5" t="str">
        <f t="shared" si="116"/>
        <v>Shooting (skilled)</v>
      </c>
      <c r="KM47" s="5" t="str">
        <f t="shared" si="117"/>
        <v>Shooting (skilled)</v>
      </c>
      <c r="KO47">
        <f t="shared" si="118"/>
        <v>45</v>
      </c>
      <c r="KP47" s="5" t="str">
        <f t="shared" si="119"/>
        <v>Shooting (skilled)</v>
      </c>
      <c r="KQ47" s="68">
        <f>COUNTIF(Builder!$K$25:$N$25,KP47)</f>
        <v>0</v>
      </c>
      <c r="KR47" s="68" t="str">
        <f>IF(KQ47=1,Stats!$N62,"")</f>
        <v/>
      </c>
      <c r="KS47" s="68" t="str">
        <f>IF(KQ47=1,Stats!$O62,"")</f>
        <v/>
      </c>
      <c r="KT47" s="68" t="str">
        <f>IF(KQ47=1,Stats!$P62,"")</f>
        <v/>
      </c>
      <c r="KU47" s="68" t="str">
        <f>IF(KQ47=1,Stats!$Q62,"")</f>
        <v/>
      </c>
      <c r="KV47" s="68" t="str">
        <f>IF(KQ47=1,Stats!$R62,"")</f>
        <v/>
      </c>
      <c r="KW47" s="68" t="str">
        <f>IF(KQ47=1,Stats!$S62,"")</f>
        <v/>
      </c>
      <c r="KX47" s="68">
        <f t="shared" si="120"/>
        <v>0</v>
      </c>
      <c r="KY47">
        <f t="shared" si="121"/>
        <v>0</v>
      </c>
      <c r="KZ47" s="68">
        <f>IF(KY47=0,MAX(KZ$2:KZ46)+1,0)</f>
        <v>45</v>
      </c>
      <c r="LA47" s="5" t="str">
        <f t="shared" si="122"/>
        <v>Shooting (skilled)</v>
      </c>
      <c r="LB47" s="5" t="str">
        <f t="shared" si="123"/>
        <v>Shooting (skilled)</v>
      </c>
      <c r="LD47">
        <f t="shared" si="124"/>
        <v>45</v>
      </c>
      <c r="LE47" s="5" t="str">
        <f t="shared" si="125"/>
        <v>Shooting (skilled)</v>
      </c>
      <c r="LF47" s="68">
        <f>COUNTIF(Builder!$K$26:$N$26,LE47)</f>
        <v>0</v>
      </c>
      <c r="LG47" s="68" t="str">
        <f>IF(LF47=1,Stats!$N62,"")</f>
        <v/>
      </c>
      <c r="LH47" s="68" t="str">
        <f>IF(LF47=1,Stats!$O62,"")</f>
        <v/>
      </c>
      <c r="LI47" s="68" t="str">
        <f>IF(LF47=1,Stats!$P62,"")</f>
        <v/>
      </c>
      <c r="LJ47" s="68" t="str">
        <f>IF(LF47=1,Stats!$Q62,"")</f>
        <v/>
      </c>
      <c r="LK47" s="68" t="str">
        <f>IF(LF47=1,Stats!$R62,"")</f>
        <v/>
      </c>
      <c r="LL47" s="68" t="str">
        <f>IF(LF47=1,Stats!$S62,"")</f>
        <v/>
      </c>
      <c r="LM47" s="68">
        <f t="shared" si="126"/>
        <v>0</v>
      </c>
      <c r="LN47">
        <f t="shared" si="127"/>
        <v>0</v>
      </c>
      <c r="LO47" s="68">
        <f>IF(LN47=0,MAX(LO$2:LO46)+1,0)</f>
        <v>45</v>
      </c>
      <c r="LP47" s="5" t="str">
        <f t="shared" si="128"/>
        <v>Shooting (skilled)</v>
      </c>
      <c r="LQ47" s="5" t="str">
        <f t="shared" si="129"/>
        <v>Shooting (skilled)</v>
      </c>
      <c r="LS47">
        <f t="shared" si="130"/>
        <v>45</v>
      </c>
      <c r="LT47" s="5" t="str">
        <f t="shared" si="131"/>
        <v>Shooting (skilled)</v>
      </c>
      <c r="LU47" s="68">
        <f>COUNTIF(Builder!$K$27:$N$27,LT47)</f>
        <v>0</v>
      </c>
      <c r="LV47" s="68" t="str">
        <f>IF(LU47=1,Stats!$N62,"")</f>
        <v/>
      </c>
      <c r="LW47" s="68" t="str">
        <f>IF(LU47=1,Stats!$O62,"")</f>
        <v/>
      </c>
      <c r="LX47" s="68" t="str">
        <f>IF(LU47=1,Stats!$P62,"")</f>
        <v/>
      </c>
      <c r="LY47" s="68" t="str">
        <f>IF(LU47=1,Stats!$Q62,"")</f>
        <v/>
      </c>
      <c r="LZ47" s="68" t="str">
        <f>IF(LU47=1,Stats!$R62,"")</f>
        <v/>
      </c>
      <c r="MA47" s="68" t="str">
        <f>IF(LU47=1,Stats!$S62,"")</f>
        <v/>
      </c>
      <c r="MB47" s="68">
        <f t="shared" si="132"/>
        <v>0</v>
      </c>
      <c r="MC47">
        <f t="shared" si="133"/>
        <v>0</v>
      </c>
      <c r="MD47" s="68">
        <f>IF(MC47=0,MAX(MD$2:MD46)+1,0)</f>
        <v>45</v>
      </c>
      <c r="ME47" s="5" t="str">
        <f t="shared" si="134"/>
        <v>Shooting (skilled)</v>
      </c>
      <c r="MF47" s="5" t="str">
        <f t="shared" si="135"/>
        <v>Shooting (skilled)</v>
      </c>
      <c r="MH47">
        <f t="shared" si="136"/>
        <v>45</v>
      </c>
      <c r="MI47" s="5" t="str">
        <f t="shared" si="137"/>
        <v>Shooting (skilled)</v>
      </c>
      <c r="MJ47" s="68">
        <f>COUNTIF(Builder!$K$28:$N$28,MI47)</f>
        <v>0</v>
      </c>
      <c r="MK47" s="68" t="str">
        <f>IF(MJ47=1,Stats!$N62,"")</f>
        <v/>
      </c>
      <c r="ML47" s="68" t="str">
        <f>IF(MJ47=1,Stats!$O62,"")</f>
        <v/>
      </c>
      <c r="MM47" s="68" t="str">
        <f>IF(MJ47=1,Stats!$P62,"")</f>
        <v/>
      </c>
      <c r="MN47" s="68" t="str">
        <f>IF(MJ47=1,Stats!$Q62,"")</f>
        <v/>
      </c>
      <c r="MO47" s="68" t="str">
        <f>IF(MJ47=1,Stats!$R62,"")</f>
        <v/>
      </c>
      <c r="MP47" s="68" t="str">
        <f>IF(MJ47=1,Stats!$S62,"")</f>
        <v/>
      </c>
      <c r="MQ47" s="68">
        <f t="shared" si="138"/>
        <v>0</v>
      </c>
      <c r="MR47">
        <f t="shared" si="139"/>
        <v>0</v>
      </c>
      <c r="MS47" s="68">
        <f>IF(MR47=0,MAX(MS$2:MS46)+1,0)</f>
        <v>45</v>
      </c>
      <c r="MT47" s="5" t="str">
        <f t="shared" si="140"/>
        <v>Shooting (skilled)</v>
      </c>
      <c r="MU47" s="5" t="str">
        <f t="shared" si="141"/>
        <v>Shooting (skilled)</v>
      </c>
      <c r="MW47">
        <f t="shared" si="142"/>
        <v>45</v>
      </c>
      <c r="MX47" s="5" t="str">
        <f t="shared" si="143"/>
        <v>Shooting (skilled)</v>
      </c>
      <c r="MY47" s="68">
        <f>COUNTIF(Builder!$K$29:$N$29,MX47)</f>
        <v>0</v>
      </c>
      <c r="MZ47" s="68" t="str">
        <f>IF(MY47=1,Stats!$N62,"")</f>
        <v/>
      </c>
      <c r="NA47" s="68" t="str">
        <f>IF(MY47=1,Stats!$O62,"")</f>
        <v/>
      </c>
      <c r="NB47" s="68" t="str">
        <f>IF(MY47=1,Stats!$P62,"")</f>
        <v/>
      </c>
      <c r="NC47" s="68" t="str">
        <f>IF(MY47=1,Stats!$Q62,"")</f>
        <v/>
      </c>
      <c r="ND47" s="68" t="str">
        <f>IF(MY47=1,Stats!$R62,"")</f>
        <v/>
      </c>
      <c r="NE47" s="68" t="str">
        <f>IF(MY47=1,Stats!$S62,"")</f>
        <v/>
      </c>
      <c r="NF47" s="68">
        <f t="shared" si="144"/>
        <v>0</v>
      </c>
      <c r="NG47">
        <f t="shared" si="145"/>
        <v>0</v>
      </c>
      <c r="NH47" s="68">
        <f>IF(NG47=0,MAX(NH$2:NH46)+1,0)</f>
        <v>45</v>
      </c>
      <c r="NI47" s="5" t="str">
        <f t="shared" si="146"/>
        <v>Shooting (skilled)</v>
      </c>
      <c r="NJ47" s="5" t="str">
        <f t="shared" si="147"/>
        <v>Shooting (skilled)</v>
      </c>
    </row>
    <row r="48" spans="1:374" ht="15" x14ac:dyDescent="0.3">
      <c r="A48">
        <v>46</v>
      </c>
      <c r="B48" s="5" t="s">
        <v>47</v>
      </c>
      <c r="C48" s="68">
        <f>COUNTIF(Builder!$K$5:$N$5,B48)</f>
        <v>0</v>
      </c>
      <c r="D48" s="68" t="str">
        <f>IF(C48=1,Stats!$N63,"")</f>
        <v/>
      </c>
      <c r="E48" s="68" t="str">
        <f>IF(C48=1,Stats!$O63,"")</f>
        <v/>
      </c>
      <c r="F48" s="68" t="str">
        <f>IF(C48=1,Stats!$P63,"")</f>
        <v/>
      </c>
      <c r="G48" s="68" t="str">
        <f>IF(C48=1,Stats!$Q63,"")</f>
        <v/>
      </c>
      <c r="H48" s="68" t="str">
        <f>IF(C48=1,Stats!$R63,"")</f>
        <v/>
      </c>
      <c r="I48" s="68" t="str">
        <f>IF(C48=1,Stats!$S63,"")</f>
        <v/>
      </c>
      <c r="J48" s="68">
        <f t="shared" si="0"/>
        <v>0</v>
      </c>
      <c r="K48">
        <f t="shared" si="1"/>
        <v>0</v>
      </c>
      <c r="L48" s="68">
        <f>IF(K48=0,MAX($L$2:L47)+1,0)</f>
        <v>46</v>
      </c>
      <c r="M48" s="5" t="str">
        <f t="shared" si="2"/>
        <v>Slow</v>
      </c>
      <c r="N48" s="5" t="str">
        <f t="shared" si="3"/>
        <v>Slow</v>
      </c>
      <c r="O48" s="5"/>
      <c r="P48">
        <f t="shared" si="4"/>
        <v>46</v>
      </c>
      <c r="Q48" s="5" t="str">
        <f t="shared" si="5"/>
        <v>Slow</v>
      </c>
      <c r="R48" s="68">
        <f>COUNTIF(Builder!$K$6:$N$6,Q48)</f>
        <v>0</v>
      </c>
      <c r="S48" s="68" t="str">
        <f>IF(R48=1,Stats!$N63,"")</f>
        <v/>
      </c>
      <c r="T48" s="68" t="str">
        <f>IF(R48=1,Stats!$O63,"")</f>
        <v/>
      </c>
      <c r="U48" s="68" t="str">
        <f>IF(R48=1,Stats!$P63,"")</f>
        <v/>
      </c>
      <c r="V48" s="68" t="str">
        <f>IF(R48=1,Stats!$Q63,"")</f>
        <v/>
      </c>
      <c r="W48" s="68" t="str">
        <f>IF(R48=1,Stats!$R63,"")</f>
        <v/>
      </c>
      <c r="X48" s="68" t="str">
        <f>IF(R48=1,Stats!$S63,"")</f>
        <v/>
      </c>
      <c r="Y48" s="68">
        <f t="shared" si="6"/>
        <v>0</v>
      </c>
      <c r="Z48">
        <f t="shared" si="7"/>
        <v>0</v>
      </c>
      <c r="AA48" s="68">
        <f>IF(Z48=0,MAX($AA$2:AA47)+1,0)</f>
        <v>46</v>
      </c>
      <c r="AB48" s="5" t="str">
        <f t="shared" si="8"/>
        <v>Slow</v>
      </c>
      <c r="AC48" s="5" t="str">
        <f t="shared" si="9"/>
        <v>Slow</v>
      </c>
      <c r="AD48" s="5"/>
      <c r="AE48">
        <f t="shared" si="10"/>
        <v>46</v>
      </c>
      <c r="AF48" s="5" t="str">
        <f t="shared" si="11"/>
        <v>Slow</v>
      </c>
      <c r="AG48" s="68">
        <f>COUNTIF(Builder!$K$7:$N$7,AF48)</f>
        <v>0</v>
      </c>
      <c r="AH48" s="68" t="str">
        <f>IF(AG48=1,Stats!$N63,"")</f>
        <v/>
      </c>
      <c r="AI48" s="68" t="str">
        <f>IF(AG48=1,Stats!$O63,"")</f>
        <v/>
      </c>
      <c r="AJ48" s="68" t="str">
        <f>IF(AG48=1,Stats!$P63,"")</f>
        <v/>
      </c>
      <c r="AK48" s="68" t="str">
        <f>IF(AG48=1,Stats!$Q63,"")</f>
        <v/>
      </c>
      <c r="AL48" s="68" t="str">
        <f>IF(AG48=1,Stats!$R63,"")</f>
        <v/>
      </c>
      <c r="AM48" s="68" t="str">
        <f>IF(AG48=1,Stats!$S63,"")</f>
        <v/>
      </c>
      <c r="AN48" s="68">
        <f t="shared" si="12"/>
        <v>0</v>
      </c>
      <c r="AO48">
        <f t="shared" si="13"/>
        <v>0</v>
      </c>
      <c r="AP48" s="68">
        <f>IF(AO48=0,MAX($AP$2:AP47)+1,0)</f>
        <v>46</v>
      </c>
      <c r="AQ48" s="5" t="str">
        <f t="shared" si="14"/>
        <v>Slow</v>
      </c>
      <c r="AR48" s="5" t="str">
        <f t="shared" si="15"/>
        <v>Slow</v>
      </c>
      <c r="AS48" s="5"/>
      <c r="AT48">
        <f t="shared" si="16"/>
        <v>46</v>
      </c>
      <c r="AU48" s="5" t="str">
        <f t="shared" si="17"/>
        <v>Slow</v>
      </c>
      <c r="AV48" s="68">
        <f>COUNTIF(Builder!$K$8:$N$8,AU48)</f>
        <v>0</v>
      </c>
      <c r="AW48" s="68" t="str">
        <f>IF(AV48=1,Stats!$N63,"")</f>
        <v/>
      </c>
      <c r="AX48" s="68" t="str">
        <f>IF(AV48=1,Stats!$O63,"")</f>
        <v/>
      </c>
      <c r="AY48" s="68" t="str">
        <f>IF(AV48=1,Stats!$P63,"")</f>
        <v/>
      </c>
      <c r="AZ48" s="68" t="str">
        <f>IF(AV48=1,Stats!$Q63,"")</f>
        <v/>
      </c>
      <c r="BA48" s="68" t="str">
        <f>IF(AV48=1,Stats!$R63,"")</f>
        <v/>
      </c>
      <c r="BB48" s="68" t="str">
        <f>IF(AV48=1,Stats!$S63,"")</f>
        <v/>
      </c>
      <c r="BC48" s="68">
        <f t="shared" si="18"/>
        <v>0</v>
      </c>
      <c r="BD48">
        <f t="shared" si="19"/>
        <v>0</v>
      </c>
      <c r="BE48" s="68">
        <f>IF(BD48=0,MAX($BE$2:BE47)+1,0)</f>
        <v>46</v>
      </c>
      <c r="BF48" s="5" t="str">
        <f t="shared" si="20"/>
        <v>Slow</v>
      </c>
      <c r="BG48" s="5" t="str">
        <f t="shared" si="21"/>
        <v>Slow</v>
      </c>
      <c r="BH48" s="5"/>
      <c r="BI48">
        <f t="shared" si="148"/>
        <v>46</v>
      </c>
      <c r="BJ48" s="5" t="str">
        <f t="shared" si="149"/>
        <v>Slow</v>
      </c>
      <c r="BK48" s="68">
        <f>COUNTIF(Builder!$K$9:$N$9,BJ48)</f>
        <v>0</v>
      </c>
      <c r="BL48" s="68" t="str">
        <f>IF(BK48=1,Stats!$N63,"")</f>
        <v/>
      </c>
      <c r="BM48" s="68" t="str">
        <f>IF(BK48=1,Stats!$O63,"")</f>
        <v/>
      </c>
      <c r="BN48" s="68" t="str">
        <f>IF(BK48=1,Stats!$P63,"")</f>
        <v/>
      </c>
      <c r="BO48" s="68" t="str">
        <f>IF(BK48=1,Stats!$Q63,"")</f>
        <v/>
      </c>
      <c r="BP48" s="68" t="str">
        <f>IF(BK48=1,Stats!$R63,"")</f>
        <v/>
      </c>
      <c r="BQ48" s="68" t="str">
        <f>IF(BK48=1,Stats!$S63,"")</f>
        <v/>
      </c>
      <c r="BR48" s="68">
        <f t="shared" si="150"/>
        <v>0</v>
      </c>
      <c r="BS48">
        <f t="shared" si="151"/>
        <v>0</v>
      </c>
      <c r="BT48" s="68">
        <f>IF(BS48=0,MAX(BT$2:BT47)+1,0)</f>
        <v>46</v>
      </c>
      <c r="BU48" s="5" t="str">
        <f t="shared" si="152"/>
        <v>Slow</v>
      </c>
      <c r="BV48" s="5" t="str">
        <f t="shared" si="27"/>
        <v>Slow</v>
      </c>
      <c r="BX48">
        <f t="shared" si="153"/>
        <v>46</v>
      </c>
      <c r="BY48" s="5" t="str">
        <f t="shared" si="154"/>
        <v>Slow</v>
      </c>
      <c r="BZ48" s="68">
        <f>COUNTIF(Builder!$K$10:$N$10,BY48)</f>
        <v>0</v>
      </c>
      <c r="CA48" s="68" t="str">
        <f>IF(BZ48=1,Stats!$N63,"")</f>
        <v/>
      </c>
      <c r="CB48" s="68" t="str">
        <f>IF(BZ48=1,Stats!$O63,"")</f>
        <v/>
      </c>
      <c r="CC48" s="68" t="str">
        <f>IF(BZ48=1,Stats!$P63,"")</f>
        <v/>
      </c>
      <c r="CD48" s="68" t="str">
        <f>IF(BZ48=1,Stats!$Q63,"")</f>
        <v/>
      </c>
      <c r="CE48" s="68" t="str">
        <f>IF(BZ48=1,Stats!$R63,"")</f>
        <v/>
      </c>
      <c r="CF48" s="68" t="str">
        <f>IF(BZ48=1,Stats!$S63,"")</f>
        <v/>
      </c>
      <c r="CG48" s="68">
        <f t="shared" si="155"/>
        <v>0</v>
      </c>
      <c r="CH48">
        <f t="shared" si="156"/>
        <v>0</v>
      </c>
      <c r="CI48" s="68">
        <f>IF(CH48=0,MAX(CI$2:CI47)+1,0)</f>
        <v>46</v>
      </c>
      <c r="CJ48" s="5" t="str">
        <f t="shared" si="157"/>
        <v>Slow</v>
      </c>
      <c r="CK48" s="5" t="str">
        <f t="shared" si="33"/>
        <v>Slow</v>
      </c>
      <c r="CM48">
        <f t="shared" si="34"/>
        <v>46</v>
      </c>
      <c r="CN48" s="5" t="str">
        <f t="shared" si="35"/>
        <v>Slow</v>
      </c>
      <c r="CO48" s="68">
        <f>COUNTIF(Builder!$K$11:$N$11,CN48)</f>
        <v>0</v>
      </c>
      <c r="CP48" s="68" t="str">
        <f>IF(CO48=1,Stats!$N63,"")</f>
        <v/>
      </c>
      <c r="CQ48" s="68" t="str">
        <f>IF(CO48=1,Stats!$O63,"")</f>
        <v/>
      </c>
      <c r="CR48" s="68" t="str">
        <f>IF(CO48=1,Stats!$P63,"")</f>
        <v/>
      </c>
      <c r="CS48" s="68" t="str">
        <f>IF(CO48=1,Stats!$Q63,"")</f>
        <v/>
      </c>
      <c r="CT48" s="68" t="str">
        <f>IF(CO48=1,Stats!$R63,"")</f>
        <v/>
      </c>
      <c r="CU48" s="68" t="str">
        <f>IF(CO48=1,Stats!$S63,"")</f>
        <v/>
      </c>
      <c r="CV48" s="68">
        <f t="shared" si="36"/>
        <v>0</v>
      </c>
      <c r="CW48">
        <f t="shared" si="37"/>
        <v>0</v>
      </c>
      <c r="CX48" s="68">
        <f>IF(CW48=0,MAX(CX$2:CX47)+1,0)</f>
        <v>46</v>
      </c>
      <c r="CY48" s="5" t="str">
        <f t="shared" si="38"/>
        <v>Slow</v>
      </c>
      <c r="CZ48" s="5" t="str">
        <f t="shared" si="39"/>
        <v>Slow</v>
      </c>
      <c r="DB48">
        <f t="shared" si="158"/>
        <v>46</v>
      </c>
      <c r="DC48" s="5" t="str">
        <f t="shared" si="159"/>
        <v>Slow</v>
      </c>
      <c r="DD48" s="68">
        <f>COUNTIF(Builder!$K$12:$N$12,DC48)</f>
        <v>0</v>
      </c>
      <c r="DE48" s="68" t="str">
        <f>IF(DD48=1,Stats!$N63,"")</f>
        <v/>
      </c>
      <c r="DF48" s="68" t="str">
        <f>IF(DD48=1,Stats!$O63,"")</f>
        <v/>
      </c>
      <c r="DG48" s="68" t="str">
        <f>IF(DD48=1,Stats!$P63,"")</f>
        <v/>
      </c>
      <c r="DH48" s="68" t="str">
        <f>IF(DD48=1,Stats!$Q63,"")</f>
        <v/>
      </c>
      <c r="DI48" s="68" t="str">
        <f>IF(DD48=1,Stats!$R63,"")</f>
        <v/>
      </c>
      <c r="DJ48" s="68" t="str">
        <f>IF(DD48=1,Stats!$S63,"")</f>
        <v/>
      </c>
      <c r="DK48" s="68">
        <f t="shared" si="160"/>
        <v>0</v>
      </c>
      <c r="DL48">
        <f t="shared" si="161"/>
        <v>0</v>
      </c>
      <c r="DM48" s="68">
        <f>IF(DL48=0,MAX(DM$2:DM47)+1,0)</f>
        <v>46</v>
      </c>
      <c r="DN48" s="5" t="str">
        <f t="shared" si="162"/>
        <v>Slow</v>
      </c>
      <c r="DO48" s="5" t="str">
        <f t="shared" si="45"/>
        <v>Slow</v>
      </c>
      <c r="DQ48">
        <f t="shared" si="163"/>
        <v>46</v>
      </c>
      <c r="DR48" s="5" t="str">
        <f t="shared" si="164"/>
        <v>Slow</v>
      </c>
      <c r="DS48" s="68">
        <f>COUNTIF(Builder!$K$13:$N$13,DR48)</f>
        <v>0</v>
      </c>
      <c r="DT48" s="68" t="str">
        <f>IF(DS48=1,Stats!$N63,"")</f>
        <v/>
      </c>
      <c r="DU48" s="68" t="str">
        <f>IF(DS48=1,Stats!$O63,"")</f>
        <v/>
      </c>
      <c r="DV48" s="68" t="str">
        <f>IF(DS48=1,Stats!$P63,"")</f>
        <v/>
      </c>
      <c r="DW48" s="68" t="str">
        <f>IF(DS48=1,Stats!$Q63,"")</f>
        <v/>
      </c>
      <c r="DX48" s="68" t="str">
        <f>IF(DS48=1,Stats!$R63,"")</f>
        <v/>
      </c>
      <c r="DY48" s="68" t="str">
        <f>IF(DS48=1,Stats!$S63,"")</f>
        <v/>
      </c>
      <c r="DZ48" s="68">
        <f t="shared" si="165"/>
        <v>0</v>
      </c>
      <c r="EA48">
        <f t="shared" si="166"/>
        <v>0</v>
      </c>
      <c r="EB48" s="68">
        <f>IF(EA48=0,MAX(EB$2:EB47)+1,0)</f>
        <v>46</v>
      </c>
      <c r="EC48" s="5" t="str">
        <f t="shared" si="167"/>
        <v>Slow</v>
      </c>
      <c r="ED48" s="5" t="str">
        <f t="shared" si="51"/>
        <v>Slow</v>
      </c>
      <c r="EF48">
        <f t="shared" si="52"/>
        <v>46</v>
      </c>
      <c r="EG48" s="5" t="str">
        <f t="shared" si="53"/>
        <v>Slow</v>
      </c>
      <c r="EH48" s="68">
        <f>COUNTIF(Builder!$K$14:$N$14,EG48)</f>
        <v>0</v>
      </c>
      <c r="EI48" s="68" t="str">
        <f>IF(EH48=1,Stats!$N63,"")</f>
        <v/>
      </c>
      <c r="EJ48" s="68" t="str">
        <f>IF(EH48=1,Stats!$O63,"")</f>
        <v/>
      </c>
      <c r="EK48" s="68" t="str">
        <f>IF(EH48=1,Stats!$P63,"")</f>
        <v/>
      </c>
      <c r="EL48" s="68" t="str">
        <f>IF(EH48=1,Stats!$Q63,"")</f>
        <v/>
      </c>
      <c r="EM48" s="68" t="str">
        <f>IF(EH48=1,Stats!$R63,"")</f>
        <v/>
      </c>
      <c r="EN48" s="68" t="str">
        <f>IF(EH48=1,Stats!$S63,"")</f>
        <v/>
      </c>
      <c r="EO48" s="68">
        <f t="shared" si="54"/>
        <v>0</v>
      </c>
      <c r="EP48">
        <f t="shared" si="55"/>
        <v>0</v>
      </c>
      <c r="EQ48" s="68">
        <f>IF(EP48=0,MAX(EQ$2:EQ47)+1,0)</f>
        <v>46</v>
      </c>
      <c r="ER48" s="5" t="str">
        <f t="shared" si="56"/>
        <v>Slow</v>
      </c>
      <c r="ES48" s="5" t="str">
        <f t="shared" si="57"/>
        <v>Slow</v>
      </c>
      <c r="EU48">
        <f t="shared" si="58"/>
        <v>46</v>
      </c>
      <c r="EV48" s="5" t="str">
        <f t="shared" si="59"/>
        <v>Slow</v>
      </c>
      <c r="EW48" s="68">
        <f>COUNTIF(Builder!$K$15:$N$15,EV48)</f>
        <v>0</v>
      </c>
      <c r="EX48" s="68" t="str">
        <f>IF(EW48=1,Stats!$N63,"")</f>
        <v/>
      </c>
      <c r="EY48" s="68" t="str">
        <f>IF(EW48=1,Stats!$O63,"")</f>
        <v/>
      </c>
      <c r="EZ48" s="68" t="str">
        <f>IF(EW48=1,Stats!$P63,"")</f>
        <v/>
      </c>
      <c r="FA48" s="68" t="str">
        <f>IF(EW48=1,Stats!$Q63,"")</f>
        <v/>
      </c>
      <c r="FB48" s="68" t="str">
        <f>IF(EW48=1,Stats!$R63,"")</f>
        <v/>
      </c>
      <c r="FC48" s="68" t="str">
        <f>IF(EW48=1,Stats!$S63,"")</f>
        <v/>
      </c>
      <c r="FD48" s="68">
        <f t="shared" si="60"/>
        <v>0</v>
      </c>
      <c r="FE48">
        <f t="shared" si="61"/>
        <v>0</v>
      </c>
      <c r="FF48" s="68">
        <f>IF(FE48=0,MAX(FF$2:FF47)+1,0)</f>
        <v>46</v>
      </c>
      <c r="FG48" s="5" t="str">
        <f t="shared" si="62"/>
        <v>Slow</v>
      </c>
      <c r="FH48" s="5" t="str">
        <f t="shared" si="63"/>
        <v>Slow</v>
      </c>
      <c r="FJ48">
        <f t="shared" si="64"/>
        <v>46</v>
      </c>
      <c r="FK48" s="5" t="str">
        <f t="shared" si="65"/>
        <v>Slow</v>
      </c>
      <c r="FL48" s="68">
        <f>COUNTIF(Builder!$K$16:$N$16,FK48)</f>
        <v>0</v>
      </c>
      <c r="FM48" s="68" t="str">
        <f>IF(FL48=1,Stats!$N63,"")</f>
        <v/>
      </c>
      <c r="FN48" s="68" t="str">
        <f>IF(FL48=1,Stats!$O63,"")</f>
        <v/>
      </c>
      <c r="FO48" s="68" t="str">
        <f>IF(FL48=1,Stats!$P63,"")</f>
        <v/>
      </c>
      <c r="FP48" s="68" t="str">
        <f>IF(FL48=1,Stats!$Q63,"")</f>
        <v/>
      </c>
      <c r="FQ48" s="68" t="str">
        <f>IF(FL48=1,Stats!$R63,"")</f>
        <v/>
      </c>
      <c r="FR48" s="68" t="str">
        <f>IF(FL48=1,Stats!$S63,"")</f>
        <v/>
      </c>
      <c r="FS48" s="68">
        <f t="shared" si="66"/>
        <v>0</v>
      </c>
      <c r="FT48">
        <f t="shared" si="67"/>
        <v>0</v>
      </c>
      <c r="FU48" s="68">
        <f>IF(FT48=0,MAX(FU$2:FU47)+1,0)</f>
        <v>46</v>
      </c>
      <c r="FV48" s="5" t="str">
        <f t="shared" si="68"/>
        <v>Slow</v>
      </c>
      <c r="FW48" s="5" t="str">
        <f t="shared" si="69"/>
        <v>Slow</v>
      </c>
      <c r="FY48">
        <f t="shared" si="168"/>
        <v>46</v>
      </c>
      <c r="FZ48" s="5" t="str">
        <f t="shared" si="169"/>
        <v>Slow</v>
      </c>
      <c r="GA48" s="68">
        <f>COUNTIF(Builder!$K$17:$N$17,FZ48)</f>
        <v>0</v>
      </c>
      <c r="GB48" s="68" t="str">
        <f>IF(GA48=1,Stats!$N63,"")</f>
        <v/>
      </c>
      <c r="GC48" s="68" t="str">
        <f>IF(GA48=1,Stats!$O63,"")</f>
        <v/>
      </c>
      <c r="GD48" s="68" t="str">
        <f>IF(GA48=1,Stats!$P63,"")</f>
        <v/>
      </c>
      <c r="GE48" s="68" t="str">
        <f>IF(GA48=1,Stats!$Q63,"")</f>
        <v/>
      </c>
      <c r="GF48" s="68" t="str">
        <f>IF(GA48=1,Stats!$R63,"")</f>
        <v/>
      </c>
      <c r="GG48" s="68" t="str">
        <f>IF(GA48=1,Stats!$S63,"")</f>
        <v/>
      </c>
      <c r="GH48" s="68">
        <f t="shared" si="170"/>
        <v>0</v>
      </c>
      <c r="GI48">
        <f t="shared" si="171"/>
        <v>0</v>
      </c>
      <c r="GJ48" s="68">
        <f>IF(GI48=0,MAX(GJ$2:GJ47)+1,0)</f>
        <v>46</v>
      </c>
      <c r="GK48" s="5" t="str">
        <f t="shared" si="172"/>
        <v>Slow</v>
      </c>
      <c r="GL48" s="5" t="str">
        <f t="shared" si="75"/>
        <v>Slow</v>
      </c>
      <c r="GN48">
        <f t="shared" si="76"/>
        <v>46</v>
      </c>
      <c r="GO48" s="5" t="str">
        <f t="shared" si="77"/>
        <v>Slow</v>
      </c>
      <c r="GP48" s="68">
        <f>COUNTIF(Builder!$K$18:$N$18,GO48)</f>
        <v>0</v>
      </c>
      <c r="GQ48" s="68" t="str">
        <f>IF(GP48=1,Stats!$N63,"")</f>
        <v/>
      </c>
      <c r="GR48" s="68" t="str">
        <f>IF(GP48=1,Stats!$O63,"")</f>
        <v/>
      </c>
      <c r="GS48" s="68" t="str">
        <f>IF(GP48=1,Stats!$P63,"")</f>
        <v/>
      </c>
      <c r="GT48" s="68" t="str">
        <f>IF(GP48=1,Stats!$Q63,"")</f>
        <v/>
      </c>
      <c r="GU48" s="68" t="str">
        <f>IF(GP48=1,Stats!$R63,"")</f>
        <v/>
      </c>
      <c r="GV48" s="68" t="str">
        <f>IF(GP48=1,Stats!$S63,"")</f>
        <v/>
      </c>
      <c r="GW48" s="68">
        <f t="shared" si="78"/>
        <v>0</v>
      </c>
      <c r="GX48">
        <f t="shared" si="79"/>
        <v>0</v>
      </c>
      <c r="GY48" s="68">
        <f>IF(GX48=0,MAX(GY$2:GY47)+1,0)</f>
        <v>46</v>
      </c>
      <c r="GZ48" s="5" t="str">
        <f t="shared" si="80"/>
        <v>Slow</v>
      </c>
      <c r="HA48" s="5" t="str">
        <f t="shared" si="81"/>
        <v>Slow</v>
      </c>
      <c r="HC48">
        <f t="shared" si="82"/>
        <v>46</v>
      </c>
      <c r="HD48" s="5" t="str">
        <f t="shared" si="83"/>
        <v>Slow</v>
      </c>
      <c r="HE48" s="68">
        <f>COUNTIF(Builder!$K$19:$N$19,HD48)</f>
        <v>0</v>
      </c>
      <c r="HF48" s="68" t="str">
        <f>IF(HE48=1,Stats!$N63,"")</f>
        <v/>
      </c>
      <c r="HG48" s="68" t="str">
        <f>IF(HE48=1,Stats!$O63,"")</f>
        <v/>
      </c>
      <c r="HH48" s="68" t="str">
        <f>IF(HE48=1,Stats!$P63,"")</f>
        <v/>
      </c>
      <c r="HI48" s="68" t="str">
        <f>IF(HE48=1,Stats!$Q63,"")</f>
        <v/>
      </c>
      <c r="HJ48" s="68" t="str">
        <f>IF(HE48=1,Stats!$R63,"")</f>
        <v/>
      </c>
      <c r="HK48" s="68" t="str">
        <f>IF(HE48=1,Stats!$S63,"")</f>
        <v/>
      </c>
      <c r="HL48" s="68">
        <f t="shared" si="84"/>
        <v>0</v>
      </c>
      <c r="HM48">
        <f t="shared" si="85"/>
        <v>0</v>
      </c>
      <c r="HN48" s="68">
        <f>IF(HM48=0,MAX(HN$2:HN47)+1,0)</f>
        <v>46</v>
      </c>
      <c r="HO48" s="5" t="str">
        <f t="shared" si="86"/>
        <v>Slow</v>
      </c>
      <c r="HP48" s="5" t="str">
        <f t="shared" si="87"/>
        <v>Slow</v>
      </c>
      <c r="HR48">
        <f t="shared" si="88"/>
        <v>46</v>
      </c>
      <c r="HS48" s="5" t="str">
        <f t="shared" si="89"/>
        <v>Slow</v>
      </c>
      <c r="HT48" s="68">
        <f>COUNTIF(Builder!$K$20:$N$20,HS48)</f>
        <v>0</v>
      </c>
      <c r="HU48" s="68" t="str">
        <f>IF(HT48=1,Stats!$N63,"")</f>
        <v/>
      </c>
      <c r="HV48" s="68" t="str">
        <f>IF(HT48=1,Stats!$O63,"")</f>
        <v/>
      </c>
      <c r="HW48" s="68" t="str">
        <f>IF(HT48=1,Stats!$P63,"")</f>
        <v/>
      </c>
      <c r="HX48" s="68" t="str">
        <f>IF(HT48=1,Stats!$Q63,"")</f>
        <v/>
      </c>
      <c r="HY48" s="68" t="str">
        <f>IF(HT48=1,Stats!$R63,"")</f>
        <v/>
      </c>
      <c r="HZ48" s="68" t="str">
        <f>IF(HT48=1,Stats!$S63,"")</f>
        <v/>
      </c>
      <c r="IA48" s="68">
        <f t="shared" si="90"/>
        <v>0</v>
      </c>
      <c r="IB48">
        <f t="shared" si="91"/>
        <v>0</v>
      </c>
      <c r="IC48" s="68">
        <f>IF(IB48=0,MAX(IC$2:IC47)+1,0)</f>
        <v>46</v>
      </c>
      <c r="ID48" s="5" t="str">
        <f t="shared" si="92"/>
        <v>Slow</v>
      </c>
      <c r="IE48" s="5" t="str">
        <f t="shared" si="93"/>
        <v>Slow</v>
      </c>
      <c r="IG48">
        <f t="shared" si="94"/>
        <v>46</v>
      </c>
      <c r="IH48" s="5" t="str">
        <f t="shared" si="95"/>
        <v>Slow</v>
      </c>
      <c r="II48" s="68">
        <f>COUNTIF(Builder!$K$21:$N$21,IH48)</f>
        <v>0</v>
      </c>
      <c r="IJ48" s="68" t="str">
        <f>IF(II48=1,Stats!$N63,"")</f>
        <v/>
      </c>
      <c r="IK48" s="68" t="str">
        <f>IF(II48=1,Stats!$O63,"")</f>
        <v/>
      </c>
      <c r="IL48" s="68" t="str">
        <f>IF(II48=1,Stats!$P63,"")</f>
        <v/>
      </c>
      <c r="IM48" s="68" t="str">
        <f>IF(II48=1,Stats!$Q63,"")</f>
        <v/>
      </c>
      <c r="IN48" s="68" t="str">
        <f>IF(II48=1,Stats!$R63,"")</f>
        <v/>
      </c>
      <c r="IO48" s="68" t="str">
        <f>IF(II48=1,Stats!$S63,"")</f>
        <v/>
      </c>
      <c r="IP48" s="68">
        <f t="shared" si="96"/>
        <v>0</v>
      </c>
      <c r="IQ48">
        <f t="shared" si="97"/>
        <v>0</v>
      </c>
      <c r="IR48" s="68">
        <f>IF(IQ48=0,MAX(IR$2:IR47)+1,0)</f>
        <v>46</v>
      </c>
      <c r="IS48" s="5" t="str">
        <f t="shared" si="98"/>
        <v>Slow</v>
      </c>
      <c r="IT48" s="5" t="str">
        <f t="shared" si="99"/>
        <v>Slow</v>
      </c>
      <c r="IV48">
        <f t="shared" si="100"/>
        <v>46</v>
      </c>
      <c r="IW48" s="5" t="str">
        <f t="shared" si="101"/>
        <v>Slow</v>
      </c>
      <c r="IX48" s="68">
        <f>COUNTIF(Builder!$K$22:$N$22,IW48)</f>
        <v>0</v>
      </c>
      <c r="IY48" s="68" t="str">
        <f>IF(IX48=1,Stats!$N63,"")</f>
        <v/>
      </c>
      <c r="IZ48" s="68" t="str">
        <f>IF(IX48=1,Stats!$O63,"")</f>
        <v/>
      </c>
      <c r="JA48" s="68" t="str">
        <f>IF(IX48=1,Stats!$P63,"")</f>
        <v/>
      </c>
      <c r="JB48" s="68" t="str">
        <f>IF(IX48=1,Stats!$Q63,"")</f>
        <v/>
      </c>
      <c r="JC48" s="68" t="str">
        <f>IF(IX48=1,Stats!$R63,"")</f>
        <v/>
      </c>
      <c r="JD48" s="68" t="str">
        <f>IF(IX48=1,Stats!$S63,"")</f>
        <v/>
      </c>
      <c r="JE48" s="68">
        <f t="shared" si="102"/>
        <v>0</v>
      </c>
      <c r="JF48">
        <f t="shared" si="103"/>
        <v>0</v>
      </c>
      <c r="JG48" s="68">
        <f>IF(JF48=0,MAX(JG$2:JG47)+1,0)</f>
        <v>46</v>
      </c>
      <c r="JH48" s="5" t="str">
        <f t="shared" si="104"/>
        <v>Slow</v>
      </c>
      <c r="JI48" s="5" t="str">
        <f t="shared" si="105"/>
        <v>Slow</v>
      </c>
      <c r="JK48">
        <f t="shared" si="106"/>
        <v>46</v>
      </c>
      <c r="JL48" s="5" t="str">
        <f t="shared" si="107"/>
        <v>Slow</v>
      </c>
      <c r="JM48" s="68">
        <f>COUNTIF(Builder!$K$23:$N$23,JL48)</f>
        <v>0</v>
      </c>
      <c r="JN48" s="68" t="str">
        <f>IF(JM48=1,Stats!$N63,"")</f>
        <v/>
      </c>
      <c r="JO48" s="68" t="str">
        <f>IF(JM48=1,Stats!$O63,"")</f>
        <v/>
      </c>
      <c r="JP48" s="68" t="str">
        <f>IF(JM48=1,Stats!$P63,"")</f>
        <v/>
      </c>
      <c r="JQ48" s="68" t="str">
        <f>IF(JM48=1,Stats!$Q63,"")</f>
        <v/>
      </c>
      <c r="JR48" s="68" t="str">
        <f>IF(JM48=1,Stats!$R63,"")</f>
        <v/>
      </c>
      <c r="JS48" s="68" t="str">
        <f>IF(JM48=1,Stats!$S63,"")</f>
        <v/>
      </c>
      <c r="JT48" s="68">
        <f t="shared" si="108"/>
        <v>0</v>
      </c>
      <c r="JU48">
        <f t="shared" si="109"/>
        <v>0</v>
      </c>
      <c r="JV48" s="68">
        <f>IF(JU48=0,MAX(JV$2:JV47)+1,0)</f>
        <v>46</v>
      </c>
      <c r="JW48" s="5" t="str">
        <f t="shared" si="110"/>
        <v>Slow</v>
      </c>
      <c r="JX48" s="5" t="str">
        <f t="shared" si="111"/>
        <v>Slow</v>
      </c>
      <c r="JZ48">
        <f t="shared" si="112"/>
        <v>46</v>
      </c>
      <c r="KA48" s="5" t="str">
        <f t="shared" si="113"/>
        <v>Slow</v>
      </c>
      <c r="KB48" s="68">
        <f>COUNTIF(Builder!$K$24:$N$24,KA48)</f>
        <v>0</v>
      </c>
      <c r="KC48" s="68" t="str">
        <f>IF(KB48=1,Stats!$N63,"")</f>
        <v/>
      </c>
      <c r="KD48" s="68" t="str">
        <f>IF(KB48=1,Stats!$O63,"")</f>
        <v/>
      </c>
      <c r="KE48" s="68" t="str">
        <f>IF(KB48=1,Stats!$P63,"")</f>
        <v/>
      </c>
      <c r="KF48" s="68" t="str">
        <f>IF(KB48=1,Stats!$Q63,"")</f>
        <v/>
      </c>
      <c r="KG48" s="68" t="str">
        <f>IF(KB48=1,Stats!$R63,"")</f>
        <v/>
      </c>
      <c r="KH48" s="68" t="str">
        <f>IF(KB48=1,Stats!$S63,"")</f>
        <v/>
      </c>
      <c r="KI48" s="68">
        <f t="shared" si="114"/>
        <v>0</v>
      </c>
      <c r="KJ48">
        <f t="shared" si="115"/>
        <v>0</v>
      </c>
      <c r="KK48" s="68">
        <f>IF(KJ48=0,MAX(KK$2:KK47)+1,0)</f>
        <v>46</v>
      </c>
      <c r="KL48" s="5" t="str">
        <f t="shared" si="116"/>
        <v>Slow</v>
      </c>
      <c r="KM48" s="5" t="str">
        <f t="shared" si="117"/>
        <v>Slow</v>
      </c>
      <c r="KO48">
        <f t="shared" si="118"/>
        <v>46</v>
      </c>
      <c r="KP48" s="5" t="str">
        <f t="shared" si="119"/>
        <v>Slow</v>
      </c>
      <c r="KQ48" s="68">
        <f>COUNTIF(Builder!$K$25:$N$25,KP48)</f>
        <v>0</v>
      </c>
      <c r="KR48" s="68" t="str">
        <f>IF(KQ48=1,Stats!$N63,"")</f>
        <v/>
      </c>
      <c r="KS48" s="68" t="str">
        <f>IF(KQ48=1,Stats!$O63,"")</f>
        <v/>
      </c>
      <c r="KT48" s="68" t="str">
        <f>IF(KQ48=1,Stats!$P63,"")</f>
        <v/>
      </c>
      <c r="KU48" s="68" t="str">
        <f>IF(KQ48=1,Stats!$Q63,"")</f>
        <v/>
      </c>
      <c r="KV48" s="68" t="str">
        <f>IF(KQ48=1,Stats!$R63,"")</f>
        <v/>
      </c>
      <c r="KW48" s="68" t="str">
        <f>IF(KQ48=1,Stats!$S63,"")</f>
        <v/>
      </c>
      <c r="KX48" s="68">
        <f t="shared" si="120"/>
        <v>0</v>
      </c>
      <c r="KY48">
        <f t="shared" si="121"/>
        <v>0</v>
      </c>
      <c r="KZ48" s="68">
        <f>IF(KY48=0,MAX(KZ$2:KZ47)+1,0)</f>
        <v>46</v>
      </c>
      <c r="LA48" s="5" t="str">
        <f t="shared" si="122"/>
        <v>Slow</v>
      </c>
      <c r="LB48" s="5" t="str">
        <f t="shared" si="123"/>
        <v>Slow</v>
      </c>
      <c r="LD48">
        <f t="shared" si="124"/>
        <v>46</v>
      </c>
      <c r="LE48" s="5" t="str">
        <f t="shared" si="125"/>
        <v>Slow</v>
      </c>
      <c r="LF48" s="68">
        <f>COUNTIF(Builder!$K$26:$N$26,LE48)</f>
        <v>0</v>
      </c>
      <c r="LG48" s="68" t="str">
        <f>IF(LF48=1,Stats!$N63,"")</f>
        <v/>
      </c>
      <c r="LH48" s="68" t="str">
        <f>IF(LF48=1,Stats!$O63,"")</f>
        <v/>
      </c>
      <c r="LI48" s="68" t="str">
        <f>IF(LF48=1,Stats!$P63,"")</f>
        <v/>
      </c>
      <c r="LJ48" s="68" t="str">
        <f>IF(LF48=1,Stats!$Q63,"")</f>
        <v/>
      </c>
      <c r="LK48" s="68" t="str">
        <f>IF(LF48=1,Stats!$R63,"")</f>
        <v/>
      </c>
      <c r="LL48" s="68" t="str">
        <f>IF(LF48=1,Stats!$S63,"")</f>
        <v/>
      </c>
      <c r="LM48" s="68">
        <f t="shared" si="126"/>
        <v>0</v>
      </c>
      <c r="LN48">
        <f t="shared" si="127"/>
        <v>0</v>
      </c>
      <c r="LO48" s="68">
        <f>IF(LN48=0,MAX(LO$2:LO47)+1,0)</f>
        <v>46</v>
      </c>
      <c r="LP48" s="5" t="str">
        <f t="shared" si="128"/>
        <v>Slow</v>
      </c>
      <c r="LQ48" s="5" t="str">
        <f t="shared" si="129"/>
        <v>Slow</v>
      </c>
      <c r="LS48">
        <f t="shared" si="130"/>
        <v>46</v>
      </c>
      <c r="LT48" s="5" t="str">
        <f t="shared" si="131"/>
        <v>Slow</v>
      </c>
      <c r="LU48" s="68">
        <f>COUNTIF(Builder!$K$27:$N$27,LT48)</f>
        <v>0</v>
      </c>
      <c r="LV48" s="68" t="str">
        <f>IF(LU48=1,Stats!$N63,"")</f>
        <v/>
      </c>
      <c r="LW48" s="68" t="str">
        <f>IF(LU48=1,Stats!$O63,"")</f>
        <v/>
      </c>
      <c r="LX48" s="68" t="str">
        <f>IF(LU48=1,Stats!$P63,"")</f>
        <v/>
      </c>
      <c r="LY48" s="68" t="str">
        <f>IF(LU48=1,Stats!$Q63,"")</f>
        <v/>
      </c>
      <c r="LZ48" s="68" t="str">
        <f>IF(LU48=1,Stats!$R63,"")</f>
        <v/>
      </c>
      <c r="MA48" s="68" t="str">
        <f>IF(LU48=1,Stats!$S63,"")</f>
        <v/>
      </c>
      <c r="MB48" s="68">
        <f t="shared" si="132"/>
        <v>0</v>
      </c>
      <c r="MC48">
        <f t="shared" si="133"/>
        <v>0</v>
      </c>
      <c r="MD48" s="68">
        <f>IF(MC48=0,MAX(MD$2:MD47)+1,0)</f>
        <v>46</v>
      </c>
      <c r="ME48" s="5" t="str">
        <f t="shared" si="134"/>
        <v>Slow</v>
      </c>
      <c r="MF48" s="5" t="str">
        <f t="shared" si="135"/>
        <v>Slow</v>
      </c>
      <c r="MH48">
        <f t="shared" si="136"/>
        <v>46</v>
      </c>
      <c r="MI48" s="5" t="str">
        <f t="shared" si="137"/>
        <v>Slow</v>
      </c>
      <c r="MJ48" s="68">
        <f>COUNTIF(Builder!$K$28:$N$28,MI48)</f>
        <v>0</v>
      </c>
      <c r="MK48" s="68" t="str">
        <f>IF(MJ48=1,Stats!$N63,"")</f>
        <v/>
      </c>
      <c r="ML48" s="68" t="str">
        <f>IF(MJ48=1,Stats!$O63,"")</f>
        <v/>
      </c>
      <c r="MM48" s="68" t="str">
        <f>IF(MJ48=1,Stats!$P63,"")</f>
        <v/>
      </c>
      <c r="MN48" s="68" t="str">
        <f>IF(MJ48=1,Stats!$Q63,"")</f>
        <v/>
      </c>
      <c r="MO48" s="68" t="str">
        <f>IF(MJ48=1,Stats!$R63,"")</f>
        <v/>
      </c>
      <c r="MP48" s="68" t="str">
        <f>IF(MJ48=1,Stats!$S63,"")</f>
        <v/>
      </c>
      <c r="MQ48" s="68">
        <f t="shared" si="138"/>
        <v>0</v>
      </c>
      <c r="MR48">
        <f t="shared" si="139"/>
        <v>0</v>
      </c>
      <c r="MS48" s="68">
        <f>IF(MR48=0,MAX(MS$2:MS47)+1,0)</f>
        <v>46</v>
      </c>
      <c r="MT48" s="5" t="str">
        <f t="shared" si="140"/>
        <v>Slow</v>
      </c>
      <c r="MU48" s="5" t="str">
        <f t="shared" si="141"/>
        <v>Slow</v>
      </c>
      <c r="MW48">
        <f t="shared" si="142"/>
        <v>46</v>
      </c>
      <c r="MX48" s="5" t="str">
        <f t="shared" si="143"/>
        <v>Slow</v>
      </c>
      <c r="MY48" s="68">
        <f>COUNTIF(Builder!$K$29:$N$29,MX48)</f>
        <v>0</v>
      </c>
      <c r="MZ48" s="68" t="str">
        <f>IF(MY48=1,Stats!$N63,"")</f>
        <v/>
      </c>
      <c r="NA48" s="68" t="str">
        <f>IF(MY48=1,Stats!$O63,"")</f>
        <v/>
      </c>
      <c r="NB48" s="68" t="str">
        <f>IF(MY48=1,Stats!$P63,"")</f>
        <v/>
      </c>
      <c r="NC48" s="68" t="str">
        <f>IF(MY48=1,Stats!$Q63,"")</f>
        <v/>
      </c>
      <c r="ND48" s="68" t="str">
        <f>IF(MY48=1,Stats!$R63,"")</f>
        <v/>
      </c>
      <c r="NE48" s="68" t="str">
        <f>IF(MY48=1,Stats!$S63,"")</f>
        <v/>
      </c>
      <c r="NF48" s="68">
        <f t="shared" si="144"/>
        <v>0</v>
      </c>
      <c r="NG48">
        <f t="shared" si="145"/>
        <v>0</v>
      </c>
      <c r="NH48" s="68">
        <f>IF(NG48=0,MAX(NH$2:NH47)+1,0)</f>
        <v>46</v>
      </c>
      <c r="NI48" s="5" t="str">
        <f t="shared" si="146"/>
        <v>Slow</v>
      </c>
      <c r="NJ48" s="5" t="str">
        <f t="shared" si="147"/>
        <v>Slow</v>
      </c>
    </row>
    <row r="49" spans="1:374" ht="15" x14ac:dyDescent="0.3">
      <c r="A49">
        <v>47</v>
      </c>
      <c r="B49" s="5" t="s">
        <v>48</v>
      </c>
      <c r="C49" s="68">
        <f>COUNTIF(Builder!$K$5:$N$5,B49)</f>
        <v>0</v>
      </c>
      <c r="D49" s="68" t="str">
        <f>IF(C49=1,Stats!$N64,"")</f>
        <v/>
      </c>
      <c r="E49" s="68" t="str">
        <f>IF(C49=1,Stats!$O64,"")</f>
        <v/>
      </c>
      <c r="F49" s="68" t="str">
        <f>IF(C49=1,Stats!$P64,"")</f>
        <v/>
      </c>
      <c r="G49" s="68" t="str">
        <f>IF(C49=1,Stats!$Q64,"")</f>
        <v/>
      </c>
      <c r="H49" s="68" t="str">
        <f>IF(C49=1,Stats!$R64,"")</f>
        <v/>
      </c>
      <c r="I49" s="68" t="str">
        <f>IF(C49=1,Stats!$S64,"")</f>
        <v/>
      </c>
      <c r="J49" s="68">
        <f t="shared" si="0"/>
        <v>0</v>
      </c>
      <c r="K49">
        <f t="shared" si="1"/>
        <v>0</v>
      </c>
      <c r="L49" s="68">
        <f>IF(K49=0,MAX($L$2:L48)+1,0)</f>
        <v>47</v>
      </c>
      <c r="M49" s="5" t="str">
        <f t="shared" si="2"/>
        <v>Skirmishers</v>
      </c>
      <c r="N49" s="5" t="str">
        <f t="shared" si="3"/>
        <v>Skirmishers</v>
      </c>
      <c r="O49" s="5"/>
      <c r="P49">
        <f t="shared" si="4"/>
        <v>47</v>
      </c>
      <c r="Q49" s="5" t="str">
        <f t="shared" si="5"/>
        <v>Skirmishers</v>
      </c>
      <c r="R49" s="68">
        <f>COUNTIF(Builder!$K$6:$N$6,Q49)</f>
        <v>0</v>
      </c>
      <c r="S49" s="68" t="str">
        <f>IF(R49=1,Stats!$N64,"")</f>
        <v/>
      </c>
      <c r="T49" s="68" t="str">
        <f>IF(R49=1,Stats!$O64,"")</f>
        <v/>
      </c>
      <c r="U49" s="68" t="str">
        <f>IF(R49=1,Stats!$P64,"")</f>
        <v/>
      </c>
      <c r="V49" s="68" t="str">
        <f>IF(R49=1,Stats!$Q64,"")</f>
        <v/>
      </c>
      <c r="W49" s="68" t="str">
        <f>IF(R49=1,Stats!$R64,"")</f>
        <v/>
      </c>
      <c r="X49" s="68" t="str">
        <f>IF(R49=1,Stats!$S64,"")</f>
        <v/>
      </c>
      <c r="Y49" s="68">
        <f t="shared" si="6"/>
        <v>0</v>
      </c>
      <c r="Z49">
        <f t="shared" si="7"/>
        <v>0</v>
      </c>
      <c r="AA49" s="68">
        <f>IF(Z49=0,MAX($AA$2:AA48)+1,0)</f>
        <v>47</v>
      </c>
      <c r="AB49" s="5" t="str">
        <f t="shared" si="8"/>
        <v>Skirmishers</v>
      </c>
      <c r="AC49" s="5" t="str">
        <f t="shared" si="9"/>
        <v>Skirmishers</v>
      </c>
      <c r="AD49" s="5"/>
      <c r="AE49">
        <f t="shared" si="10"/>
        <v>47</v>
      </c>
      <c r="AF49" s="5" t="str">
        <f t="shared" si="11"/>
        <v>Skirmishers</v>
      </c>
      <c r="AG49" s="68">
        <f>COUNTIF(Builder!$K$7:$N$7,AF49)</f>
        <v>0</v>
      </c>
      <c r="AH49" s="68" t="str">
        <f>IF(AG49=1,Stats!$N64,"")</f>
        <v/>
      </c>
      <c r="AI49" s="68" t="str">
        <f>IF(AG49=1,Stats!$O64,"")</f>
        <v/>
      </c>
      <c r="AJ49" s="68" t="str">
        <f>IF(AG49=1,Stats!$P64,"")</f>
        <v/>
      </c>
      <c r="AK49" s="68" t="str">
        <f>IF(AG49=1,Stats!$Q64,"")</f>
        <v/>
      </c>
      <c r="AL49" s="68" t="str">
        <f>IF(AG49=1,Stats!$R64,"")</f>
        <v/>
      </c>
      <c r="AM49" s="68" t="str">
        <f>IF(AG49=1,Stats!$S64,"")</f>
        <v/>
      </c>
      <c r="AN49" s="68">
        <f t="shared" si="12"/>
        <v>0</v>
      </c>
      <c r="AO49">
        <f t="shared" si="13"/>
        <v>0</v>
      </c>
      <c r="AP49" s="68">
        <f>IF(AO49=0,MAX($AP$2:AP48)+1,0)</f>
        <v>47</v>
      </c>
      <c r="AQ49" s="5" t="str">
        <f t="shared" si="14"/>
        <v>Skirmishers</v>
      </c>
      <c r="AR49" s="5" t="str">
        <f t="shared" si="15"/>
        <v>Skirmishers</v>
      </c>
      <c r="AS49" s="5"/>
      <c r="AT49">
        <f t="shared" si="16"/>
        <v>47</v>
      </c>
      <c r="AU49" s="5" t="str">
        <f t="shared" si="17"/>
        <v>Skirmishers</v>
      </c>
      <c r="AV49" s="68">
        <f>COUNTIF(Builder!$K$8:$N$8,AU49)</f>
        <v>0</v>
      </c>
      <c r="AW49" s="68" t="str">
        <f>IF(AV49=1,Stats!$N64,"")</f>
        <v/>
      </c>
      <c r="AX49" s="68" t="str">
        <f>IF(AV49=1,Stats!$O64,"")</f>
        <v/>
      </c>
      <c r="AY49" s="68" t="str">
        <f>IF(AV49=1,Stats!$P64,"")</f>
        <v/>
      </c>
      <c r="AZ49" s="68" t="str">
        <f>IF(AV49=1,Stats!$Q64,"")</f>
        <v/>
      </c>
      <c r="BA49" s="68" t="str">
        <f>IF(AV49=1,Stats!$R64,"")</f>
        <v/>
      </c>
      <c r="BB49" s="68" t="str">
        <f>IF(AV49=1,Stats!$S64,"")</f>
        <v/>
      </c>
      <c r="BC49" s="68">
        <f t="shared" si="18"/>
        <v>0</v>
      </c>
      <c r="BD49">
        <f t="shared" si="19"/>
        <v>0</v>
      </c>
      <c r="BE49" s="68">
        <f>IF(BD49=0,MAX($BE$2:BE48)+1,0)</f>
        <v>47</v>
      </c>
      <c r="BF49" s="5" t="str">
        <f t="shared" si="20"/>
        <v>Skirmishers</v>
      </c>
      <c r="BG49" s="5" t="str">
        <f t="shared" si="21"/>
        <v>Skirmishers</v>
      </c>
      <c r="BH49" s="5"/>
      <c r="BI49">
        <f t="shared" si="148"/>
        <v>47</v>
      </c>
      <c r="BJ49" s="5" t="str">
        <f t="shared" si="149"/>
        <v>Skirmishers</v>
      </c>
      <c r="BK49" s="68">
        <f>COUNTIF(Builder!$K$9:$N$9,BJ49)</f>
        <v>0</v>
      </c>
      <c r="BL49" s="68" t="str">
        <f>IF(BK49=1,Stats!$N64,"")</f>
        <v/>
      </c>
      <c r="BM49" s="68" t="str">
        <f>IF(BK49=1,Stats!$O64,"")</f>
        <v/>
      </c>
      <c r="BN49" s="68" t="str">
        <f>IF(BK49=1,Stats!$P64,"")</f>
        <v/>
      </c>
      <c r="BO49" s="68" t="str">
        <f>IF(BK49=1,Stats!$Q64,"")</f>
        <v/>
      </c>
      <c r="BP49" s="68" t="str">
        <f>IF(BK49=1,Stats!$R64,"")</f>
        <v/>
      </c>
      <c r="BQ49" s="68" t="str">
        <f>IF(BK49=1,Stats!$S64,"")</f>
        <v/>
      </c>
      <c r="BR49" s="68">
        <f t="shared" si="150"/>
        <v>0</v>
      </c>
      <c r="BS49">
        <f t="shared" si="151"/>
        <v>0</v>
      </c>
      <c r="BT49" s="68">
        <f>IF(BS49=0,MAX(BT$2:BT48)+1,0)</f>
        <v>47</v>
      </c>
      <c r="BU49" s="5" t="str">
        <f t="shared" si="152"/>
        <v>Skirmishers</v>
      </c>
      <c r="BV49" s="5" t="str">
        <f t="shared" si="27"/>
        <v>Skirmishers</v>
      </c>
      <c r="BX49">
        <f t="shared" si="153"/>
        <v>47</v>
      </c>
      <c r="BY49" s="5" t="str">
        <f t="shared" si="154"/>
        <v>Skirmishers</v>
      </c>
      <c r="BZ49" s="68">
        <f>COUNTIF(Builder!$K$10:$N$10,BY49)</f>
        <v>0</v>
      </c>
      <c r="CA49" s="68" t="str">
        <f>IF(BZ49=1,Stats!$N64,"")</f>
        <v/>
      </c>
      <c r="CB49" s="68" t="str">
        <f>IF(BZ49=1,Stats!$O64,"")</f>
        <v/>
      </c>
      <c r="CC49" s="68" t="str">
        <f>IF(BZ49=1,Stats!$P64,"")</f>
        <v/>
      </c>
      <c r="CD49" s="68" t="str">
        <f>IF(BZ49=1,Stats!$Q64,"")</f>
        <v/>
      </c>
      <c r="CE49" s="68" t="str">
        <f>IF(BZ49=1,Stats!$R64,"")</f>
        <v/>
      </c>
      <c r="CF49" s="68" t="str">
        <f>IF(BZ49=1,Stats!$S64,"")</f>
        <v/>
      </c>
      <c r="CG49" s="68">
        <f t="shared" si="155"/>
        <v>0</v>
      </c>
      <c r="CH49">
        <f t="shared" si="156"/>
        <v>0</v>
      </c>
      <c r="CI49" s="68">
        <f>IF(CH49=0,MAX(CI$2:CI48)+1,0)</f>
        <v>47</v>
      </c>
      <c r="CJ49" s="5" t="str">
        <f t="shared" si="157"/>
        <v>Skirmishers</v>
      </c>
      <c r="CK49" s="5" t="str">
        <f t="shared" si="33"/>
        <v>Skirmishers</v>
      </c>
      <c r="CM49">
        <f t="shared" si="34"/>
        <v>47</v>
      </c>
      <c r="CN49" s="5" t="str">
        <f t="shared" si="35"/>
        <v>Skirmishers</v>
      </c>
      <c r="CO49" s="68">
        <f>COUNTIF(Builder!$K$11:$N$11,CN49)</f>
        <v>0</v>
      </c>
      <c r="CP49" s="68" t="str">
        <f>IF(CO49=1,Stats!$N64,"")</f>
        <v/>
      </c>
      <c r="CQ49" s="68" t="str">
        <f>IF(CO49=1,Stats!$O64,"")</f>
        <v/>
      </c>
      <c r="CR49" s="68" t="str">
        <f>IF(CO49=1,Stats!$P64,"")</f>
        <v/>
      </c>
      <c r="CS49" s="68" t="str">
        <f>IF(CO49=1,Stats!$Q64,"")</f>
        <v/>
      </c>
      <c r="CT49" s="68" t="str">
        <f>IF(CO49=1,Stats!$R64,"")</f>
        <v/>
      </c>
      <c r="CU49" s="68" t="str">
        <f>IF(CO49=1,Stats!$S64,"")</f>
        <v/>
      </c>
      <c r="CV49" s="68">
        <f t="shared" si="36"/>
        <v>0</v>
      </c>
      <c r="CW49">
        <f t="shared" si="37"/>
        <v>0</v>
      </c>
      <c r="CX49" s="68">
        <f>IF(CW49=0,MAX(CX$2:CX48)+1,0)</f>
        <v>47</v>
      </c>
      <c r="CY49" s="5" t="str">
        <f t="shared" si="38"/>
        <v>Skirmishers</v>
      </c>
      <c r="CZ49" s="5" t="str">
        <f t="shared" si="39"/>
        <v>Skirmishers</v>
      </c>
      <c r="DB49">
        <f t="shared" si="158"/>
        <v>47</v>
      </c>
      <c r="DC49" s="5" t="str">
        <f t="shared" si="159"/>
        <v>Skirmishers</v>
      </c>
      <c r="DD49" s="68">
        <f>COUNTIF(Builder!$K$12:$N$12,DC49)</f>
        <v>0</v>
      </c>
      <c r="DE49" s="68" t="str">
        <f>IF(DD49=1,Stats!$N64,"")</f>
        <v/>
      </c>
      <c r="DF49" s="68" t="str">
        <f>IF(DD49=1,Stats!$O64,"")</f>
        <v/>
      </c>
      <c r="DG49" s="68" t="str">
        <f>IF(DD49=1,Stats!$P64,"")</f>
        <v/>
      </c>
      <c r="DH49" s="68" t="str">
        <f>IF(DD49=1,Stats!$Q64,"")</f>
        <v/>
      </c>
      <c r="DI49" s="68" t="str">
        <f>IF(DD49=1,Stats!$R64,"")</f>
        <v/>
      </c>
      <c r="DJ49" s="68" t="str">
        <f>IF(DD49=1,Stats!$S64,"")</f>
        <v/>
      </c>
      <c r="DK49" s="68">
        <f t="shared" si="160"/>
        <v>0</v>
      </c>
      <c r="DL49">
        <f t="shared" si="161"/>
        <v>0</v>
      </c>
      <c r="DM49" s="68">
        <f>IF(DL49=0,MAX(DM$2:DM48)+1,0)</f>
        <v>47</v>
      </c>
      <c r="DN49" s="5" t="str">
        <f t="shared" si="162"/>
        <v>Skirmishers</v>
      </c>
      <c r="DO49" s="5" t="str">
        <f t="shared" si="45"/>
        <v>Skirmishers</v>
      </c>
      <c r="DQ49">
        <f t="shared" si="163"/>
        <v>47</v>
      </c>
      <c r="DR49" s="5" t="str">
        <f t="shared" si="164"/>
        <v>Skirmishers</v>
      </c>
      <c r="DS49" s="68">
        <f>COUNTIF(Builder!$K$13:$N$13,DR49)</f>
        <v>0</v>
      </c>
      <c r="DT49" s="68" t="str">
        <f>IF(DS49=1,Stats!$N64,"")</f>
        <v/>
      </c>
      <c r="DU49" s="68" t="str">
        <f>IF(DS49=1,Stats!$O64,"")</f>
        <v/>
      </c>
      <c r="DV49" s="68" t="str">
        <f>IF(DS49=1,Stats!$P64,"")</f>
        <v/>
      </c>
      <c r="DW49" s="68" t="str">
        <f>IF(DS49=1,Stats!$Q64,"")</f>
        <v/>
      </c>
      <c r="DX49" s="68" t="str">
        <f>IF(DS49=1,Stats!$R64,"")</f>
        <v/>
      </c>
      <c r="DY49" s="68" t="str">
        <f>IF(DS49=1,Stats!$S64,"")</f>
        <v/>
      </c>
      <c r="DZ49" s="68">
        <f t="shared" si="165"/>
        <v>0</v>
      </c>
      <c r="EA49">
        <f t="shared" si="166"/>
        <v>0</v>
      </c>
      <c r="EB49" s="68">
        <f>IF(EA49=0,MAX(EB$2:EB48)+1,0)</f>
        <v>47</v>
      </c>
      <c r="EC49" s="5" t="str">
        <f t="shared" si="167"/>
        <v>Skirmishers</v>
      </c>
      <c r="ED49" s="5" t="str">
        <f t="shared" si="51"/>
        <v>Skirmishers</v>
      </c>
      <c r="EF49">
        <f t="shared" si="52"/>
        <v>47</v>
      </c>
      <c r="EG49" s="5" t="str">
        <f t="shared" si="53"/>
        <v>Skirmishers</v>
      </c>
      <c r="EH49" s="68">
        <f>COUNTIF(Builder!$K$14:$N$14,EG49)</f>
        <v>0</v>
      </c>
      <c r="EI49" s="68" t="str">
        <f>IF(EH49=1,Stats!$N64,"")</f>
        <v/>
      </c>
      <c r="EJ49" s="68" t="str">
        <f>IF(EH49=1,Stats!$O64,"")</f>
        <v/>
      </c>
      <c r="EK49" s="68" t="str">
        <f>IF(EH49=1,Stats!$P64,"")</f>
        <v/>
      </c>
      <c r="EL49" s="68" t="str">
        <f>IF(EH49=1,Stats!$Q64,"")</f>
        <v/>
      </c>
      <c r="EM49" s="68" t="str">
        <f>IF(EH49=1,Stats!$R64,"")</f>
        <v/>
      </c>
      <c r="EN49" s="68" t="str">
        <f>IF(EH49=1,Stats!$S64,"")</f>
        <v/>
      </c>
      <c r="EO49" s="68">
        <f t="shared" si="54"/>
        <v>0</v>
      </c>
      <c r="EP49">
        <f t="shared" si="55"/>
        <v>0</v>
      </c>
      <c r="EQ49" s="68">
        <f>IF(EP49=0,MAX(EQ$2:EQ48)+1,0)</f>
        <v>47</v>
      </c>
      <c r="ER49" s="5" t="str">
        <f t="shared" si="56"/>
        <v>Skirmishers</v>
      </c>
      <c r="ES49" s="5" t="str">
        <f t="shared" si="57"/>
        <v>Skirmishers</v>
      </c>
      <c r="EU49">
        <f t="shared" si="58"/>
        <v>47</v>
      </c>
      <c r="EV49" s="5" t="str">
        <f t="shared" si="59"/>
        <v>Skirmishers</v>
      </c>
      <c r="EW49" s="68">
        <f>COUNTIF(Builder!$K$15:$N$15,EV49)</f>
        <v>0</v>
      </c>
      <c r="EX49" s="68" t="str">
        <f>IF(EW49=1,Stats!$N64,"")</f>
        <v/>
      </c>
      <c r="EY49" s="68" t="str">
        <f>IF(EW49=1,Stats!$O64,"")</f>
        <v/>
      </c>
      <c r="EZ49" s="68" t="str">
        <f>IF(EW49=1,Stats!$P64,"")</f>
        <v/>
      </c>
      <c r="FA49" s="68" t="str">
        <f>IF(EW49=1,Stats!$Q64,"")</f>
        <v/>
      </c>
      <c r="FB49" s="68" t="str">
        <f>IF(EW49=1,Stats!$R64,"")</f>
        <v/>
      </c>
      <c r="FC49" s="68" t="str">
        <f>IF(EW49=1,Stats!$S64,"")</f>
        <v/>
      </c>
      <c r="FD49" s="68">
        <f t="shared" si="60"/>
        <v>0</v>
      </c>
      <c r="FE49">
        <f t="shared" si="61"/>
        <v>0</v>
      </c>
      <c r="FF49" s="68">
        <f>IF(FE49=0,MAX(FF$2:FF48)+1,0)</f>
        <v>47</v>
      </c>
      <c r="FG49" s="5" t="str">
        <f t="shared" si="62"/>
        <v>Skirmishers</v>
      </c>
      <c r="FH49" s="5" t="str">
        <f t="shared" si="63"/>
        <v>Skirmishers</v>
      </c>
      <c r="FJ49">
        <f t="shared" si="64"/>
        <v>47</v>
      </c>
      <c r="FK49" s="5" t="str">
        <f t="shared" si="65"/>
        <v>Skirmishers</v>
      </c>
      <c r="FL49" s="68">
        <f>COUNTIF(Builder!$K$16:$N$16,FK49)</f>
        <v>0</v>
      </c>
      <c r="FM49" s="68" t="str">
        <f>IF(FL49=1,Stats!$N64,"")</f>
        <v/>
      </c>
      <c r="FN49" s="68" t="str">
        <f>IF(FL49=1,Stats!$O64,"")</f>
        <v/>
      </c>
      <c r="FO49" s="68" t="str">
        <f>IF(FL49=1,Stats!$P64,"")</f>
        <v/>
      </c>
      <c r="FP49" s="68" t="str">
        <f>IF(FL49=1,Stats!$Q64,"")</f>
        <v/>
      </c>
      <c r="FQ49" s="68" t="str">
        <f>IF(FL49=1,Stats!$R64,"")</f>
        <v/>
      </c>
      <c r="FR49" s="68" t="str">
        <f>IF(FL49=1,Stats!$S64,"")</f>
        <v/>
      </c>
      <c r="FS49" s="68">
        <f t="shared" si="66"/>
        <v>0</v>
      </c>
      <c r="FT49">
        <f t="shared" si="67"/>
        <v>0</v>
      </c>
      <c r="FU49" s="68">
        <f>IF(FT49=0,MAX(FU$2:FU48)+1,0)</f>
        <v>47</v>
      </c>
      <c r="FV49" s="5" t="str">
        <f t="shared" si="68"/>
        <v>Skirmishers</v>
      </c>
      <c r="FW49" s="5" t="str">
        <f t="shared" si="69"/>
        <v>Skirmishers</v>
      </c>
      <c r="FY49">
        <f t="shared" si="168"/>
        <v>47</v>
      </c>
      <c r="FZ49" s="5" t="str">
        <f t="shared" si="169"/>
        <v>Skirmishers</v>
      </c>
      <c r="GA49" s="68">
        <f>COUNTIF(Builder!$K$17:$N$17,FZ49)</f>
        <v>0</v>
      </c>
      <c r="GB49" s="68" t="str">
        <f>IF(GA49=1,Stats!$N64,"")</f>
        <v/>
      </c>
      <c r="GC49" s="68" t="str">
        <f>IF(GA49=1,Stats!$O64,"")</f>
        <v/>
      </c>
      <c r="GD49" s="68" t="str">
        <f>IF(GA49=1,Stats!$P64,"")</f>
        <v/>
      </c>
      <c r="GE49" s="68" t="str">
        <f>IF(GA49=1,Stats!$Q64,"")</f>
        <v/>
      </c>
      <c r="GF49" s="68" t="str">
        <f>IF(GA49=1,Stats!$R64,"")</f>
        <v/>
      </c>
      <c r="GG49" s="68" t="str">
        <f>IF(GA49=1,Stats!$S64,"")</f>
        <v/>
      </c>
      <c r="GH49" s="68">
        <f t="shared" si="170"/>
        <v>0</v>
      </c>
      <c r="GI49">
        <f t="shared" si="171"/>
        <v>0</v>
      </c>
      <c r="GJ49" s="68">
        <f>IF(GI49=0,MAX(GJ$2:GJ48)+1,0)</f>
        <v>47</v>
      </c>
      <c r="GK49" s="5" t="str">
        <f t="shared" si="172"/>
        <v>Skirmishers</v>
      </c>
      <c r="GL49" s="5" t="str">
        <f t="shared" si="75"/>
        <v>Skirmishers</v>
      </c>
      <c r="GN49">
        <f t="shared" si="76"/>
        <v>47</v>
      </c>
      <c r="GO49" s="5" t="str">
        <f t="shared" si="77"/>
        <v>Skirmishers</v>
      </c>
      <c r="GP49" s="68">
        <f>COUNTIF(Builder!$K$18:$N$18,GO49)</f>
        <v>0</v>
      </c>
      <c r="GQ49" s="68" t="str">
        <f>IF(GP49=1,Stats!$N64,"")</f>
        <v/>
      </c>
      <c r="GR49" s="68" t="str">
        <f>IF(GP49=1,Stats!$O64,"")</f>
        <v/>
      </c>
      <c r="GS49" s="68" t="str">
        <f>IF(GP49=1,Stats!$P64,"")</f>
        <v/>
      </c>
      <c r="GT49" s="68" t="str">
        <f>IF(GP49=1,Stats!$Q64,"")</f>
        <v/>
      </c>
      <c r="GU49" s="68" t="str">
        <f>IF(GP49=1,Stats!$R64,"")</f>
        <v/>
      </c>
      <c r="GV49" s="68" t="str">
        <f>IF(GP49=1,Stats!$S64,"")</f>
        <v/>
      </c>
      <c r="GW49" s="68">
        <f t="shared" si="78"/>
        <v>0</v>
      </c>
      <c r="GX49">
        <f t="shared" si="79"/>
        <v>0</v>
      </c>
      <c r="GY49" s="68">
        <f>IF(GX49=0,MAX(GY$2:GY48)+1,0)</f>
        <v>47</v>
      </c>
      <c r="GZ49" s="5" t="str">
        <f t="shared" si="80"/>
        <v>Skirmishers</v>
      </c>
      <c r="HA49" s="5" t="str">
        <f t="shared" si="81"/>
        <v>Skirmishers</v>
      </c>
      <c r="HC49">
        <f t="shared" si="82"/>
        <v>47</v>
      </c>
      <c r="HD49" s="5" t="str">
        <f t="shared" si="83"/>
        <v>Skirmishers</v>
      </c>
      <c r="HE49" s="68">
        <f>COUNTIF(Builder!$K$19:$N$19,HD49)</f>
        <v>0</v>
      </c>
      <c r="HF49" s="68" t="str">
        <f>IF(HE49=1,Stats!$N64,"")</f>
        <v/>
      </c>
      <c r="HG49" s="68" t="str">
        <f>IF(HE49=1,Stats!$O64,"")</f>
        <v/>
      </c>
      <c r="HH49" s="68" t="str">
        <f>IF(HE49=1,Stats!$P64,"")</f>
        <v/>
      </c>
      <c r="HI49" s="68" t="str">
        <f>IF(HE49=1,Stats!$Q64,"")</f>
        <v/>
      </c>
      <c r="HJ49" s="68" t="str">
        <f>IF(HE49=1,Stats!$R64,"")</f>
        <v/>
      </c>
      <c r="HK49" s="68" t="str">
        <f>IF(HE49=1,Stats!$S64,"")</f>
        <v/>
      </c>
      <c r="HL49" s="68">
        <f t="shared" si="84"/>
        <v>0</v>
      </c>
      <c r="HM49">
        <f t="shared" si="85"/>
        <v>0</v>
      </c>
      <c r="HN49" s="68">
        <f>IF(HM49=0,MAX(HN$2:HN48)+1,0)</f>
        <v>47</v>
      </c>
      <c r="HO49" s="5" t="str">
        <f t="shared" si="86"/>
        <v>Skirmishers</v>
      </c>
      <c r="HP49" s="5" t="str">
        <f t="shared" si="87"/>
        <v>Skirmishers</v>
      </c>
      <c r="HR49">
        <f t="shared" si="88"/>
        <v>47</v>
      </c>
      <c r="HS49" s="5" t="str">
        <f t="shared" si="89"/>
        <v>Skirmishers</v>
      </c>
      <c r="HT49" s="68">
        <f>COUNTIF(Builder!$K$20:$N$20,HS49)</f>
        <v>0</v>
      </c>
      <c r="HU49" s="68" t="str">
        <f>IF(HT49=1,Stats!$N64,"")</f>
        <v/>
      </c>
      <c r="HV49" s="68" t="str">
        <f>IF(HT49=1,Stats!$O64,"")</f>
        <v/>
      </c>
      <c r="HW49" s="68" t="str">
        <f>IF(HT49=1,Stats!$P64,"")</f>
        <v/>
      </c>
      <c r="HX49" s="68" t="str">
        <f>IF(HT49=1,Stats!$Q64,"")</f>
        <v/>
      </c>
      <c r="HY49" s="68" t="str">
        <f>IF(HT49=1,Stats!$R64,"")</f>
        <v/>
      </c>
      <c r="HZ49" s="68" t="str">
        <f>IF(HT49=1,Stats!$S64,"")</f>
        <v/>
      </c>
      <c r="IA49" s="68">
        <f t="shared" si="90"/>
        <v>0</v>
      </c>
      <c r="IB49">
        <f t="shared" si="91"/>
        <v>0</v>
      </c>
      <c r="IC49" s="68">
        <f>IF(IB49=0,MAX(IC$2:IC48)+1,0)</f>
        <v>47</v>
      </c>
      <c r="ID49" s="5" t="str">
        <f t="shared" si="92"/>
        <v>Skirmishers</v>
      </c>
      <c r="IE49" s="5" t="str">
        <f t="shared" si="93"/>
        <v>Skirmishers</v>
      </c>
      <c r="IG49">
        <f t="shared" si="94"/>
        <v>47</v>
      </c>
      <c r="IH49" s="5" t="str">
        <f t="shared" si="95"/>
        <v>Skirmishers</v>
      </c>
      <c r="II49" s="68">
        <f>COUNTIF(Builder!$K$21:$N$21,IH49)</f>
        <v>0</v>
      </c>
      <c r="IJ49" s="68" t="str">
        <f>IF(II49=1,Stats!$N64,"")</f>
        <v/>
      </c>
      <c r="IK49" s="68" t="str">
        <f>IF(II49=1,Stats!$O64,"")</f>
        <v/>
      </c>
      <c r="IL49" s="68" t="str">
        <f>IF(II49=1,Stats!$P64,"")</f>
        <v/>
      </c>
      <c r="IM49" s="68" t="str">
        <f>IF(II49=1,Stats!$Q64,"")</f>
        <v/>
      </c>
      <c r="IN49" s="68" t="str">
        <f>IF(II49=1,Stats!$R64,"")</f>
        <v/>
      </c>
      <c r="IO49" s="68" t="str">
        <f>IF(II49=1,Stats!$S64,"")</f>
        <v/>
      </c>
      <c r="IP49" s="68">
        <f t="shared" si="96"/>
        <v>0</v>
      </c>
      <c r="IQ49">
        <f t="shared" si="97"/>
        <v>0</v>
      </c>
      <c r="IR49" s="68">
        <f>IF(IQ49=0,MAX(IR$2:IR48)+1,0)</f>
        <v>47</v>
      </c>
      <c r="IS49" s="5" t="str">
        <f t="shared" si="98"/>
        <v>Skirmishers</v>
      </c>
      <c r="IT49" s="5" t="str">
        <f t="shared" si="99"/>
        <v>Skirmishers</v>
      </c>
      <c r="IV49">
        <f t="shared" si="100"/>
        <v>47</v>
      </c>
      <c r="IW49" s="5" t="str">
        <f t="shared" si="101"/>
        <v>Skirmishers</v>
      </c>
      <c r="IX49" s="68">
        <f>COUNTIF(Builder!$K$22:$N$22,IW49)</f>
        <v>0</v>
      </c>
      <c r="IY49" s="68" t="str">
        <f>IF(IX49=1,Stats!$N64,"")</f>
        <v/>
      </c>
      <c r="IZ49" s="68" t="str">
        <f>IF(IX49=1,Stats!$O64,"")</f>
        <v/>
      </c>
      <c r="JA49" s="68" t="str">
        <f>IF(IX49=1,Stats!$P64,"")</f>
        <v/>
      </c>
      <c r="JB49" s="68" t="str">
        <f>IF(IX49=1,Stats!$Q64,"")</f>
        <v/>
      </c>
      <c r="JC49" s="68" t="str">
        <f>IF(IX49=1,Stats!$R64,"")</f>
        <v/>
      </c>
      <c r="JD49" s="68" t="str">
        <f>IF(IX49=1,Stats!$S64,"")</f>
        <v/>
      </c>
      <c r="JE49" s="68">
        <f t="shared" si="102"/>
        <v>0</v>
      </c>
      <c r="JF49">
        <f t="shared" si="103"/>
        <v>0</v>
      </c>
      <c r="JG49" s="68">
        <f>IF(JF49=0,MAX(JG$2:JG48)+1,0)</f>
        <v>47</v>
      </c>
      <c r="JH49" s="5" t="str">
        <f t="shared" si="104"/>
        <v>Skirmishers</v>
      </c>
      <c r="JI49" s="5" t="str">
        <f t="shared" si="105"/>
        <v>Skirmishers</v>
      </c>
      <c r="JK49">
        <f t="shared" si="106"/>
        <v>47</v>
      </c>
      <c r="JL49" s="5" t="str">
        <f t="shared" si="107"/>
        <v>Skirmishers</v>
      </c>
      <c r="JM49" s="68">
        <f>COUNTIF(Builder!$K$23:$N$23,JL49)</f>
        <v>0</v>
      </c>
      <c r="JN49" s="68" t="str">
        <f>IF(JM49=1,Stats!$N64,"")</f>
        <v/>
      </c>
      <c r="JO49" s="68" t="str">
        <f>IF(JM49=1,Stats!$O64,"")</f>
        <v/>
      </c>
      <c r="JP49" s="68" t="str">
        <f>IF(JM49=1,Stats!$P64,"")</f>
        <v/>
      </c>
      <c r="JQ49" s="68" t="str">
        <f>IF(JM49=1,Stats!$Q64,"")</f>
        <v/>
      </c>
      <c r="JR49" s="68" t="str">
        <f>IF(JM49=1,Stats!$R64,"")</f>
        <v/>
      </c>
      <c r="JS49" s="68" t="str">
        <f>IF(JM49=1,Stats!$S64,"")</f>
        <v/>
      </c>
      <c r="JT49" s="68">
        <f t="shared" si="108"/>
        <v>0</v>
      </c>
      <c r="JU49">
        <f t="shared" si="109"/>
        <v>0</v>
      </c>
      <c r="JV49" s="68">
        <f>IF(JU49=0,MAX(JV$2:JV48)+1,0)</f>
        <v>47</v>
      </c>
      <c r="JW49" s="5" t="str">
        <f t="shared" si="110"/>
        <v>Skirmishers</v>
      </c>
      <c r="JX49" s="5" t="str">
        <f t="shared" si="111"/>
        <v>Skirmishers</v>
      </c>
      <c r="JZ49">
        <f t="shared" si="112"/>
        <v>47</v>
      </c>
      <c r="KA49" s="5" t="str">
        <f t="shared" si="113"/>
        <v>Skirmishers</v>
      </c>
      <c r="KB49" s="68">
        <f>COUNTIF(Builder!$K$24:$N$24,KA49)</f>
        <v>0</v>
      </c>
      <c r="KC49" s="68" t="str">
        <f>IF(KB49=1,Stats!$N64,"")</f>
        <v/>
      </c>
      <c r="KD49" s="68" t="str">
        <f>IF(KB49=1,Stats!$O64,"")</f>
        <v/>
      </c>
      <c r="KE49" s="68" t="str">
        <f>IF(KB49=1,Stats!$P64,"")</f>
        <v/>
      </c>
      <c r="KF49" s="68" t="str">
        <f>IF(KB49=1,Stats!$Q64,"")</f>
        <v/>
      </c>
      <c r="KG49" s="68" t="str">
        <f>IF(KB49=1,Stats!$R64,"")</f>
        <v/>
      </c>
      <c r="KH49" s="68" t="str">
        <f>IF(KB49=1,Stats!$S64,"")</f>
        <v/>
      </c>
      <c r="KI49" s="68">
        <f t="shared" si="114"/>
        <v>0</v>
      </c>
      <c r="KJ49">
        <f t="shared" si="115"/>
        <v>0</v>
      </c>
      <c r="KK49" s="68">
        <f>IF(KJ49=0,MAX(KK$2:KK48)+1,0)</f>
        <v>47</v>
      </c>
      <c r="KL49" s="5" t="str">
        <f t="shared" si="116"/>
        <v>Skirmishers</v>
      </c>
      <c r="KM49" s="5" t="str">
        <f t="shared" si="117"/>
        <v>Skirmishers</v>
      </c>
      <c r="KO49">
        <f t="shared" si="118"/>
        <v>47</v>
      </c>
      <c r="KP49" s="5" t="str">
        <f t="shared" si="119"/>
        <v>Skirmishers</v>
      </c>
      <c r="KQ49" s="68">
        <f>COUNTIF(Builder!$K$25:$N$25,KP49)</f>
        <v>0</v>
      </c>
      <c r="KR49" s="68" t="str">
        <f>IF(KQ49=1,Stats!$N64,"")</f>
        <v/>
      </c>
      <c r="KS49" s="68" t="str">
        <f>IF(KQ49=1,Stats!$O64,"")</f>
        <v/>
      </c>
      <c r="KT49" s="68" t="str">
        <f>IF(KQ49=1,Stats!$P64,"")</f>
        <v/>
      </c>
      <c r="KU49" s="68" t="str">
        <f>IF(KQ49=1,Stats!$Q64,"")</f>
        <v/>
      </c>
      <c r="KV49" s="68" t="str">
        <f>IF(KQ49=1,Stats!$R64,"")</f>
        <v/>
      </c>
      <c r="KW49" s="68" t="str">
        <f>IF(KQ49=1,Stats!$S64,"")</f>
        <v/>
      </c>
      <c r="KX49" s="68">
        <f t="shared" si="120"/>
        <v>0</v>
      </c>
      <c r="KY49">
        <f t="shared" si="121"/>
        <v>0</v>
      </c>
      <c r="KZ49" s="68">
        <f>IF(KY49=0,MAX(KZ$2:KZ48)+1,0)</f>
        <v>47</v>
      </c>
      <c r="LA49" s="5" t="str">
        <f t="shared" si="122"/>
        <v>Skirmishers</v>
      </c>
      <c r="LB49" s="5" t="str">
        <f t="shared" si="123"/>
        <v>Skirmishers</v>
      </c>
      <c r="LD49">
        <f t="shared" si="124"/>
        <v>47</v>
      </c>
      <c r="LE49" s="5" t="str">
        <f t="shared" si="125"/>
        <v>Skirmishers</v>
      </c>
      <c r="LF49" s="68">
        <f>COUNTIF(Builder!$K$26:$N$26,LE49)</f>
        <v>0</v>
      </c>
      <c r="LG49" s="68" t="str">
        <f>IF(LF49=1,Stats!$N64,"")</f>
        <v/>
      </c>
      <c r="LH49" s="68" t="str">
        <f>IF(LF49=1,Stats!$O64,"")</f>
        <v/>
      </c>
      <c r="LI49" s="68" t="str">
        <f>IF(LF49=1,Stats!$P64,"")</f>
        <v/>
      </c>
      <c r="LJ49" s="68" t="str">
        <f>IF(LF49=1,Stats!$Q64,"")</f>
        <v/>
      </c>
      <c r="LK49" s="68" t="str">
        <f>IF(LF49=1,Stats!$R64,"")</f>
        <v/>
      </c>
      <c r="LL49" s="68" t="str">
        <f>IF(LF49=1,Stats!$S64,"")</f>
        <v/>
      </c>
      <c r="LM49" s="68">
        <f t="shared" si="126"/>
        <v>0</v>
      </c>
      <c r="LN49">
        <f t="shared" si="127"/>
        <v>0</v>
      </c>
      <c r="LO49" s="68">
        <f>IF(LN49=0,MAX(LO$2:LO48)+1,0)</f>
        <v>47</v>
      </c>
      <c r="LP49" s="5" t="str">
        <f t="shared" si="128"/>
        <v>Skirmishers</v>
      </c>
      <c r="LQ49" s="5" t="str">
        <f t="shared" si="129"/>
        <v>Skirmishers</v>
      </c>
      <c r="LS49">
        <f t="shared" si="130"/>
        <v>47</v>
      </c>
      <c r="LT49" s="5" t="str">
        <f t="shared" si="131"/>
        <v>Skirmishers</v>
      </c>
      <c r="LU49" s="68">
        <f>COUNTIF(Builder!$K$27:$N$27,LT49)</f>
        <v>0</v>
      </c>
      <c r="LV49" s="68" t="str">
        <f>IF(LU49=1,Stats!$N64,"")</f>
        <v/>
      </c>
      <c r="LW49" s="68" t="str">
        <f>IF(LU49=1,Stats!$O64,"")</f>
        <v/>
      </c>
      <c r="LX49" s="68" t="str">
        <f>IF(LU49=1,Stats!$P64,"")</f>
        <v/>
      </c>
      <c r="LY49" s="68" t="str">
        <f>IF(LU49=1,Stats!$Q64,"")</f>
        <v/>
      </c>
      <c r="LZ49" s="68" t="str">
        <f>IF(LU49=1,Stats!$R64,"")</f>
        <v/>
      </c>
      <c r="MA49" s="68" t="str">
        <f>IF(LU49=1,Stats!$S64,"")</f>
        <v/>
      </c>
      <c r="MB49" s="68">
        <f t="shared" si="132"/>
        <v>0</v>
      </c>
      <c r="MC49">
        <f t="shared" si="133"/>
        <v>0</v>
      </c>
      <c r="MD49" s="68">
        <f>IF(MC49=0,MAX(MD$2:MD48)+1,0)</f>
        <v>47</v>
      </c>
      <c r="ME49" s="5" t="str">
        <f t="shared" si="134"/>
        <v>Skirmishers</v>
      </c>
      <c r="MF49" s="5" t="str">
        <f t="shared" si="135"/>
        <v>Skirmishers</v>
      </c>
      <c r="MH49">
        <f t="shared" si="136"/>
        <v>47</v>
      </c>
      <c r="MI49" s="5" t="str">
        <f t="shared" si="137"/>
        <v>Skirmishers</v>
      </c>
      <c r="MJ49" s="68">
        <f>COUNTIF(Builder!$K$28:$N$28,MI49)</f>
        <v>0</v>
      </c>
      <c r="MK49" s="68" t="str">
        <f>IF(MJ49=1,Stats!$N64,"")</f>
        <v/>
      </c>
      <c r="ML49" s="68" t="str">
        <f>IF(MJ49=1,Stats!$O64,"")</f>
        <v/>
      </c>
      <c r="MM49" s="68" t="str">
        <f>IF(MJ49=1,Stats!$P64,"")</f>
        <v/>
      </c>
      <c r="MN49" s="68" t="str">
        <f>IF(MJ49=1,Stats!$Q64,"")</f>
        <v/>
      </c>
      <c r="MO49" s="68" t="str">
        <f>IF(MJ49=1,Stats!$R64,"")</f>
        <v/>
      </c>
      <c r="MP49" s="68" t="str">
        <f>IF(MJ49=1,Stats!$S64,"")</f>
        <v/>
      </c>
      <c r="MQ49" s="68">
        <f t="shared" si="138"/>
        <v>0</v>
      </c>
      <c r="MR49">
        <f t="shared" si="139"/>
        <v>0</v>
      </c>
      <c r="MS49" s="68">
        <f>IF(MR49=0,MAX(MS$2:MS48)+1,0)</f>
        <v>47</v>
      </c>
      <c r="MT49" s="5" t="str">
        <f t="shared" si="140"/>
        <v>Skirmishers</v>
      </c>
      <c r="MU49" s="5" t="str">
        <f t="shared" si="141"/>
        <v>Skirmishers</v>
      </c>
      <c r="MW49">
        <f t="shared" si="142"/>
        <v>47</v>
      </c>
      <c r="MX49" s="5" t="str">
        <f t="shared" si="143"/>
        <v>Skirmishers</v>
      </c>
      <c r="MY49" s="68">
        <f>COUNTIF(Builder!$K$29:$N$29,MX49)</f>
        <v>0</v>
      </c>
      <c r="MZ49" s="68" t="str">
        <f>IF(MY49=1,Stats!$N64,"")</f>
        <v/>
      </c>
      <c r="NA49" s="68" t="str">
        <f>IF(MY49=1,Stats!$O64,"")</f>
        <v/>
      </c>
      <c r="NB49" s="68" t="str">
        <f>IF(MY49=1,Stats!$P64,"")</f>
        <v/>
      </c>
      <c r="NC49" s="68" t="str">
        <f>IF(MY49=1,Stats!$Q64,"")</f>
        <v/>
      </c>
      <c r="ND49" s="68" t="str">
        <f>IF(MY49=1,Stats!$R64,"")</f>
        <v/>
      </c>
      <c r="NE49" s="68" t="str">
        <f>IF(MY49=1,Stats!$S64,"")</f>
        <v/>
      </c>
      <c r="NF49" s="68">
        <f t="shared" si="144"/>
        <v>0</v>
      </c>
      <c r="NG49">
        <f t="shared" si="145"/>
        <v>0</v>
      </c>
      <c r="NH49" s="68">
        <f>IF(NG49=0,MAX(NH$2:NH48)+1,0)</f>
        <v>47</v>
      </c>
      <c r="NI49" s="5" t="str">
        <f t="shared" si="146"/>
        <v>Skirmishers</v>
      </c>
      <c r="NJ49" s="5" t="str">
        <f t="shared" si="147"/>
        <v>Skirmishers</v>
      </c>
    </row>
    <row r="50" spans="1:374" ht="15" x14ac:dyDescent="0.3">
      <c r="A50">
        <v>48</v>
      </c>
      <c r="B50" s="5" t="s">
        <v>49</v>
      </c>
      <c r="C50" s="68">
        <f>COUNTIF(Builder!$K$5:$N$5,B50)</f>
        <v>0</v>
      </c>
      <c r="D50" s="68" t="str">
        <f>IF(C50=1,Stats!$N65,"")</f>
        <v/>
      </c>
      <c r="E50" s="68" t="str">
        <f>IF(C50=1,Stats!$O65,"")</f>
        <v/>
      </c>
      <c r="F50" s="68" t="str">
        <f>IF(C50=1,Stats!$P65,"")</f>
        <v/>
      </c>
      <c r="G50" s="68" t="str">
        <f>IF(C50=1,Stats!$Q65,"")</f>
        <v/>
      </c>
      <c r="H50" s="68" t="str">
        <f>IF(C50=1,Stats!$R65,"")</f>
        <v/>
      </c>
      <c r="I50" s="68" t="str">
        <f>IF(C50=1,Stats!$S65,"")</f>
        <v/>
      </c>
      <c r="J50" s="68">
        <f t="shared" si="0"/>
        <v>0</v>
      </c>
      <c r="K50">
        <f t="shared" si="1"/>
        <v>0</v>
      </c>
      <c r="L50" s="68">
        <f>IF(K50=0,MAX($L$2:L49)+1,0)</f>
        <v>48</v>
      </c>
      <c r="M50" s="5" t="str">
        <f t="shared" si="2"/>
        <v>Stimulants</v>
      </c>
      <c r="N50" s="5" t="str">
        <f t="shared" si="3"/>
        <v>Stimulants</v>
      </c>
      <c r="O50" s="5"/>
      <c r="P50">
        <f t="shared" si="4"/>
        <v>48</v>
      </c>
      <c r="Q50" s="5" t="str">
        <f t="shared" si="5"/>
        <v>Stimulants</v>
      </c>
      <c r="R50" s="68">
        <f>COUNTIF(Builder!$K$6:$N$6,Q50)</f>
        <v>0</v>
      </c>
      <c r="S50" s="68" t="str">
        <f>IF(R50=1,Stats!$N65,"")</f>
        <v/>
      </c>
      <c r="T50" s="68" t="str">
        <f>IF(R50=1,Stats!$O65,"")</f>
        <v/>
      </c>
      <c r="U50" s="68" t="str">
        <f>IF(R50=1,Stats!$P65,"")</f>
        <v/>
      </c>
      <c r="V50" s="68" t="str">
        <f>IF(R50=1,Stats!$Q65,"")</f>
        <v/>
      </c>
      <c r="W50" s="68" t="str">
        <f>IF(R50=1,Stats!$R65,"")</f>
        <v/>
      </c>
      <c r="X50" s="68" t="str">
        <f>IF(R50=1,Stats!$S65,"")</f>
        <v/>
      </c>
      <c r="Y50" s="68">
        <f t="shared" si="6"/>
        <v>0</v>
      </c>
      <c r="Z50">
        <f t="shared" si="7"/>
        <v>0</v>
      </c>
      <c r="AA50" s="68">
        <f>IF(Z50=0,MAX($AA$2:AA49)+1,0)</f>
        <v>48</v>
      </c>
      <c r="AB50" s="5" t="str">
        <f t="shared" si="8"/>
        <v>Stimulants</v>
      </c>
      <c r="AC50" s="5" t="str">
        <f t="shared" si="9"/>
        <v>Stimulants</v>
      </c>
      <c r="AD50" s="5"/>
      <c r="AE50">
        <f t="shared" si="10"/>
        <v>48</v>
      </c>
      <c r="AF50" s="5" t="str">
        <f t="shared" si="11"/>
        <v>Stimulants</v>
      </c>
      <c r="AG50" s="68">
        <f>COUNTIF(Builder!$K$7:$N$7,AF50)</f>
        <v>0</v>
      </c>
      <c r="AH50" s="68" t="str">
        <f>IF(AG50=1,Stats!$N65,"")</f>
        <v/>
      </c>
      <c r="AI50" s="68" t="str">
        <f>IF(AG50=1,Stats!$O65,"")</f>
        <v/>
      </c>
      <c r="AJ50" s="68" t="str">
        <f>IF(AG50=1,Stats!$P65,"")</f>
        <v/>
      </c>
      <c r="AK50" s="68" t="str">
        <f>IF(AG50=1,Stats!$Q65,"")</f>
        <v/>
      </c>
      <c r="AL50" s="68" t="str">
        <f>IF(AG50=1,Stats!$R65,"")</f>
        <v/>
      </c>
      <c r="AM50" s="68" t="str">
        <f>IF(AG50=1,Stats!$S65,"")</f>
        <v/>
      </c>
      <c r="AN50" s="68">
        <f t="shared" si="12"/>
        <v>0</v>
      </c>
      <c r="AO50">
        <f t="shared" si="13"/>
        <v>0</v>
      </c>
      <c r="AP50" s="68">
        <f>IF(AO50=0,MAX($AP$2:AP49)+1,0)</f>
        <v>48</v>
      </c>
      <c r="AQ50" s="5" t="str">
        <f t="shared" si="14"/>
        <v>Stimulants</v>
      </c>
      <c r="AR50" s="5" t="str">
        <f t="shared" si="15"/>
        <v>Stimulants</v>
      </c>
      <c r="AS50" s="5"/>
      <c r="AT50">
        <f t="shared" si="16"/>
        <v>48</v>
      </c>
      <c r="AU50" s="5" t="str">
        <f t="shared" si="17"/>
        <v>Stimulants</v>
      </c>
      <c r="AV50" s="68">
        <f>COUNTIF(Builder!$K$8:$N$8,AU50)</f>
        <v>0</v>
      </c>
      <c r="AW50" s="68" t="str">
        <f>IF(AV50=1,Stats!$N65,"")</f>
        <v/>
      </c>
      <c r="AX50" s="68" t="str">
        <f>IF(AV50=1,Stats!$O65,"")</f>
        <v/>
      </c>
      <c r="AY50" s="68" t="str">
        <f>IF(AV50=1,Stats!$P65,"")</f>
        <v/>
      </c>
      <c r="AZ50" s="68" t="str">
        <f>IF(AV50=1,Stats!$Q65,"")</f>
        <v/>
      </c>
      <c r="BA50" s="68" t="str">
        <f>IF(AV50=1,Stats!$R65,"")</f>
        <v/>
      </c>
      <c r="BB50" s="68" t="str">
        <f>IF(AV50=1,Stats!$S65,"")</f>
        <v/>
      </c>
      <c r="BC50" s="68">
        <f t="shared" si="18"/>
        <v>0</v>
      </c>
      <c r="BD50">
        <f t="shared" si="19"/>
        <v>0</v>
      </c>
      <c r="BE50" s="68">
        <f>IF(BD50=0,MAX($BE$2:BE49)+1,0)</f>
        <v>48</v>
      </c>
      <c r="BF50" s="5" t="str">
        <f t="shared" si="20"/>
        <v>Stimulants</v>
      </c>
      <c r="BG50" s="5" t="str">
        <f t="shared" si="21"/>
        <v>Stimulants</v>
      </c>
      <c r="BH50" s="5"/>
      <c r="BI50">
        <f t="shared" si="148"/>
        <v>48</v>
      </c>
      <c r="BJ50" s="5" t="str">
        <f t="shared" si="149"/>
        <v>Stimulants</v>
      </c>
      <c r="BK50" s="68">
        <f>COUNTIF(Builder!$K$9:$N$9,BJ50)</f>
        <v>0</v>
      </c>
      <c r="BL50" s="68" t="str">
        <f>IF(BK50=1,Stats!$N65,"")</f>
        <v/>
      </c>
      <c r="BM50" s="68" t="str">
        <f>IF(BK50=1,Stats!$O65,"")</f>
        <v/>
      </c>
      <c r="BN50" s="68" t="str">
        <f>IF(BK50=1,Stats!$P65,"")</f>
        <v/>
      </c>
      <c r="BO50" s="68" t="str">
        <f>IF(BK50=1,Stats!$Q65,"")</f>
        <v/>
      </c>
      <c r="BP50" s="68" t="str">
        <f>IF(BK50=1,Stats!$R65,"")</f>
        <v/>
      </c>
      <c r="BQ50" s="68" t="str">
        <f>IF(BK50=1,Stats!$S65,"")</f>
        <v/>
      </c>
      <c r="BR50" s="68">
        <f t="shared" si="150"/>
        <v>0</v>
      </c>
      <c r="BS50">
        <f t="shared" si="151"/>
        <v>0</v>
      </c>
      <c r="BT50" s="68">
        <f>IF(BS50=0,MAX(BT$2:BT49)+1,0)</f>
        <v>48</v>
      </c>
      <c r="BU50" s="5" t="str">
        <f t="shared" si="152"/>
        <v>Stimulants</v>
      </c>
      <c r="BV50" s="5" t="str">
        <f t="shared" si="27"/>
        <v>Stimulants</v>
      </c>
      <c r="BX50">
        <f t="shared" si="153"/>
        <v>48</v>
      </c>
      <c r="BY50" s="5" t="str">
        <f t="shared" si="154"/>
        <v>Stimulants</v>
      </c>
      <c r="BZ50" s="68">
        <f>COUNTIF(Builder!$K$10:$N$10,BY50)</f>
        <v>0</v>
      </c>
      <c r="CA50" s="68" t="str">
        <f>IF(BZ50=1,Stats!$N65,"")</f>
        <v/>
      </c>
      <c r="CB50" s="68" t="str">
        <f>IF(BZ50=1,Stats!$O65,"")</f>
        <v/>
      </c>
      <c r="CC50" s="68" t="str">
        <f>IF(BZ50=1,Stats!$P65,"")</f>
        <v/>
      </c>
      <c r="CD50" s="68" t="str">
        <f>IF(BZ50=1,Stats!$Q65,"")</f>
        <v/>
      </c>
      <c r="CE50" s="68" t="str">
        <f>IF(BZ50=1,Stats!$R65,"")</f>
        <v/>
      </c>
      <c r="CF50" s="68" t="str">
        <f>IF(BZ50=1,Stats!$S65,"")</f>
        <v/>
      </c>
      <c r="CG50" s="68">
        <f t="shared" si="155"/>
        <v>0</v>
      </c>
      <c r="CH50">
        <f t="shared" si="156"/>
        <v>0</v>
      </c>
      <c r="CI50" s="68">
        <f>IF(CH50=0,MAX(CI$2:CI49)+1,0)</f>
        <v>48</v>
      </c>
      <c r="CJ50" s="5" t="str">
        <f t="shared" si="157"/>
        <v>Stimulants</v>
      </c>
      <c r="CK50" s="5" t="str">
        <f t="shared" si="33"/>
        <v>Stimulants</v>
      </c>
      <c r="CM50">
        <f t="shared" si="34"/>
        <v>48</v>
      </c>
      <c r="CN50" s="5" t="str">
        <f t="shared" si="35"/>
        <v>Stimulants</v>
      </c>
      <c r="CO50" s="68">
        <f>COUNTIF(Builder!$K$11:$N$11,CN50)</f>
        <v>0</v>
      </c>
      <c r="CP50" s="68" t="str">
        <f>IF(CO50=1,Stats!$N65,"")</f>
        <v/>
      </c>
      <c r="CQ50" s="68" t="str">
        <f>IF(CO50=1,Stats!$O65,"")</f>
        <v/>
      </c>
      <c r="CR50" s="68" t="str">
        <f>IF(CO50=1,Stats!$P65,"")</f>
        <v/>
      </c>
      <c r="CS50" s="68" t="str">
        <f>IF(CO50=1,Stats!$Q65,"")</f>
        <v/>
      </c>
      <c r="CT50" s="68" t="str">
        <f>IF(CO50=1,Stats!$R65,"")</f>
        <v/>
      </c>
      <c r="CU50" s="68" t="str">
        <f>IF(CO50=1,Stats!$S65,"")</f>
        <v/>
      </c>
      <c r="CV50" s="68">
        <f t="shared" si="36"/>
        <v>0</v>
      </c>
      <c r="CW50">
        <f t="shared" si="37"/>
        <v>0</v>
      </c>
      <c r="CX50" s="68">
        <f>IF(CW50=0,MAX(CX$2:CX49)+1,0)</f>
        <v>48</v>
      </c>
      <c r="CY50" s="5" t="str">
        <f t="shared" si="38"/>
        <v>Stimulants</v>
      </c>
      <c r="CZ50" s="5" t="str">
        <f t="shared" si="39"/>
        <v>Stimulants</v>
      </c>
      <c r="DB50">
        <f t="shared" si="158"/>
        <v>48</v>
      </c>
      <c r="DC50" s="5" t="str">
        <f t="shared" si="159"/>
        <v>Stimulants</v>
      </c>
      <c r="DD50" s="68">
        <f>COUNTIF(Builder!$K$12:$N$12,DC50)</f>
        <v>0</v>
      </c>
      <c r="DE50" s="68" t="str">
        <f>IF(DD50=1,Stats!$N65,"")</f>
        <v/>
      </c>
      <c r="DF50" s="68" t="str">
        <f>IF(DD50=1,Stats!$O65,"")</f>
        <v/>
      </c>
      <c r="DG50" s="68" t="str">
        <f>IF(DD50=1,Stats!$P65,"")</f>
        <v/>
      </c>
      <c r="DH50" s="68" t="str">
        <f>IF(DD50=1,Stats!$Q65,"")</f>
        <v/>
      </c>
      <c r="DI50" s="68" t="str">
        <f>IF(DD50=1,Stats!$R65,"")</f>
        <v/>
      </c>
      <c r="DJ50" s="68" t="str">
        <f>IF(DD50=1,Stats!$S65,"")</f>
        <v/>
      </c>
      <c r="DK50" s="68">
        <f t="shared" si="160"/>
        <v>0</v>
      </c>
      <c r="DL50">
        <f t="shared" si="161"/>
        <v>0</v>
      </c>
      <c r="DM50" s="68">
        <f>IF(DL50=0,MAX(DM$2:DM49)+1,0)</f>
        <v>48</v>
      </c>
      <c r="DN50" s="5" t="str">
        <f t="shared" si="162"/>
        <v>Stimulants</v>
      </c>
      <c r="DO50" s="5" t="str">
        <f t="shared" si="45"/>
        <v>Stimulants</v>
      </c>
      <c r="DQ50">
        <f t="shared" si="163"/>
        <v>48</v>
      </c>
      <c r="DR50" s="5" t="str">
        <f t="shared" si="164"/>
        <v>Stimulants</v>
      </c>
      <c r="DS50" s="68">
        <f>COUNTIF(Builder!$K$13:$N$13,DR50)</f>
        <v>0</v>
      </c>
      <c r="DT50" s="68" t="str">
        <f>IF(DS50=1,Stats!$N65,"")</f>
        <v/>
      </c>
      <c r="DU50" s="68" t="str">
        <f>IF(DS50=1,Stats!$O65,"")</f>
        <v/>
      </c>
      <c r="DV50" s="68" t="str">
        <f>IF(DS50=1,Stats!$P65,"")</f>
        <v/>
      </c>
      <c r="DW50" s="68" t="str">
        <f>IF(DS50=1,Stats!$Q65,"")</f>
        <v/>
      </c>
      <c r="DX50" s="68" t="str">
        <f>IF(DS50=1,Stats!$R65,"")</f>
        <v/>
      </c>
      <c r="DY50" s="68" t="str">
        <f>IF(DS50=1,Stats!$S65,"")</f>
        <v/>
      </c>
      <c r="DZ50" s="68">
        <f t="shared" si="165"/>
        <v>0</v>
      </c>
      <c r="EA50">
        <f t="shared" si="166"/>
        <v>0</v>
      </c>
      <c r="EB50" s="68">
        <f>IF(EA50=0,MAX(EB$2:EB49)+1,0)</f>
        <v>48</v>
      </c>
      <c r="EC50" s="5" t="str">
        <f t="shared" si="167"/>
        <v>Stimulants</v>
      </c>
      <c r="ED50" s="5" t="str">
        <f t="shared" si="51"/>
        <v>Stimulants</v>
      </c>
      <c r="EF50">
        <f t="shared" si="52"/>
        <v>48</v>
      </c>
      <c r="EG50" s="5" t="str">
        <f t="shared" si="53"/>
        <v>Stimulants</v>
      </c>
      <c r="EH50" s="68">
        <f>COUNTIF(Builder!$K$14:$N$14,EG50)</f>
        <v>0</v>
      </c>
      <c r="EI50" s="68" t="str">
        <f>IF(EH50=1,Stats!$N65,"")</f>
        <v/>
      </c>
      <c r="EJ50" s="68" t="str">
        <f>IF(EH50=1,Stats!$O65,"")</f>
        <v/>
      </c>
      <c r="EK50" s="68" t="str">
        <f>IF(EH50=1,Stats!$P65,"")</f>
        <v/>
      </c>
      <c r="EL50" s="68" t="str">
        <f>IF(EH50=1,Stats!$Q65,"")</f>
        <v/>
      </c>
      <c r="EM50" s="68" t="str">
        <f>IF(EH50=1,Stats!$R65,"")</f>
        <v/>
      </c>
      <c r="EN50" s="68" t="str">
        <f>IF(EH50=1,Stats!$S65,"")</f>
        <v/>
      </c>
      <c r="EO50" s="68">
        <f t="shared" si="54"/>
        <v>0</v>
      </c>
      <c r="EP50">
        <f t="shared" si="55"/>
        <v>0</v>
      </c>
      <c r="EQ50" s="68">
        <f>IF(EP50=0,MAX(EQ$2:EQ49)+1,0)</f>
        <v>48</v>
      </c>
      <c r="ER50" s="5" t="str">
        <f t="shared" si="56"/>
        <v>Stimulants</v>
      </c>
      <c r="ES50" s="5" t="str">
        <f t="shared" si="57"/>
        <v>Stimulants</v>
      </c>
      <c r="EU50">
        <f t="shared" si="58"/>
        <v>48</v>
      </c>
      <c r="EV50" s="5" t="str">
        <f t="shared" si="59"/>
        <v>Stimulants</v>
      </c>
      <c r="EW50" s="68">
        <f>COUNTIF(Builder!$K$15:$N$15,EV50)</f>
        <v>0</v>
      </c>
      <c r="EX50" s="68" t="str">
        <f>IF(EW50=1,Stats!$N65,"")</f>
        <v/>
      </c>
      <c r="EY50" s="68" t="str">
        <f>IF(EW50=1,Stats!$O65,"")</f>
        <v/>
      </c>
      <c r="EZ50" s="68" t="str">
        <f>IF(EW50=1,Stats!$P65,"")</f>
        <v/>
      </c>
      <c r="FA50" s="68" t="str">
        <f>IF(EW50=1,Stats!$Q65,"")</f>
        <v/>
      </c>
      <c r="FB50" s="68" t="str">
        <f>IF(EW50=1,Stats!$R65,"")</f>
        <v/>
      </c>
      <c r="FC50" s="68" t="str">
        <f>IF(EW50=1,Stats!$S65,"")</f>
        <v/>
      </c>
      <c r="FD50" s="68">
        <f t="shared" si="60"/>
        <v>0</v>
      </c>
      <c r="FE50">
        <f t="shared" si="61"/>
        <v>0</v>
      </c>
      <c r="FF50" s="68">
        <f>IF(FE50=0,MAX(FF$2:FF49)+1,0)</f>
        <v>48</v>
      </c>
      <c r="FG50" s="5" t="str">
        <f t="shared" si="62"/>
        <v>Stimulants</v>
      </c>
      <c r="FH50" s="5" t="str">
        <f t="shared" si="63"/>
        <v>Stimulants</v>
      </c>
      <c r="FJ50">
        <f t="shared" si="64"/>
        <v>48</v>
      </c>
      <c r="FK50" s="5" t="str">
        <f t="shared" si="65"/>
        <v>Stimulants</v>
      </c>
      <c r="FL50" s="68">
        <f>COUNTIF(Builder!$K$16:$N$16,FK50)</f>
        <v>0</v>
      </c>
      <c r="FM50" s="68" t="str">
        <f>IF(FL50=1,Stats!$N65,"")</f>
        <v/>
      </c>
      <c r="FN50" s="68" t="str">
        <f>IF(FL50=1,Stats!$O65,"")</f>
        <v/>
      </c>
      <c r="FO50" s="68" t="str">
        <f>IF(FL50=1,Stats!$P65,"")</f>
        <v/>
      </c>
      <c r="FP50" s="68" t="str">
        <f>IF(FL50=1,Stats!$Q65,"")</f>
        <v/>
      </c>
      <c r="FQ50" s="68" t="str">
        <f>IF(FL50=1,Stats!$R65,"")</f>
        <v/>
      </c>
      <c r="FR50" s="68" t="str">
        <f>IF(FL50=1,Stats!$S65,"")</f>
        <v/>
      </c>
      <c r="FS50" s="68">
        <f t="shared" si="66"/>
        <v>0</v>
      </c>
      <c r="FT50">
        <f t="shared" si="67"/>
        <v>0</v>
      </c>
      <c r="FU50" s="68">
        <f>IF(FT50=0,MAX(FU$2:FU49)+1,0)</f>
        <v>48</v>
      </c>
      <c r="FV50" s="5" t="str">
        <f t="shared" si="68"/>
        <v>Stimulants</v>
      </c>
      <c r="FW50" s="5" t="str">
        <f t="shared" si="69"/>
        <v>Stimulants</v>
      </c>
      <c r="FY50">
        <f t="shared" si="168"/>
        <v>48</v>
      </c>
      <c r="FZ50" s="5" t="str">
        <f t="shared" si="169"/>
        <v>Stimulants</v>
      </c>
      <c r="GA50" s="68">
        <f>COUNTIF(Builder!$K$17:$N$17,FZ50)</f>
        <v>0</v>
      </c>
      <c r="GB50" s="68" t="str">
        <f>IF(GA50=1,Stats!$N65,"")</f>
        <v/>
      </c>
      <c r="GC50" s="68" t="str">
        <f>IF(GA50=1,Stats!$O65,"")</f>
        <v/>
      </c>
      <c r="GD50" s="68" t="str">
        <f>IF(GA50=1,Stats!$P65,"")</f>
        <v/>
      </c>
      <c r="GE50" s="68" t="str">
        <f>IF(GA50=1,Stats!$Q65,"")</f>
        <v/>
      </c>
      <c r="GF50" s="68" t="str">
        <f>IF(GA50=1,Stats!$R65,"")</f>
        <v/>
      </c>
      <c r="GG50" s="68" t="str">
        <f>IF(GA50=1,Stats!$S65,"")</f>
        <v/>
      </c>
      <c r="GH50" s="68">
        <f t="shared" si="170"/>
        <v>0</v>
      </c>
      <c r="GI50">
        <f t="shared" si="171"/>
        <v>0</v>
      </c>
      <c r="GJ50" s="68">
        <f>IF(GI50=0,MAX(GJ$2:GJ49)+1,0)</f>
        <v>48</v>
      </c>
      <c r="GK50" s="5" t="str">
        <f t="shared" si="172"/>
        <v>Stimulants</v>
      </c>
      <c r="GL50" s="5" t="str">
        <f t="shared" si="75"/>
        <v>Stimulants</v>
      </c>
      <c r="GN50">
        <f t="shared" si="76"/>
        <v>48</v>
      </c>
      <c r="GO50" s="5" t="str">
        <f t="shared" si="77"/>
        <v>Stimulants</v>
      </c>
      <c r="GP50" s="68">
        <f>COUNTIF(Builder!$K$18:$N$18,GO50)</f>
        <v>0</v>
      </c>
      <c r="GQ50" s="68" t="str">
        <f>IF(GP50=1,Stats!$N65,"")</f>
        <v/>
      </c>
      <c r="GR50" s="68" t="str">
        <f>IF(GP50=1,Stats!$O65,"")</f>
        <v/>
      </c>
      <c r="GS50" s="68" t="str">
        <f>IF(GP50=1,Stats!$P65,"")</f>
        <v/>
      </c>
      <c r="GT50" s="68" t="str">
        <f>IF(GP50=1,Stats!$Q65,"")</f>
        <v/>
      </c>
      <c r="GU50" s="68" t="str">
        <f>IF(GP50=1,Stats!$R65,"")</f>
        <v/>
      </c>
      <c r="GV50" s="68" t="str">
        <f>IF(GP50=1,Stats!$S65,"")</f>
        <v/>
      </c>
      <c r="GW50" s="68">
        <f t="shared" si="78"/>
        <v>0</v>
      </c>
      <c r="GX50">
        <f t="shared" si="79"/>
        <v>0</v>
      </c>
      <c r="GY50" s="68">
        <f>IF(GX50=0,MAX(GY$2:GY49)+1,0)</f>
        <v>48</v>
      </c>
      <c r="GZ50" s="5" t="str">
        <f t="shared" si="80"/>
        <v>Stimulants</v>
      </c>
      <c r="HA50" s="5" t="str">
        <f t="shared" si="81"/>
        <v>Stimulants</v>
      </c>
      <c r="HC50">
        <f t="shared" si="82"/>
        <v>48</v>
      </c>
      <c r="HD50" s="5" t="str">
        <f t="shared" si="83"/>
        <v>Stimulants</v>
      </c>
      <c r="HE50" s="68">
        <f>COUNTIF(Builder!$K$19:$N$19,HD50)</f>
        <v>0</v>
      </c>
      <c r="HF50" s="68" t="str">
        <f>IF(HE50=1,Stats!$N65,"")</f>
        <v/>
      </c>
      <c r="HG50" s="68" t="str">
        <f>IF(HE50=1,Stats!$O65,"")</f>
        <v/>
      </c>
      <c r="HH50" s="68" t="str">
        <f>IF(HE50=1,Stats!$P65,"")</f>
        <v/>
      </c>
      <c r="HI50" s="68" t="str">
        <f>IF(HE50=1,Stats!$Q65,"")</f>
        <v/>
      </c>
      <c r="HJ50" s="68" t="str">
        <f>IF(HE50=1,Stats!$R65,"")</f>
        <v/>
      </c>
      <c r="HK50" s="68" t="str">
        <f>IF(HE50=1,Stats!$S65,"")</f>
        <v/>
      </c>
      <c r="HL50" s="68">
        <f t="shared" si="84"/>
        <v>0</v>
      </c>
      <c r="HM50">
        <f t="shared" si="85"/>
        <v>0</v>
      </c>
      <c r="HN50" s="68">
        <f>IF(HM50=0,MAX(HN$2:HN49)+1,0)</f>
        <v>48</v>
      </c>
      <c r="HO50" s="5" t="str">
        <f t="shared" si="86"/>
        <v>Stimulants</v>
      </c>
      <c r="HP50" s="5" t="str">
        <f t="shared" si="87"/>
        <v>Stimulants</v>
      </c>
      <c r="HR50">
        <f t="shared" si="88"/>
        <v>48</v>
      </c>
      <c r="HS50" s="5" t="str">
        <f t="shared" si="89"/>
        <v>Stimulants</v>
      </c>
      <c r="HT50" s="68">
        <f>COUNTIF(Builder!$K$20:$N$20,HS50)</f>
        <v>0</v>
      </c>
      <c r="HU50" s="68" t="str">
        <f>IF(HT50=1,Stats!$N65,"")</f>
        <v/>
      </c>
      <c r="HV50" s="68" t="str">
        <f>IF(HT50=1,Stats!$O65,"")</f>
        <v/>
      </c>
      <c r="HW50" s="68" t="str">
        <f>IF(HT50=1,Stats!$P65,"")</f>
        <v/>
      </c>
      <c r="HX50" s="68" t="str">
        <f>IF(HT50=1,Stats!$Q65,"")</f>
        <v/>
      </c>
      <c r="HY50" s="68" t="str">
        <f>IF(HT50=1,Stats!$R65,"")</f>
        <v/>
      </c>
      <c r="HZ50" s="68" t="str">
        <f>IF(HT50=1,Stats!$S65,"")</f>
        <v/>
      </c>
      <c r="IA50" s="68">
        <f t="shared" si="90"/>
        <v>0</v>
      </c>
      <c r="IB50">
        <f t="shared" si="91"/>
        <v>0</v>
      </c>
      <c r="IC50" s="68">
        <f>IF(IB50=0,MAX(IC$2:IC49)+1,0)</f>
        <v>48</v>
      </c>
      <c r="ID50" s="5" t="str">
        <f t="shared" si="92"/>
        <v>Stimulants</v>
      </c>
      <c r="IE50" s="5" t="str">
        <f t="shared" si="93"/>
        <v>Stimulants</v>
      </c>
      <c r="IG50">
        <f t="shared" si="94"/>
        <v>48</v>
      </c>
      <c r="IH50" s="5" t="str">
        <f t="shared" si="95"/>
        <v>Stimulants</v>
      </c>
      <c r="II50" s="68">
        <f>COUNTIF(Builder!$K$21:$N$21,IH50)</f>
        <v>0</v>
      </c>
      <c r="IJ50" s="68" t="str">
        <f>IF(II50=1,Stats!$N65,"")</f>
        <v/>
      </c>
      <c r="IK50" s="68" t="str">
        <f>IF(II50=1,Stats!$O65,"")</f>
        <v/>
      </c>
      <c r="IL50" s="68" t="str">
        <f>IF(II50=1,Stats!$P65,"")</f>
        <v/>
      </c>
      <c r="IM50" s="68" t="str">
        <f>IF(II50=1,Stats!$Q65,"")</f>
        <v/>
      </c>
      <c r="IN50" s="68" t="str">
        <f>IF(II50=1,Stats!$R65,"")</f>
        <v/>
      </c>
      <c r="IO50" s="68" t="str">
        <f>IF(II50=1,Stats!$S65,"")</f>
        <v/>
      </c>
      <c r="IP50" s="68">
        <f t="shared" si="96"/>
        <v>0</v>
      </c>
      <c r="IQ50">
        <f t="shared" si="97"/>
        <v>0</v>
      </c>
      <c r="IR50" s="68">
        <f>IF(IQ50=0,MAX(IR$2:IR49)+1,0)</f>
        <v>48</v>
      </c>
      <c r="IS50" s="5" t="str">
        <f t="shared" si="98"/>
        <v>Stimulants</v>
      </c>
      <c r="IT50" s="5" t="str">
        <f t="shared" si="99"/>
        <v>Stimulants</v>
      </c>
      <c r="IV50">
        <f t="shared" si="100"/>
        <v>48</v>
      </c>
      <c r="IW50" s="5" t="str">
        <f t="shared" si="101"/>
        <v>Stimulants</v>
      </c>
      <c r="IX50" s="68">
        <f>COUNTIF(Builder!$K$22:$N$22,IW50)</f>
        <v>0</v>
      </c>
      <c r="IY50" s="68" t="str">
        <f>IF(IX50=1,Stats!$N65,"")</f>
        <v/>
      </c>
      <c r="IZ50" s="68" t="str">
        <f>IF(IX50=1,Stats!$O65,"")</f>
        <v/>
      </c>
      <c r="JA50" s="68" t="str">
        <f>IF(IX50=1,Stats!$P65,"")</f>
        <v/>
      </c>
      <c r="JB50" s="68" t="str">
        <f>IF(IX50=1,Stats!$Q65,"")</f>
        <v/>
      </c>
      <c r="JC50" s="68" t="str">
        <f>IF(IX50=1,Stats!$R65,"")</f>
        <v/>
      </c>
      <c r="JD50" s="68" t="str">
        <f>IF(IX50=1,Stats!$S65,"")</f>
        <v/>
      </c>
      <c r="JE50" s="68">
        <f t="shared" si="102"/>
        <v>0</v>
      </c>
      <c r="JF50">
        <f t="shared" si="103"/>
        <v>0</v>
      </c>
      <c r="JG50" s="68">
        <f>IF(JF50=0,MAX(JG$2:JG49)+1,0)</f>
        <v>48</v>
      </c>
      <c r="JH50" s="5" t="str">
        <f t="shared" si="104"/>
        <v>Stimulants</v>
      </c>
      <c r="JI50" s="5" t="str">
        <f t="shared" si="105"/>
        <v>Stimulants</v>
      </c>
      <c r="JK50">
        <f t="shared" si="106"/>
        <v>48</v>
      </c>
      <c r="JL50" s="5" t="str">
        <f t="shared" si="107"/>
        <v>Stimulants</v>
      </c>
      <c r="JM50" s="68">
        <f>COUNTIF(Builder!$K$23:$N$23,JL50)</f>
        <v>0</v>
      </c>
      <c r="JN50" s="68" t="str">
        <f>IF(JM50=1,Stats!$N65,"")</f>
        <v/>
      </c>
      <c r="JO50" s="68" t="str">
        <f>IF(JM50=1,Stats!$O65,"")</f>
        <v/>
      </c>
      <c r="JP50" s="68" t="str">
        <f>IF(JM50=1,Stats!$P65,"")</f>
        <v/>
      </c>
      <c r="JQ50" s="68" t="str">
        <f>IF(JM50=1,Stats!$Q65,"")</f>
        <v/>
      </c>
      <c r="JR50" s="68" t="str">
        <f>IF(JM50=1,Stats!$R65,"")</f>
        <v/>
      </c>
      <c r="JS50" s="68" t="str">
        <f>IF(JM50=1,Stats!$S65,"")</f>
        <v/>
      </c>
      <c r="JT50" s="68">
        <f t="shared" si="108"/>
        <v>0</v>
      </c>
      <c r="JU50">
        <f t="shared" si="109"/>
        <v>0</v>
      </c>
      <c r="JV50" s="68">
        <f>IF(JU50=0,MAX(JV$2:JV49)+1,0)</f>
        <v>48</v>
      </c>
      <c r="JW50" s="5" t="str">
        <f t="shared" si="110"/>
        <v>Stimulants</v>
      </c>
      <c r="JX50" s="5" t="str">
        <f t="shared" si="111"/>
        <v>Stimulants</v>
      </c>
      <c r="JZ50">
        <f t="shared" si="112"/>
        <v>48</v>
      </c>
      <c r="KA50" s="5" t="str">
        <f t="shared" si="113"/>
        <v>Stimulants</v>
      </c>
      <c r="KB50" s="68">
        <f>COUNTIF(Builder!$K$24:$N$24,KA50)</f>
        <v>0</v>
      </c>
      <c r="KC50" s="68" t="str">
        <f>IF(KB50=1,Stats!$N65,"")</f>
        <v/>
      </c>
      <c r="KD50" s="68" t="str">
        <f>IF(KB50=1,Stats!$O65,"")</f>
        <v/>
      </c>
      <c r="KE50" s="68" t="str">
        <f>IF(KB50=1,Stats!$P65,"")</f>
        <v/>
      </c>
      <c r="KF50" s="68" t="str">
        <f>IF(KB50=1,Stats!$Q65,"")</f>
        <v/>
      </c>
      <c r="KG50" s="68" t="str">
        <f>IF(KB50=1,Stats!$R65,"")</f>
        <v/>
      </c>
      <c r="KH50" s="68" t="str">
        <f>IF(KB50=1,Stats!$S65,"")</f>
        <v/>
      </c>
      <c r="KI50" s="68">
        <f t="shared" si="114"/>
        <v>0</v>
      </c>
      <c r="KJ50">
        <f t="shared" si="115"/>
        <v>0</v>
      </c>
      <c r="KK50" s="68">
        <f>IF(KJ50=0,MAX(KK$2:KK49)+1,0)</f>
        <v>48</v>
      </c>
      <c r="KL50" s="5" t="str">
        <f t="shared" si="116"/>
        <v>Stimulants</v>
      </c>
      <c r="KM50" s="5" t="str">
        <f t="shared" si="117"/>
        <v>Stimulants</v>
      </c>
      <c r="KO50">
        <f t="shared" si="118"/>
        <v>48</v>
      </c>
      <c r="KP50" s="5" t="str">
        <f t="shared" si="119"/>
        <v>Stimulants</v>
      </c>
      <c r="KQ50" s="68">
        <f>COUNTIF(Builder!$K$25:$N$25,KP50)</f>
        <v>0</v>
      </c>
      <c r="KR50" s="68" t="str">
        <f>IF(KQ50=1,Stats!$N65,"")</f>
        <v/>
      </c>
      <c r="KS50" s="68" t="str">
        <f>IF(KQ50=1,Stats!$O65,"")</f>
        <v/>
      </c>
      <c r="KT50" s="68" t="str">
        <f>IF(KQ50=1,Stats!$P65,"")</f>
        <v/>
      </c>
      <c r="KU50" s="68" t="str">
        <f>IF(KQ50=1,Stats!$Q65,"")</f>
        <v/>
      </c>
      <c r="KV50" s="68" t="str">
        <f>IF(KQ50=1,Stats!$R65,"")</f>
        <v/>
      </c>
      <c r="KW50" s="68" t="str">
        <f>IF(KQ50=1,Stats!$S65,"")</f>
        <v/>
      </c>
      <c r="KX50" s="68">
        <f t="shared" si="120"/>
        <v>0</v>
      </c>
      <c r="KY50">
        <f t="shared" si="121"/>
        <v>0</v>
      </c>
      <c r="KZ50" s="68">
        <f>IF(KY50=0,MAX(KZ$2:KZ49)+1,0)</f>
        <v>48</v>
      </c>
      <c r="LA50" s="5" t="str">
        <f t="shared" si="122"/>
        <v>Stimulants</v>
      </c>
      <c r="LB50" s="5" t="str">
        <f t="shared" si="123"/>
        <v>Stimulants</v>
      </c>
      <c r="LD50">
        <f t="shared" si="124"/>
        <v>48</v>
      </c>
      <c r="LE50" s="5" t="str">
        <f t="shared" si="125"/>
        <v>Stimulants</v>
      </c>
      <c r="LF50" s="68">
        <f>COUNTIF(Builder!$K$26:$N$26,LE50)</f>
        <v>0</v>
      </c>
      <c r="LG50" s="68" t="str">
        <f>IF(LF50=1,Stats!$N65,"")</f>
        <v/>
      </c>
      <c r="LH50" s="68" t="str">
        <f>IF(LF50=1,Stats!$O65,"")</f>
        <v/>
      </c>
      <c r="LI50" s="68" t="str">
        <f>IF(LF50=1,Stats!$P65,"")</f>
        <v/>
      </c>
      <c r="LJ50" s="68" t="str">
        <f>IF(LF50=1,Stats!$Q65,"")</f>
        <v/>
      </c>
      <c r="LK50" s="68" t="str">
        <f>IF(LF50=1,Stats!$R65,"")</f>
        <v/>
      </c>
      <c r="LL50" s="68" t="str">
        <f>IF(LF50=1,Stats!$S65,"")</f>
        <v/>
      </c>
      <c r="LM50" s="68">
        <f t="shared" si="126"/>
        <v>0</v>
      </c>
      <c r="LN50">
        <f t="shared" si="127"/>
        <v>0</v>
      </c>
      <c r="LO50" s="68">
        <f>IF(LN50=0,MAX(LO$2:LO49)+1,0)</f>
        <v>48</v>
      </c>
      <c r="LP50" s="5" t="str">
        <f t="shared" si="128"/>
        <v>Stimulants</v>
      </c>
      <c r="LQ50" s="5" t="str">
        <f t="shared" si="129"/>
        <v>Stimulants</v>
      </c>
      <c r="LS50">
        <f t="shared" si="130"/>
        <v>48</v>
      </c>
      <c r="LT50" s="5" t="str">
        <f t="shared" si="131"/>
        <v>Stimulants</v>
      </c>
      <c r="LU50" s="68">
        <f>COUNTIF(Builder!$K$27:$N$27,LT50)</f>
        <v>0</v>
      </c>
      <c r="LV50" s="68" t="str">
        <f>IF(LU50=1,Stats!$N65,"")</f>
        <v/>
      </c>
      <c r="LW50" s="68" t="str">
        <f>IF(LU50=1,Stats!$O65,"")</f>
        <v/>
      </c>
      <c r="LX50" s="68" t="str">
        <f>IF(LU50=1,Stats!$P65,"")</f>
        <v/>
      </c>
      <c r="LY50" s="68" t="str">
        <f>IF(LU50=1,Stats!$Q65,"")</f>
        <v/>
      </c>
      <c r="LZ50" s="68" t="str">
        <f>IF(LU50=1,Stats!$R65,"")</f>
        <v/>
      </c>
      <c r="MA50" s="68" t="str">
        <f>IF(LU50=1,Stats!$S65,"")</f>
        <v/>
      </c>
      <c r="MB50" s="68">
        <f t="shared" si="132"/>
        <v>0</v>
      </c>
      <c r="MC50">
        <f t="shared" si="133"/>
        <v>0</v>
      </c>
      <c r="MD50" s="68">
        <f>IF(MC50=0,MAX(MD$2:MD49)+1,0)</f>
        <v>48</v>
      </c>
      <c r="ME50" s="5" t="str">
        <f t="shared" si="134"/>
        <v>Stimulants</v>
      </c>
      <c r="MF50" s="5" t="str">
        <f t="shared" si="135"/>
        <v>Stimulants</v>
      </c>
      <c r="MH50">
        <f t="shared" si="136"/>
        <v>48</v>
      </c>
      <c r="MI50" s="5" t="str">
        <f t="shared" si="137"/>
        <v>Stimulants</v>
      </c>
      <c r="MJ50" s="68">
        <f>COUNTIF(Builder!$K$28:$N$28,MI50)</f>
        <v>0</v>
      </c>
      <c r="MK50" s="68" t="str">
        <f>IF(MJ50=1,Stats!$N65,"")</f>
        <v/>
      </c>
      <c r="ML50" s="68" t="str">
        <f>IF(MJ50=1,Stats!$O65,"")</f>
        <v/>
      </c>
      <c r="MM50" s="68" t="str">
        <f>IF(MJ50=1,Stats!$P65,"")</f>
        <v/>
      </c>
      <c r="MN50" s="68" t="str">
        <f>IF(MJ50=1,Stats!$Q65,"")</f>
        <v/>
      </c>
      <c r="MO50" s="68" t="str">
        <f>IF(MJ50=1,Stats!$R65,"")</f>
        <v/>
      </c>
      <c r="MP50" s="68" t="str">
        <f>IF(MJ50=1,Stats!$S65,"")</f>
        <v/>
      </c>
      <c r="MQ50" s="68">
        <f t="shared" si="138"/>
        <v>0</v>
      </c>
      <c r="MR50">
        <f t="shared" si="139"/>
        <v>0</v>
      </c>
      <c r="MS50" s="68">
        <f>IF(MR50=0,MAX(MS$2:MS49)+1,0)</f>
        <v>48</v>
      </c>
      <c r="MT50" s="5" t="str">
        <f t="shared" si="140"/>
        <v>Stimulants</v>
      </c>
      <c r="MU50" s="5" t="str">
        <f t="shared" si="141"/>
        <v>Stimulants</v>
      </c>
      <c r="MW50">
        <f t="shared" si="142"/>
        <v>48</v>
      </c>
      <c r="MX50" s="5" t="str">
        <f t="shared" si="143"/>
        <v>Stimulants</v>
      </c>
      <c r="MY50" s="68">
        <f>COUNTIF(Builder!$K$29:$N$29,MX50)</f>
        <v>0</v>
      </c>
      <c r="MZ50" s="68" t="str">
        <f>IF(MY50=1,Stats!$N65,"")</f>
        <v/>
      </c>
      <c r="NA50" s="68" t="str">
        <f>IF(MY50=1,Stats!$O65,"")</f>
        <v/>
      </c>
      <c r="NB50" s="68" t="str">
        <f>IF(MY50=1,Stats!$P65,"")</f>
        <v/>
      </c>
      <c r="NC50" s="68" t="str">
        <f>IF(MY50=1,Stats!$Q65,"")</f>
        <v/>
      </c>
      <c r="ND50" s="68" t="str">
        <f>IF(MY50=1,Stats!$R65,"")</f>
        <v/>
      </c>
      <c r="NE50" s="68" t="str">
        <f>IF(MY50=1,Stats!$S65,"")</f>
        <v/>
      </c>
      <c r="NF50" s="68">
        <f t="shared" si="144"/>
        <v>0</v>
      </c>
      <c r="NG50">
        <f t="shared" si="145"/>
        <v>0</v>
      </c>
      <c r="NH50" s="68">
        <f>IF(NG50=0,MAX(NH$2:NH49)+1,0)</f>
        <v>48</v>
      </c>
      <c r="NI50" s="5" t="str">
        <f t="shared" si="146"/>
        <v>Stimulants</v>
      </c>
      <c r="NJ50" s="5" t="str">
        <f t="shared" si="147"/>
        <v>Stimulants</v>
      </c>
    </row>
    <row r="51" spans="1:374" ht="15" x14ac:dyDescent="0.3">
      <c r="A51">
        <v>49</v>
      </c>
      <c r="B51" s="5" t="s">
        <v>80</v>
      </c>
      <c r="C51" s="68">
        <f>COUNTIF(Builder!$K$5:$N$5,B51)</f>
        <v>0</v>
      </c>
      <c r="D51" s="68" t="str">
        <f>IF(C51=1,Stats!$N66,"")</f>
        <v/>
      </c>
      <c r="E51" s="68" t="str">
        <f>IF(C51=1,Stats!$O66,"")</f>
        <v/>
      </c>
      <c r="F51" s="68" t="str">
        <f>IF(C51=1,Stats!$P66,"")</f>
        <v/>
      </c>
      <c r="G51" s="68" t="str">
        <f>IF(C51=1,Stats!$Q66,"")</f>
        <v/>
      </c>
      <c r="H51" s="68" t="str">
        <f>IF(C51=1,Stats!$R66,"")</f>
        <v/>
      </c>
      <c r="I51" s="68" t="str">
        <f>IF(C51=1,Stats!$S66,"")</f>
        <v/>
      </c>
      <c r="J51" s="68">
        <f t="shared" si="0"/>
        <v>0</v>
      </c>
      <c r="K51">
        <f t="shared" si="1"/>
        <v>0</v>
      </c>
      <c r="L51" s="68">
        <f>IF(K51=0,MAX($L$2:L50)+1,0)</f>
        <v>49</v>
      </c>
      <c r="M51" s="5" t="str">
        <f t="shared" si="2"/>
        <v>Swarm</v>
      </c>
      <c r="N51" s="5" t="str">
        <f t="shared" si="3"/>
        <v>Swarm</v>
      </c>
      <c r="O51" s="5"/>
      <c r="P51">
        <f t="shared" si="4"/>
        <v>49</v>
      </c>
      <c r="Q51" s="5" t="str">
        <f t="shared" si="5"/>
        <v>Swarm</v>
      </c>
      <c r="R51" s="68">
        <f>COUNTIF(Builder!$K$6:$N$6,Q51)</f>
        <v>0</v>
      </c>
      <c r="S51" s="68" t="str">
        <f>IF(R51=1,Stats!$N66,"")</f>
        <v/>
      </c>
      <c r="T51" s="68" t="str">
        <f>IF(R51=1,Stats!$O66,"")</f>
        <v/>
      </c>
      <c r="U51" s="68" t="str">
        <f>IF(R51=1,Stats!$P66,"")</f>
        <v/>
      </c>
      <c r="V51" s="68" t="str">
        <f>IF(R51=1,Stats!$Q66,"")</f>
        <v/>
      </c>
      <c r="W51" s="68" t="str">
        <f>IF(R51=1,Stats!$R66,"")</f>
        <v/>
      </c>
      <c r="X51" s="68" t="str">
        <f>IF(R51=1,Stats!$S66,"")</f>
        <v/>
      </c>
      <c r="Y51" s="68">
        <f t="shared" si="6"/>
        <v>0</v>
      </c>
      <c r="Z51">
        <f t="shared" si="7"/>
        <v>0</v>
      </c>
      <c r="AA51" s="68">
        <f>IF(Z51=0,MAX($AA$2:AA50)+1,0)</f>
        <v>49</v>
      </c>
      <c r="AB51" s="5" t="str">
        <f t="shared" si="8"/>
        <v>Swarm</v>
      </c>
      <c r="AC51" s="5" t="str">
        <f t="shared" si="9"/>
        <v>Swarm</v>
      </c>
      <c r="AD51" s="5"/>
      <c r="AE51">
        <f t="shared" si="10"/>
        <v>49</v>
      </c>
      <c r="AF51" s="5" t="str">
        <f t="shared" si="11"/>
        <v>Swarm</v>
      </c>
      <c r="AG51" s="68">
        <f>COUNTIF(Builder!$K$7:$N$7,AF51)</f>
        <v>0</v>
      </c>
      <c r="AH51" s="68" t="str">
        <f>IF(AG51=1,Stats!$N66,"")</f>
        <v/>
      </c>
      <c r="AI51" s="68" t="str">
        <f>IF(AG51=1,Stats!$O66,"")</f>
        <v/>
      </c>
      <c r="AJ51" s="68" t="str">
        <f>IF(AG51=1,Stats!$P66,"")</f>
        <v/>
      </c>
      <c r="AK51" s="68" t="str">
        <f>IF(AG51=1,Stats!$Q66,"")</f>
        <v/>
      </c>
      <c r="AL51" s="68" t="str">
        <f>IF(AG51=1,Stats!$R66,"")</f>
        <v/>
      </c>
      <c r="AM51" s="68" t="str">
        <f>IF(AG51=1,Stats!$S66,"")</f>
        <v/>
      </c>
      <c r="AN51" s="68">
        <f t="shared" si="12"/>
        <v>0</v>
      </c>
      <c r="AO51">
        <f t="shared" si="13"/>
        <v>0</v>
      </c>
      <c r="AP51" s="68">
        <f>IF(AO51=0,MAX($AP$2:AP50)+1,0)</f>
        <v>49</v>
      </c>
      <c r="AQ51" s="5" t="str">
        <f t="shared" si="14"/>
        <v>Swarm</v>
      </c>
      <c r="AR51" s="5" t="str">
        <f t="shared" si="15"/>
        <v>Swarm</v>
      </c>
      <c r="AS51" s="5"/>
      <c r="AT51">
        <f t="shared" si="16"/>
        <v>49</v>
      </c>
      <c r="AU51" s="5" t="str">
        <f t="shared" si="17"/>
        <v>Swarm</v>
      </c>
      <c r="AV51" s="68">
        <f>COUNTIF(Builder!$K$8:$N$8,AU51)</f>
        <v>0</v>
      </c>
      <c r="AW51" s="68" t="str">
        <f>IF(AV51=1,Stats!$N66,"")</f>
        <v/>
      </c>
      <c r="AX51" s="68" t="str">
        <f>IF(AV51=1,Stats!$O66,"")</f>
        <v/>
      </c>
      <c r="AY51" s="68" t="str">
        <f>IF(AV51=1,Stats!$P66,"")</f>
        <v/>
      </c>
      <c r="AZ51" s="68" t="str">
        <f>IF(AV51=1,Stats!$Q66,"")</f>
        <v/>
      </c>
      <c r="BA51" s="68" t="str">
        <f>IF(AV51=1,Stats!$R66,"")</f>
        <v/>
      </c>
      <c r="BB51" s="68" t="str">
        <f>IF(AV51=1,Stats!$S66,"")</f>
        <v/>
      </c>
      <c r="BC51" s="68">
        <f t="shared" si="18"/>
        <v>0</v>
      </c>
      <c r="BD51">
        <f t="shared" si="19"/>
        <v>0</v>
      </c>
      <c r="BE51" s="68">
        <f>IF(BD51=0,MAX($BE$2:BE50)+1,0)</f>
        <v>49</v>
      </c>
      <c r="BF51" s="5" t="str">
        <f t="shared" si="20"/>
        <v>Swarm</v>
      </c>
      <c r="BG51" s="5" t="str">
        <f t="shared" si="21"/>
        <v>Swarm</v>
      </c>
      <c r="BH51" s="5"/>
      <c r="BI51">
        <f t="shared" si="148"/>
        <v>49</v>
      </c>
      <c r="BJ51" s="5" t="str">
        <f t="shared" si="149"/>
        <v>Swarm</v>
      </c>
      <c r="BK51" s="68">
        <f>COUNTIF(Builder!$K$9:$N$9,BJ51)</f>
        <v>0</v>
      </c>
      <c r="BL51" s="68" t="str">
        <f>IF(BK51=1,Stats!$N66,"")</f>
        <v/>
      </c>
      <c r="BM51" s="68" t="str">
        <f>IF(BK51=1,Stats!$O66,"")</f>
        <v/>
      </c>
      <c r="BN51" s="68" t="str">
        <f>IF(BK51=1,Stats!$P66,"")</f>
        <v/>
      </c>
      <c r="BO51" s="68" t="str">
        <f>IF(BK51=1,Stats!$Q66,"")</f>
        <v/>
      </c>
      <c r="BP51" s="68" t="str">
        <f>IF(BK51=1,Stats!$R66,"")</f>
        <v/>
      </c>
      <c r="BQ51" s="68" t="str">
        <f>IF(BK51=1,Stats!$S66,"")</f>
        <v/>
      </c>
      <c r="BR51" s="68">
        <f t="shared" si="150"/>
        <v>0</v>
      </c>
      <c r="BS51">
        <f t="shared" si="151"/>
        <v>0</v>
      </c>
      <c r="BT51" s="68">
        <f>IF(BS51=0,MAX(BT$2:BT50)+1,0)</f>
        <v>49</v>
      </c>
      <c r="BU51" s="5" t="str">
        <f t="shared" si="152"/>
        <v>Swarm</v>
      </c>
      <c r="BV51" s="5" t="str">
        <f t="shared" si="27"/>
        <v>Swarm</v>
      </c>
      <c r="BX51">
        <f t="shared" si="153"/>
        <v>49</v>
      </c>
      <c r="BY51" s="5" t="str">
        <f t="shared" si="154"/>
        <v>Swarm</v>
      </c>
      <c r="BZ51" s="68">
        <f>COUNTIF(Builder!$K$10:$N$10,BY51)</f>
        <v>0</v>
      </c>
      <c r="CA51" s="68" t="str">
        <f>IF(BZ51=1,Stats!$N66,"")</f>
        <v/>
      </c>
      <c r="CB51" s="68" t="str">
        <f>IF(BZ51=1,Stats!$O66,"")</f>
        <v/>
      </c>
      <c r="CC51" s="68" t="str">
        <f>IF(BZ51=1,Stats!$P66,"")</f>
        <v/>
      </c>
      <c r="CD51" s="68" t="str">
        <f>IF(BZ51=1,Stats!$Q66,"")</f>
        <v/>
      </c>
      <c r="CE51" s="68" t="str">
        <f>IF(BZ51=1,Stats!$R66,"")</f>
        <v/>
      </c>
      <c r="CF51" s="68" t="str">
        <f>IF(BZ51=1,Stats!$S66,"")</f>
        <v/>
      </c>
      <c r="CG51" s="68">
        <f t="shared" si="155"/>
        <v>0</v>
      </c>
      <c r="CH51">
        <f t="shared" si="156"/>
        <v>0</v>
      </c>
      <c r="CI51" s="68">
        <f>IF(CH51=0,MAX(CI$2:CI50)+1,0)</f>
        <v>49</v>
      </c>
      <c r="CJ51" s="5" t="str">
        <f t="shared" si="157"/>
        <v>Swarm</v>
      </c>
      <c r="CK51" s="5" t="str">
        <f t="shared" si="33"/>
        <v>Swarm</v>
      </c>
      <c r="CM51">
        <f t="shared" si="34"/>
        <v>49</v>
      </c>
      <c r="CN51" s="5" t="str">
        <f t="shared" si="35"/>
        <v>Swarm</v>
      </c>
      <c r="CO51" s="68">
        <f>COUNTIF(Builder!$K$11:$N$11,CN51)</f>
        <v>0</v>
      </c>
      <c r="CP51" s="68" t="str">
        <f>IF(CO51=1,Stats!$N66,"")</f>
        <v/>
      </c>
      <c r="CQ51" s="68" t="str">
        <f>IF(CO51=1,Stats!$O66,"")</f>
        <v/>
      </c>
      <c r="CR51" s="68" t="str">
        <f>IF(CO51=1,Stats!$P66,"")</f>
        <v/>
      </c>
      <c r="CS51" s="68" t="str">
        <f>IF(CO51=1,Stats!$Q66,"")</f>
        <v/>
      </c>
      <c r="CT51" s="68" t="str">
        <f>IF(CO51=1,Stats!$R66,"")</f>
        <v/>
      </c>
      <c r="CU51" s="68" t="str">
        <f>IF(CO51=1,Stats!$S66,"")</f>
        <v/>
      </c>
      <c r="CV51" s="68">
        <f t="shared" si="36"/>
        <v>0</v>
      </c>
      <c r="CW51">
        <f t="shared" si="37"/>
        <v>0</v>
      </c>
      <c r="CX51" s="68">
        <f>IF(CW51=0,MAX(CX$2:CX50)+1,0)</f>
        <v>49</v>
      </c>
      <c r="CY51" s="5" t="str">
        <f t="shared" si="38"/>
        <v>Swarm</v>
      </c>
      <c r="CZ51" s="5" t="str">
        <f t="shared" si="39"/>
        <v>Swarm</v>
      </c>
      <c r="DB51">
        <f t="shared" si="158"/>
        <v>49</v>
      </c>
      <c r="DC51" s="5" t="str">
        <f t="shared" si="159"/>
        <v>Swarm</v>
      </c>
      <c r="DD51" s="68">
        <f>COUNTIF(Builder!$K$12:$N$12,DC51)</f>
        <v>0</v>
      </c>
      <c r="DE51" s="68" t="str">
        <f>IF(DD51=1,Stats!$N66,"")</f>
        <v/>
      </c>
      <c r="DF51" s="68" t="str">
        <f>IF(DD51=1,Stats!$O66,"")</f>
        <v/>
      </c>
      <c r="DG51" s="68" t="str">
        <f>IF(DD51=1,Stats!$P66,"")</f>
        <v/>
      </c>
      <c r="DH51" s="68" t="str">
        <f>IF(DD51=1,Stats!$Q66,"")</f>
        <v/>
      </c>
      <c r="DI51" s="68" t="str">
        <f>IF(DD51=1,Stats!$R66,"")</f>
        <v/>
      </c>
      <c r="DJ51" s="68" t="str">
        <f>IF(DD51=1,Stats!$S66,"")</f>
        <v/>
      </c>
      <c r="DK51" s="68">
        <f t="shared" si="160"/>
        <v>0</v>
      </c>
      <c r="DL51">
        <f t="shared" si="161"/>
        <v>0</v>
      </c>
      <c r="DM51" s="68">
        <f>IF(DL51=0,MAX(DM$2:DM50)+1,0)</f>
        <v>49</v>
      </c>
      <c r="DN51" s="5" t="str">
        <f t="shared" si="162"/>
        <v>Swarm</v>
      </c>
      <c r="DO51" s="5" t="str">
        <f t="shared" si="45"/>
        <v>Swarm</v>
      </c>
      <c r="DQ51">
        <f t="shared" si="163"/>
        <v>49</v>
      </c>
      <c r="DR51" s="5" t="str">
        <f t="shared" si="164"/>
        <v>Swarm</v>
      </c>
      <c r="DS51" s="68">
        <f>COUNTIF(Builder!$K$13:$N$13,DR51)</f>
        <v>0</v>
      </c>
      <c r="DT51" s="68" t="str">
        <f>IF(DS51=1,Stats!$N66,"")</f>
        <v/>
      </c>
      <c r="DU51" s="68" t="str">
        <f>IF(DS51=1,Stats!$O66,"")</f>
        <v/>
      </c>
      <c r="DV51" s="68" t="str">
        <f>IF(DS51=1,Stats!$P66,"")</f>
        <v/>
      </c>
      <c r="DW51" s="68" t="str">
        <f>IF(DS51=1,Stats!$Q66,"")</f>
        <v/>
      </c>
      <c r="DX51" s="68" t="str">
        <f>IF(DS51=1,Stats!$R66,"")</f>
        <v/>
      </c>
      <c r="DY51" s="68" t="str">
        <f>IF(DS51=1,Stats!$S66,"")</f>
        <v/>
      </c>
      <c r="DZ51" s="68">
        <f t="shared" si="165"/>
        <v>0</v>
      </c>
      <c r="EA51">
        <f t="shared" si="166"/>
        <v>0</v>
      </c>
      <c r="EB51" s="68">
        <f>IF(EA51=0,MAX(EB$2:EB50)+1,0)</f>
        <v>49</v>
      </c>
      <c r="EC51" s="5" t="str">
        <f t="shared" si="167"/>
        <v>Swarm</v>
      </c>
      <c r="ED51" s="5" t="str">
        <f t="shared" si="51"/>
        <v>Swarm</v>
      </c>
      <c r="EF51">
        <f t="shared" si="52"/>
        <v>49</v>
      </c>
      <c r="EG51" s="5" t="str">
        <f t="shared" si="53"/>
        <v>Swarm</v>
      </c>
      <c r="EH51" s="68">
        <f>COUNTIF(Builder!$K$14:$N$14,EG51)</f>
        <v>0</v>
      </c>
      <c r="EI51" s="68" t="str">
        <f>IF(EH51=1,Stats!$N66,"")</f>
        <v/>
      </c>
      <c r="EJ51" s="68" t="str">
        <f>IF(EH51=1,Stats!$O66,"")</f>
        <v/>
      </c>
      <c r="EK51" s="68" t="str">
        <f>IF(EH51=1,Stats!$P66,"")</f>
        <v/>
      </c>
      <c r="EL51" s="68" t="str">
        <f>IF(EH51=1,Stats!$Q66,"")</f>
        <v/>
      </c>
      <c r="EM51" s="68" t="str">
        <f>IF(EH51=1,Stats!$R66,"")</f>
        <v/>
      </c>
      <c r="EN51" s="68" t="str">
        <f>IF(EH51=1,Stats!$S66,"")</f>
        <v/>
      </c>
      <c r="EO51" s="68">
        <f t="shared" si="54"/>
        <v>0</v>
      </c>
      <c r="EP51">
        <f t="shared" si="55"/>
        <v>0</v>
      </c>
      <c r="EQ51" s="68">
        <f>IF(EP51=0,MAX(EQ$2:EQ50)+1,0)</f>
        <v>49</v>
      </c>
      <c r="ER51" s="5" t="str">
        <f t="shared" si="56"/>
        <v>Swarm</v>
      </c>
      <c r="ES51" s="5" t="str">
        <f t="shared" si="57"/>
        <v>Swarm</v>
      </c>
      <c r="EU51">
        <f t="shared" si="58"/>
        <v>49</v>
      </c>
      <c r="EV51" s="5" t="str">
        <f t="shared" si="59"/>
        <v>Swarm</v>
      </c>
      <c r="EW51" s="68">
        <f>COUNTIF(Builder!$K$15:$N$15,EV51)</f>
        <v>0</v>
      </c>
      <c r="EX51" s="68" t="str">
        <f>IF(EW51=1,Stats!$N66,"")</f>
        <v/>
      </c>
      <c r="EY51" s="68" t="str">
        <f>IF(EW51=1,Stats!$O66,"")</f>
        <v/>
      </c>
      <c r="EZ51" s="68" t="str">
        <f>IF(EW51=1,Stats!$P66,"")</f>
        <v/>
      </c>
      <c r="FA51" s="68" t="str">
        <f>IF(EW51=1,Stats!$Q66,"")</f>
        <v/>
      </c>
      <c r="FB51" s="68" t="str">
        <f>IF(EW51=1,Stats!$R66,"")</f>
        <v/>
      </c>
      <c r="FC51" s="68" t="str">
        <f>IF(EW51=1,Stats!$S66,"")</f>
        <v/>
      </c>
      <c r="FD51" s="68">
        <f t="shared" si="60"/>
        <v>0</v>
      </c>
      <c r="FE51">
        <f t="shared" si="61"/>
        <v>0</v>
      </c>
      <c r="FF51" s="68">
        <f>IF(FE51=0,MAX(FF$2:FF50)+1,0)</f>
        <v>49</v>
      </c>
      <c r="FG51" s="5" t="str">
        <f t="shared" si="62"/>
        <v>Swarm</v>
      </c>
      <c r="FH51" s="5" t="str">
        <f t="shared" si="63"/>
        <v>Swarm</v>
      </c>
      <c r="FJ51">
        <f t="shared" si="64"/>
        <v>49</v>
      </c>
      <c r="FK51" s="5" t="str">
        <f t="shared" si="65"/>
        <v>Swarm</v>
      </c>
      <c r="FL51" s="68">
        <f>COUNTIF(Builder!$K$16:$N$16,FK51)</f>
        <v>0</v>
      </c>
      <c r="FM51" s="68" t="str">
        <f>IF(FL51=1,Stats!$N66,"")</f>
        <v/>
      </c>
      <c r="FN51" s="68" t="str">
        <f>IF(FL51=1,Stats!$O66,"")</f>
        <v/>
      </c>
      <c r="FO51" s="68" t="str">
        <f>IF(FL51=1,Stats!$P66,"")</f>
        <v/>
      </c>
      <c r="FP51" s="68" t="str">
        <f>IF(FL51=1,Stats!$Q66,"")</f>
        <v/>
      </c>
      <c r="FQ51" s="68" t="str">
        <f>IF(FL51=1,Stats!$R66,"")</f>
        <v/>
      </c>
      <c r="FR51" s="68" t="str">
        <f>IF(FL51=1,Stats!$S66,"")</f>
        <v/>
      </c>
      <c r="FS51" s="68">
        <f t="shared" si="66"/>
        <v>0</v>
      </c>
      <c r="FT51">
        <f t="shared" si="67"/>
        <v>0</v>
      </c>
      <c r="FU51" s="68">
        <f>IF(FT51=0,MAX(FU$2:FU50)+1,0)</f>
        <v>49</v>
      </c>
      <c r="FV51" s="5" t="str">
        <f t="shared" si="68"/>
        <v>Swarm</v>
      </c>
      <c r="FW51" s="5" t="str">
        <f t="shared" si="69"/>
        <v>Swarm</v>
      </c>
      <c r="FY51">
        <f t="shared" si="168"/>
        <v>49</v>
      </c>
      <c r="FZ51" s="5" t="str">
        <f t="shared" si="169"/>
        <v>Swarm</v>
      </c>
      <c r="GA51" s="68">
        <f>COUNTIF(Builder!$K$17:$N$17,FZ51)</f>
        <v>0</v>
      </c>
      <c r="GB51" s="68" t="str">
        <f>IF(GA51=1,Stats!$N66,"")</f>
        <v/>
      </c>
      <c r="GC51" s="68" t="str">
        <f>IF(GA51=1,Stats!$O66,"")</f>
        <v/>
      </c>
      <c r="GD51" s="68" t="str">
        <f>IF(GA51=1,Stats!$P66,"")</f>
        <v/>
      </c>
      <c r="GE51" s="68" t="str">
        <f>IF(GA51=1,Stats!$Q66,"")</f>
        <v/>
      </c>
      <c r="GF51" s="68" t="str">
        <f>IF(GA51=1,Stats!$R66,"")</f>
        <v/>
      </c>
      <c r="GG51" s="68" t="str">
        <f>IF(GA51=1,Stats!$S66,"")</f>
        <v/>
      </c>
      <c r="GH51" s="68">
        <f t="shared" si="170"/>
        <v>0</v>
      </c>
      <c r="GI51">
        <f t="shared" si="171"/>
        <v>0</v>
      </c>
      <c r="GJ51" s="68">
        <f>IF(GI51=0,MAX(GJ$2:GJ50)+1,0)</f>
        <v>49</v>
      </c>
      <c r="GK51" s="5" t="str">
        <f t="shared" si="172"/>
        <v>Swarm</v>
      </c>
      <c r="GL51" s="5" t="str">
        <f t="shared" si="75"/>
        <v>Swarm</v>
      </c>
      <c r="GN51">
        <f t="shared" si="76"/>
        <v>49</v>
      </c>
      <c r="GO51" s="5" t="str">
        <f t="shared" si="77"/>
        <v>Swarm</v>
      </c>
      <c r="GP51" s="68">
        <f>COUNTIF(Builder!$K$18:$N$18,GO51)</f>
        <v>0</v>
      </c>
      <c r="GQ51" s="68" t="str">
        <f>IF(GP51=1,Stats!$N66,"")</f>
        <v/>
      </c>
      <c r="GR51" s="68" t="str">
        <f>IF(GP51=1,Stats!$O66,"")</f>
        <v/>
      </c>
      <c r="GS51" s="68" t="str">
        <f>IF(GP51=1,Stats!$P66,"")</f>
        <v/>
      </c>
      <c r="GT51" s="68" t="str">
        <f>IF(GP51=1,Stats!$Q66,"")</f>
        <v/>
      </c>
      <c r="GU51" s="68" t="str">
        <f>IF(GP51=1,Stats!$R66,"")</f>
        <v/>
      </c>
      <c r="GV51" s="68" t="str">
        <f>IF(GP51=1,Stats!$S66,"")</f>
        <v/>
      </c>
      <c r="GW51" s="68">
        <f t="shared" si="78"/>
        <v>0</v>
      </c>
      <c r="GX51">
        <f t="shared" si="79"/>
        <v>0</v>
      </c>
      <c r="GY51" s="68">
        <f>IF(GX51=0,MAX(GY$2:GY50)+1,0)</f>
        <v>49</v>
      </c>
      <c r="GZ51" s="5" t="str">
        <f t="shared" si="80"/>
        <v>Swarm</v>
      </c>
      <c r="HA51" s="5" t="str">
        <f t="shared" si="81"/>
        <v>Swarm</v>
      </c>
      <c r="HC51">
        <f t="shared" si="82"/>
        <v>49</v>
      </c>
      <c r="HD51" s="5" t="str">
        <f t="shared" si="83"/>
        <v>Swarm</v>
      </c>
      <c r="HE51" s="68">
        <f>COUNTIF(Builder!$K$19:$N$19,HD51)</f>
        <v>0</v>
      </c>
      <c r="HF51" s="68" t="str">
        <f>IF(HE51=1,Stats!$N66,"")</f>
        <v/>
      </c>
      <c r="HG51" s="68" t="str">
        <f>IF(HE51=1,Stats!$O66,"")</f>
        <v/>
      </c>
      <c r="HH51" s="68" t="str">
        <f>IF(HE51=1,Stats!$P66,"")</f>
        <v/>
      </c>
      <c r="HI51" s="68" t="str">
        <f>IF(HE51=1,Stats!$Q66,"")</f>
        <v/>
      </c>
      <c r="HJ51" s="68" t="str">
        <f>IF(HE51=1,Stats!$R66,"")</f>
        <v/>
      </c>
      <c r="HK51" s="68" t="str">
        <f>IF(HE51=1,Stats!$S66,"")</f>
        <v/>
      </c>
      <c r="HL51" s="68">
        <f t="shared" si="84"/>
        <v>0</v>
      </c>
      <c r="HM51">
        <f t="shared" si="85"/>
        <v>0</v>
      </c>
      <c r="HN51" s="68">
        <f>IF(HM51=0,MAX(HN$2:HN50)+1,0)</f>
        <v>49</v>
      </c>
      <c r="HO51" s="5" t="str">
        <f t="shared" si="86"/>
        <v>Swarm</v>
      </c>
      <c r="HP51" s="5" t="str">
        <f t="shared" si="87"/>
        <v>Swarm</v>
      </c>
      <c r="HR51">
        <f t="shared" si="88"/>
        <v>49</v>
      </c>
      <c r="HS51" s="5" t="str">
        <f t="shared" si="89"/>
        <v>Swarm</v>
      </c>
      <c r="HT51" s="68">
        <f>COUNTIF(Builder!$K$20:$N$20,HS51)</f>
        <v>0</v>
      </c>
      <c r="HU51" s="68" t="str">
        <f>IF(HT51=1,Stats!$N66,"")</f>
        <v/>
      </c>
      <c r="HV51" s="68" t="str">
        <f>IF(HT51=1,Stats!$O66,"")</f>
        <v/>
      </c>
      <c r="HW51" s="68" t="str">
        <f>IF(HT51=1,Stats!$P66,"")</f>
        <v/>
      </c>
      <c r="HX51" s="68" t="str">
        <f>IF(HT51=1,Stats!$Q66,"")</f>
        <v/>
      </c>
      <c r="HY51" s="68" t="str">
        <f>IF(HT51=1,Stats!$R66,"")</f>
        <v/>
      </c>
      <c r="HZ51" s="68" t="str">
        <f>IF(HT51=1,Stats!$S66,"")</f>
        <v/>
      </c>
      <c r="IA51" s="68">
        <f t="shared" si="90"/>
        <v>0</v>
      </c>
      <c r="IB51">
        <f t="shared" si="91"/>
        <v>0</v>
      </c>
      <c r="IC51" s="68">
        <f>IF(IB51=0,MAX(IC$2:IC50)+1,0)</f>
        <v>49</v>
      </c>
      <c r="ID51" s="5" t="str">
        <f t="shared" si="92"/>
        <v>Swarm</v>
      </c>
      <c r="IE51" s="5" t="str">
        <f t="shared" si="93"/>
        <v>Swarm</v>
      </c>
      <c r="IG51">
        <f t="shared" si="94"/>
        <v>49</v>
      </c>
      <c r="IH51" s="5" t="str">
        <f t="shared" si="95"/>
        <v>Swarm</v>
      </c>
      <c r="II51" s="68">
        <f>COUNTIF(Builder!$K$21:$N$21,IH51)</f>
        <v>0</v>
      </c>
      <c r="IJ51" s="68" t="str">
        <f>IF(II51=1,Stats!$N66,"")</f>
        <v/>
      </c>
      <c r="IK51" s="68" t="str">
        <f>IF(II51=1,Stats!$O66,"")</f>
        <v/>
      </c>
      <c r="IL51" s="68" t="str">
        <f>IF(II51=1,Stats!$P66,"")</f>
        <v/>
      </c>
      <c r="IM51" s="68" t="str">
        <f>IF(II51=1,Stats!$Q66,"")</f>
        <v/>
      </c>
      <c r="IN51" s="68" t="str">
        <f>IF(II51=1,Stats!$R66,"")</f>
        <v/>
      </c>
      <c r="IO51" s="68" t="str">
        <f>IF(II51=1,Stats!$S66,"")</f>
        <v/>
      </c>
      <c r="IP51" s="68">
        <f t="shared" si="96"/>
        <v>0</v>
      </c>
      <c r="IQ51">
        <f t="shared" si="97"/>
        <v>0</v>
      </c>
      <c r="IR51" s="68">
        <f>IF(IQ51=0,MAX(IR$2:IR50)+1,0)</f>
        <v>49</v>
      </c>
      <c r="IS51" s="5" t="str">
        <f t="shared" si="98"/>
        <v>Swarm</v>
      </c>
      <c r="IT51" s="5" t="str">
        <f t="shared" si="99"/>
        <v>Swarm</v>
      </c>
      <c r="IV51">
        <f t="shared" si="100"/>
        <v>49</v>
      </c>
      <c r="IW51" s="5" t="str">
        <f t="shared" si="101"/>
        <v>Swarm</v>
      </c>
      <c r="IX51" s="68">
        <f>COUNTIF(Builder!$K$22:$N$22,IW51)</f>
        <v>0</v>
      </c>
      <c r="IY51" s="68" t="str">
        <f>IF(IX51=1,Stats!$N66,"")</f>
        <v/>
      </c>
      <c r="IZ51" s="68" t="str">
        <f>IF(IX51=1,Stats!$O66,"")</f>
        <v/>
      </c>
      <c r="JA51" s="68" t="str">
        <f>IF(IX51=1,Stats!$P66,"")</f>
        <v/>
      </c>
      <c r="JB51" s="68" t="str">
        <f>IF(IX51=1,Stats!$Q66,"")</f>
        <v/>
      </c>
      <c r="JC51" s="68" t="str">
        <f>IF(IX51=1,Stats!$R66,"")</f>
        <v/>
      </c>
      <c r="JD51" s="68" t="str">
        <f>IF(IX51=1,Stats!$S66,"")</f>
        <v/>
      </c>
      <c r="JE51" s="68">
        <f t="shared" si="102"/>
        <v>0</v>
      </c>
      <c r="JF51">
        <f t="shared" si="103"/>
        <v>0</v>
      </c>
      <c r="JG51" s="68">
        <f>IF(JF51=0,MAX(JG$2:JG50)+1,0)</f>
        <v>49</v>
      </c>
      <c r="JH51" s="5" t="str">
        <f t="shared" si="104"/>
        <v>Swarm</v>
      </c>
      <c r="JI51" s="5" t="str">
        <f t="shared" si="105"/>
        <v>Swarm</v>
      </c>
      <c r="JK51">
        <f t="shared" si="106"/>
        <v>49</v>
      </c>
      <c r="JL51" s="5" t="str">
        <f t="shared" si="107"/>
        <v>Swarm</v>
      </c>
      <c r="JM51" s="68">
        <f>COUNTIF(Builder!$K$23:$N$23,JL51)</f>
        <v>0</v>
      </c>
      <c r="JN51" s="68" t="str">
        <f>IF(JM51=1,Stats!$N66,"")</f>
        <v/>
      </c>
      <c r="JO51" s="68" t="str">
        <f>IF(JM51=1,Stats!$O66,"")</f>
        <v/>
      </c>
      <c r="JP51" s="68" t="str">
        <f>IF(JM51=1,Stats!$P66,"")</f>
        <v/>
      </c>
      <c r="JQ51" s="68" t="str">
        <f>IF(JM51=1,Stats!$Q66,"")</f>
        <v/>
      </c>
      <c r="JR51" s="68" t="str">
        <f>IF(JM51=1,Stats!$R66,"")</f>
        <v/>
      </c>
      <c r="JS51" s="68" t="str">
        <f>IF(JM51=1,Stats!$S66,"")</f>
        <v/>
      </c>
      <c r="JT51" s="68">
        <f t="shared" si="108"/>
        <v>0</v>
      </c>
      <c r="JU51">
        <f t="shared" si="109"/>
        <v>0</v>
      </c>
      <c r="JV51" s="68">
        <f>IF(JU51=0,MAX(JV$2:JV50)+1,0)</f>
        <v>49</v>
      </c>
      <c r="JW51" s="5" t="str">
        <f t="shared" si="110"/>
        <v>Swarm</v>
      </c>
      <c r="JX51" s="5" t="str">
        <f t="shared" si="111"/>
        <v>Swarm</v>
      </c>
      <c r="JZ51">
        <f t="shared" si="112"/>
        <v>49</v>
      </c>
      <c r="KA51" s="5" t="str">
        <f t="shared" si="113"/>
        <v>Swarm</v>
      </c>
      <c r="KB51" s="68">
        <f>COUNTIF(Builder!$K$24:$N$24,KA51)</f>
        <v>0</v>
      </c>
      <c r="KC51" s="68" t="str">
        <f>IF(KB51=1,Stats!$N66,"")</f>
        <v/>
      </c>
      <c r="KD51" s="68" t="str">
        <f>IF(KB51=1,Stats!$O66,"")</f>
        <v/>
      </c>
      <c r="KE51" s="68" t="str">
        <f>IF(KB51=1,Stats!$P66,"")</f>
        <v/>
      </c>
      <c r="KF51" s="68" t="str">
        <f>IF(KB51=1,Stats!$Q66,"")</f>
        <v/>
      </c>
      <c r="KG51" s="68" t="str">
        <f>IF(KB51=1,Stats!$R66,"")</f>
        <v/>
      </c>
      <c r="KH51" s="68" t="str">
        <f>IF(KB51=1,Stats!$S66,"")</f>
        <v/>
      </c>
      <c r="KI51" s="68">
        <f t="shared" si="114"/>
        <v>0</v>
      </c>
      <c r="KJ51">
        <f t="shared" si="115"/>
        <v>0</v>
      </c>
      <c r="KK51" s="68">
        <f>IF(KJ51=0,MAX(KK$2:KK50)+1,0)</f>
        <v>49</v>
      </c>
      <c r="KL51" s="5" t="str">
        <f t="shared" si="116"/>
        <v>Swarm</v>
      </c>
      <c r="KM51" s="5" t="str">
        <f t="shared" si="117"/>
        <v>Swarm</v>
      </c>
      <c r="KO51">
        <f t="shared" si="118"/>
        <v>49</v>
      </c>
      <c r="KP51" s="5" t="str">
        <f t="shared" si="119"/>
        <v>Swarm</v>
      </c>
      <c r="KQ51" s="68">
        <f>COUNTIF(Builder!$K$25:$N$25,KP51)</f>
        <v>0</v>
      </c>
      <c r="KR51" s="68" t="str">
        <f>IF(KQ51=1,Stats!$N66,"")</f>
        <v/>
      </c>
      <c r="KS51" s="68" t="str">
        <f>IF(KQ51=1,Stats!$O66,"")</f>
        <v/>
      </c>
      <c r="KT51" s="68" t="str">
        <f>IF(KQ51=1,Stats!$P66,"")</f>
        <v/>
      </c>
      <c r="KU51" s="68" t="str">
        <f>IF(KQ51=1,Stats!$Q66,"")</f>
        <v/>
      </c>
      <c r="KV51" s="68" t="str">
        <f>IF(KQ51=1,Stats!$R66,"")</f>
        <v/>
      </c>
      <c r="KW51" s="68" t="str">
        <f>IF(KQ51=1,Stats!$S66,"")</f>
        <v/>
      </c>
      <c r="KX51" s="68">
        <f t="shared" si="120"/>
        <v>0</v>
      </c>
      <c r="KY51">
        <f t="shared" si="121"/>
        <v>0</v>
      </c>
      <c r="KZ51" s="68">
        <f>IF(KY51=0,MAX(KZ$2:KZ50)+1,0)</f>
        <v>49</v>
      </c>
      <c r="LA51" s="5" t="str">
        <f t="shared" si="122"/>
        <v>Swarm</v>
      </c>
      <c r="LB51" s="5" t="str">
        <f t="shared" si="123"/>
        <v>Swarm</v>
      </c>
      <c r="LD51">
        <f t="shared" si="124"/>
        <v>49</v>
      </c>
      <c r="LE51" s="5" t="str">
        <f t="shared" si="125"/>
        <v>Swarm</v>
      </c>
      <c r="LF51" s="68">
        <f>COUNTIF(Builder!$K$26:$N$26,LE51)</f>
        <v>0</v>
      </c>
      <c r="LG51" s="68" t="str">
        <f>IF(LF51=1,Stats!$N66,"")</f>
        <v/>
      </c>
      <c r="LH51" s="68" t="str">
        <f>IF(LF51=1,Stats!$O66,"")</f>
        <v/>
      </c>
      <c r="LI51" s="68" t="str">
        <f>IF(LF51=1,Stats!$P66,"")</f>
        <v/>
      </c>
      <c r="LJ51" s="68" t="str">
        <f>IF(LF51=1,Stats!$Q66,"")</f>
        <v/>
      </c>
      <c r="LK51" s="68" t="str">
        <f>IF(LF51=1,Stats!$R66,"")</f>
        <v/>
      </c>
      <c r="LL51" s="68" t="str">
        <f>IF(LF51=1,Stats!$S66,"")</f>
        <v/>
      </c>
      <c r="LM51" s="68">
        <f t="shared" si="126"/>
        <v>0</v>
      </c>
      <c r="LN51">
        <f t="shared" si="127"/>
        <v>0</v>
      </c>
      <c r="LO51" s="68">
        <f>IF(LN51=0,MAX(LO$2:LO50)+1,0)</f>
        <v>49</v>
      </c>
      <c r="LP51" s="5" t="str">
        <f t="shared" si="128"/>
        <v>Swarm</v>
      </c>
      <c r="LQ51" s="5" t="str">
        <f t="shared" si="129"/>
        <v>Swarm</v>
      </c>
      <c r="LS51">
        <f t="shared" si="130"/>
        <v>49</v>
      </c>
      <c r="LT51" s="5" t="str">
        <f t="shared" si="131"/>
        <v>Swarm</v>
      </c>
      <c r="LU51" s="68">
        <f>COUNTIF(Builder!$K$27:$N$27,LT51)</f>
        <v>0</v>
      </c>
      <c r="LV51" s="68" t="str">
        <f>IF(LU51=1,Stats!$N66,"")</f>
        <v/>
      </c>
      <c r="LW51" s="68" t="str">
        <f>IF(LU51=1,Stats!$O66,"")</f>
        <v/>
      </c>
      <c r="LX51" s="68" t="str">
        <f>IF(LU51=1,Stats!$P66,"")</f>
        <v/>
      </c>
      <c r="LY51" s="68" t="str">
        <f>IF(LU51=1,Stats!$Q66,"")</f>
        <v/>
      </c>
      <c r="LZ51" s="68" t="str">
        <f>IF(LU51=1,Stats!$R66,"")</f>
        <v/>
      </c>
      <c r="MA51" s="68" t="str">
        <f>IF(LU51=1,Stats!$S66,"")</f>
        <v/>
      </c>
      <c r="MB51" s="68">
        <f t="shared" si="132"/>
        <v>0</v>
      </c>
      <c r="MC51">
        <f t="shared" si="133"/>
        <v>0</v>
      </c>
      <c r="MD51" s="68">
        <f>IF(MC51=0,MAX(MD$2:MD50)+1,0)</f>
        <v>49</v>
      </c>
      <c r="ME51" s="5" t="str">
        <f t="shared" si="134"/>
        <v>Swarm</v>
      </c>
      <c r="MF51" s="5" t="str">
        <f t="shared" si="135"/>
        <v>Swarm</v>
      </c>
      <c r="MH51">
        <f t="shared" si="136"/>
        <v>49</v>
      </c>
      <c r="MI51" s="5" t="str">
        <f t="shared" si="137"/>
        <v>Swarm</v>
      </c>
      <c r="MJ51" s="68">
        <f>COUNTIF(Builder!$K$28:$N$28,MI51)</f>
        <v>0</v>
      </c>
      <c r="MK51" s="68" t="str">
        <f>IF(MJ51=1,Stats!$N66,"")</f>
        <v/>
      </c>
      <c r="ML51" s="68" t="str">
        <f>IF(MJ51=1,Stats!$O66,"")</f>
        <v/>
      </c>
      <c r="MM51" s="68" t="str">
        <f>IF(MJ51=1,Stats!$P66,"")</f>
        <v/>
      </c>
      <c r="MN51" s="68" t="str">
        <f>IF(MJ51=1,Stats!$Q66,"")</f>
        <v/>
      </c>
      <c r="MO51" s="68" t="str">
        <f>IF(MJ51=1,Stats!$R66,"")</f>
        <v/>
      </c>
      <c r="MP51" s="68" t="str">
        <f>IF(MJ51=1,Stats!$S66,"")</f>
        <v/>
      </c>
      <c r="MQ51" s="68">
        <f t="shared" si="138"/>
        <v>0</v>
      </c>
      <c r="MR51">
        <f t="shared" si="139"/>
        <v>0</v>
      </c>
      <c r="MS51" s="68">
        <f>IF(MR51=0,MAX(MS$2:MS50)+1,0)</f>
        <v>49</v>
      </c>
      <c r="MT51" s="5" t="str">
        <f t="shared" si="140"/>
        <v>Swarm</v>
      </c>
      <c r="MU51" s="5" t="str">
        <f t="shared" si="141"/>
        <v>Swarm</v>
      </c>
      <c r="MW51">
        <f t="shared" si="142"/>
        <v>49</v>
      </c>
      <c r="MX51" s="5" t="str">
        <f t="shared" si="143"/>
        <v>Swarm</v>
      </c>
      <c r="MY51" s="68">
        <f>COUNTIF(Builder!$K$29:$N$29,MX51)</f>
        <v>0</v>
      </c>
      <c r="MZ51" s="68" t="str">
        <f>IF(MY51=1,Stats!$N66,"")</f>
        <v/>
      </c>
      <c r="NA51" s="68" t="str">
        <f>IF(MY51=1,Stats!$O66,"")</f>
        <v/>
      </c>
      <c r="NB51" s="68" t="str">
        <f>IF(MY51=1,Stats!$P66,"")</f>
        <v/>
      </c>
      <c r="NC51" s="68" t="str">
        <f>IF(MY51=1,Stats!$Q66,"")</f>
        <v/>
      </c>
      <c r="ND51" s="68" t="str">
        <f>IF(MY51=1,Stats!$R66,"")</f>
        <v/>
      </c>
      <c r="NE51" s="68" t="str">
        <f>IF(MY51=1,Stats!$S66,"")</f>
        <v/>
      </c>
      <c r="NF51" s="68">
        <f t="shared" si="144"/>
        <v>0</v>
      </c>
      <c r="NG51">
        <f t="shared" si="145"/>
        <v>0</v>
      </c>
      <c r="NH51" s="68">
        <f>IF(NG51=0,MAX(NH$2:NH50)+1,0)</f>
        <v>49</v>
      </c>
      <c r="NI51" s="5" t="str">
        <f t="shared" si="146"/>
        <v>Swarm</v>
      </c>
      <c r="NJ51" s="5" t="str">
        <f t="shared" si="147"/>
        <v>Swarm</v>
      </c>
    </row>
    <row r="52" spans="1:374" ht="15" x14ac:dyDescent="0.3">
      <c r="A52">
        <v>50</v>
      </c>
      <c r="B52" s="5" t="s">
        <v>207</v>
      </c>
      <c r="C52" s="68">
        <f>COUNTIF(Builder!$K$5:$N$5,B52)</f>
        <v>0</v>
      </c>
      <c r="D52" s="68" t="str">
        <f>IF(C52=1,Stats!$N67,"")</f>
        <v/>
      </c>
      <c r="E52" s="68" t="str">
        <f>IF(C52=1,Stats!$O67,"")</f>
        <v/>
      </c>
      <c r="F52" s="68" t="str">
        <f>IF(C52=1,Stats!$P67,"")</f>
        <v/>
      </c>
      <c r="G52" s="68" t="str">
        <f>IF(C52=1,Stats!$Q67,"")</f>
        <v/>
      </c>
      <c r="H52" s="68" t="str">
        <f>IF(C52=1,Stats!$R67,"")</f>
        <v/>
      </c>
      <c r="I52" s="68" t="str">
        <f>IF(C52=1,Stats!$S67,"")</f>
        <v/>
      </c>
      <c r="J52" s="68">
        <f t="shared" si="0"/>
        <v>0</v>
      </c>
      <c r="K52">
        <f t="shared" si="1"/>
        <v>0</v>
      </c>
      <c r="L52" s="68">
        <f>IF(K52=0,MAX($L$2:L51)+1,0)</f>
        <v>50</v>
      </c>
      <c r="M52" s="5" t="str">
        <f t="shared" si="2"/>
        <v>Terrifying</v>
      </c>
      <c r="N52" s="5" t="str">
        <f t="shared" si="3"/>
        <v>Terrifying</v>
      </c>
      <c r="O52" s="5"/>
      <c r="P52">
        <f t="shared" si="4"/>
        <v>50</v>
      </c>
      <c r="Q52" s="5" t="str">
        <f t="shared" si="5"/>
        <v>Terrifying</v>
      </c>
      <c r="R52" s="68">
        <f>COUNTIF(Builder!$K$6:$N$6,Q52)</f>
        <v>0</v>
      </c>
      <c r="S52" s="68" t="str">
        <f>IF(R52=1,Stats!$N67,"")</f>
        <v/>
      </c>
      <c r="T52" s="68" t="str">
        <f>IF(R52=1,Stats!$O67,"")</f>
        <v/>
      </c>
      <c r="U52" s="68" t="str">
        <f>IF(R52=1,Stats!$P67,"")</f>
        <v/>
      </c>
      <c r="V52" s="68" t="str">
        <f>IF(R52=1,Stats!$Q67,"")</f>
        <v/>
      </c>
      <c r="W52" s="68" t="str">
        <f>IF(R52=1,Stats!$R67,"")</f>
        <v/>
      </c>
      <c r="X52" s="68" t="str">
        <f>IF(R52=1,Stats!$S67,"")</f>
        <v/>
      </c>
      <c r="Y52" s="68">
        <f t="shared" si="6"/>
        <v>0</v>
      </c>
      <c r="Z52">
        <f t="shared" si="7"/>
        <v>0</v>
      </c>
      <c r="AA52" s="68">
        <f>IF(Z52=0,MAX($AA$2:AA51)+1,0)</f>
        <v>50</v>
      </c>
      <c r="AB52" s="5" t="str">
        <f t="shared" si="8"/>
        <v>Terrifying</v>
      </c>
      <c r="AC52" s="5" t="str">
        <f t="shared" si="9"/>
        <v>Terrifying</v>
      </c>
      <c r="AD52" s="5"/>
      <c r="AE52">
        <f t="shared" si="10"/>
        <v>50</v>
      </c>
      <c r="AF52" s="5" t="str">
        <f t="shared" si="11"/>
        <v>Terrifying</v>
      </c>
      <c r="AG52" s="68">
        <f>COUNTIF(Builder!$K$7:$N$7,AF52)</f>
        <v>0</v>
      </c>
      <c r="AH52" s="68" t="str">
        <f>IF(AG52=1,Stats!$N67,"")</f>
        <v/>
      </c>
      <c r="AI52" s="68" t="str">
        <f>IF(AG52=1,Stats!$O67,"")</f>
        <v/>
      </c>
      <c r="AJ52" s="68" t="str">
        <f>IF(AG52=1,Stats!$P67,"")</f>
        <v/>
      </c>
      <c r="AK52" s="68" t="str">
        <f>IF(AG52=1,Stats!$Q67,"")</f>
        <v/>
      </c>
      <c r="AL52" s="68" t="str">
        <f>IF(AG52=1,Stats!$R67,"")</f>
        <v/>
      </c>
      <c r="AM52" s="68" t="str">
        <f>IF(AG52=1,Stats!$S67,"")</f>
        <v/>
      </c>
      <c r="AN52" s="68">
        <f t="shared" si="12"/>
        <v>0</v>
      </c>
      <c r="AO52">
        <f t="shared" si="13"/>
        <v>0</v>
      </c>
      <c r="AP52" s="68">
        <f>IF(AO52=0,MAX($AP$2:AP51)+1,0)</f>
        <v>50</v>
      </c>
      <c r="AQ52" s="5" t="str">
        <f t="shared" si="14"/>
        <v>Terrifying</v>
      </c>
      <c r="AR52" s="5" t="str">
        <f t="shared" si="15"/>
        <v>Terrifying</v>
      </c>
      <c r="AS52" s="5"/>
      <c r="AT52">
        <f t="shared" si="16"/>
        <v>50</v>
      </c>
      <c r="AU52" s="5" t="str">
        <f t="shared" si="17"/>
        <v>Terrifying</v>
      </c>
      <c r="AV52" s="68">
        <f>COUNTIF(Builder!$K$8:$N$8,AU52)</f>
        <v>0</v>
      </c>
      <c r="AW52" s="68" t="str">
        <f>IF(AV52=1,Stats!$N67,"")</f>
        <v/>
      </c>
      <c r="AX52" s="68" t="str">
        <f>IF(AV52=1,Stats!$O67,"")</f>
        <v/>
      </c>
      <c r="AY52" s="68" t="str">
        <f>IF(AV52=1,Stats!$P67,"")</f>
        <v/>
      </c>
      <c r="AZ52" s="68" t="str">
        <f>IF(AV52=1,Stats!$Q67,"")</f>
        <v/>
      </c>
      <c r="BA52" s="68" t="str">
        <f>IF(AV52=1,Stats!$R67,"")</f>
        <v/>
      </c>
      <c r="BB52" s="68" t="str">
        <f>IF(AV52=1,Stats!$S67,"")</f>
        <v/>
      </c>
      <c r="BC52" s="68">
        <f t="shared" si="18"/>
        <v>0</v>
      </c>
      <c r="BD52">
        <f t="shared" si="19"/>
        <v>0</v>
      </c>
      <c r="BE52" s="68">
        <f>IF(BD52=0,MAX($BE$2:BE51)+1,0)</f>
        <v>50</v>
      </c>
      <c r="BF52" s="5" t="str">
        <f t="shared" si="20"/>
        <v>Terrifying</v>
      </c>
      <c r="BG52" s="5" t="str">
        <f t="shared" si="21"/>
        <v>Terrifying</v>
      </c>
      <c r="BH52" s="5"/>
      <c r="BI52">
        <f t="shared" si="148"/>
        <v>50</v>
      </c>
      <c r="BJ52" s="5" t="str">
        <f t="shared" si="149"/>
        <v>Terrifying</v>
      </c>
      <c r="BK52" s="68">
        <f>COUNTIF(Builder!$K$9:$N$9,BJ52)</f>
        <v>0</v>
      </c>
      <c r="BL52" s="68" t="str">
        <f>IF(BK52=1,Stats!$N67,"")</f>
        <v/>
      </c>
      <c r="BM52" s="68" t="str">
        <f>IF(BK52=1,Stats!$O67,"")</f>
        <v/>
      </c>
      <c r="BN52" s="68" t="str">
        <f>IF(BK52=1,Stats!$P67,"")</f>
        <v/>
      </c>
      <c r="BO52" s="68" t="str">
        <f>IF(BK52=1,Stats!$Q67,"")</f>
        <v/>
      </c>
      <c r="BP52" s="68" t="str">
        <f>IF(BK52=1,Stats!$R67,"")</f>
        <v/>
      </c>
      <c r="BQ52" s="68" t="str">
        <f>IF(BK52=1,Stats!$S67,"")</f>
        <v/>
      </c>
      <c r="BR52" s="68">
        <f t="shared" si="150"/>
        <v>0</v>
      </c>
      <c r="BS52">
        <f t="shared" si="151"/>
        <v>0</v>
      </c>
      <c r="BT52" s="68">
        <f>IF(BS52=0,MAX(BT$2:BT51)+1,0)</f>
        <v>50</v>
      </c>
      <c r="BU52" s="5" t="str">
        <f t="shared" si="152"/>
        <v>Terrifying</v>
      </c>
      <c r="BV52" s="5" t="str">
        <f t="shared" si="27"/>
        <v>Terrifying</v>
      </c>
      <c r="BX52">
        <f t="shared" si="153"/>
        <v>50</v>
      </c>
      <c r="BY52" s="5" t="str">
        <f t="shared" si="154"/>
        <v>Terrifying</v>
      </c>
      <c r="BZ52" s="68">
        <f>COUNTIF(Builder!$K$10:$N$10,BY52)</f>
        <v>0</v>
      </c>
      <c r="CA52" s="68" t="str">
        <f>IF(BZ52=1,Stats!$N67,"")</f>
        <v/>
      </c>
      <c r="CB52" s="68" t="str">
        <f>IF(BZ52=1,Stats!$O67,"")</f>
        <v/>
      </c>
      <c r="CC52" s="68" t="str">
        <f>IF(BZ52=1,Stats!$P67,"")</f>
        <v/>
      </c>
      <c r="CD52" s="68" t="str">
        <f>IF(BZ52=1,Stats!$Q67,"")</f>
        <v/>
      </c>
      <c r="CE52" s="68" t="str">
        <f>IF(BZ52=1,Stats!$R67,"")</f>
        <v/>
      </c>
      <c r="CF52" s="68" t="str">
        <f>IF(BZ52=1,Stats!$S67,"")</f>
        <v/>
      </c>
      <c r="CG52" s="68">
        <f t="shared" si="155"/>
        <v>0</v>
      </c>
      <c r="CH52">
        <f t="shared" si="156"/>
        <v>0</v>
      </c>
      <c r="CI52" s="68">
        <f>IF(CH52=0,MAX(CI$2:CI51)+1,0)</f>
        <v>50</v>
      </c>
      <c r="CJ52" s="5" t="str">
        <f t="shared" si="157"/>
        <v>Terrifying</v>
      </c>
      <c r="CK52" s="5" t="str">
        <f t="shared" si="33"/>
        <v>Terrifying</v>
      </c>
      <c r="CM52">
        <f t="shared" si="34"/>
        <v>50</v>
      </c>
      <c r="CN52" s="5" t="str">
        <f t="shared" si="35"/>
        <v>Terrifying</v>
      </c>
      <c r="CO52" s="68">
        <f>COUNTIF(Builder!$K$11:$N$11,CN52)</f>
        <v>0</v>
      </c>
      <c r="CP52" s="68" t="str">
        <f>IF(CO52=1,Stats!$N67,"")</f>
        <v/>
      </c>
      <c r="CQ52" s="68" t="str">
        <f>IF(CO52=1,Stats!$O67,"")</f>
        <v/>
      </c>
      <c r="CR52" s="68" t="str">
        <f>IF(CO52=1,Stats!$P67,"")</f>
        <v/>
      </c>
      <c r="CS52" s="68" t="str">
        <f>IF(CO52=1,Stats!$Q67,"")</f>
        <v/>
      </c>
      <c r="CT52" s="68" t="str">
        <f>IF(CO52=1,Stats!$R67,"")</f>
        <v/>
      </c>
      <c r="CU52" s="68" t="str">
        <f>IF(CO52=1,Stats!$S67,"")</f>
        <v/>
      </c>
      <c r="CV52" s="68">
        <f t="shared" si="36"/>
        <v>0</v>
      </c>
      <c r="CW52">
        <f t="shared" si="37"/>
        <v>0</v>
      </c>
      <c r="CX52" s="68">
        <f>IF(CW52=0,MAX(CX$2:CX51)+1,0)</f>
        <v>50</v>
      </c>
      <c r="CY52" s="5" t="str">
        <f t="shared" si="38"/>
        <v>Terrifying</v>
      </c>
      <c r="CZ52" s="5" t="str">
        <f t="shared" si="39"/>
        <v>Terrifying</v>
      </c>
      <c r="DB52">
        <f t="shared" si="158"/>
        <v>50</v>
      </c>
      <c r="DC52" s="5" t="str">
        <f t="shared" si="159"/>
        <v>Terrifying</v>
      </c>
      <c r="DD52" s="68">
        <f>COUNTIF(Builder!$K$12:$N$12,DC52)</f>
        <v>0</v>
      </c>
      <c r="DE52" s="68" t="str">
        <f>IF(DD52=1,Stats!$N67,"")</f>
        <v/>
      </c>
      <c r="DF52" s="68" t="str">
        <f>IF(DD52=1,Stats!$O67,"")</f>
        <v/>
      </c>
      <c r="DG52" s="68" t="str">
        <f>IF(DD52=1,Stats!$P67,"")</f>
        <v/>
      </c>
      <c r="DH52" s="68" t="str">
        <f>IF(DD52=1,Stats!$Q67,"")</f>
        <v/>
      </c>
      <c r="DI52" s="68" t="str">
        <f>IF(DD52=1,Stats!$R67,"")</f>
        <v/>
      </c>
      <c r="DJ52" s="68" t="str">
        <f>IF(DD52=1,Stats!$S67,"")</f>
        <v/>
      </c>
      <c r="DK52" s="68">
        <f t="shared" si="160"/>
        <v>0</v>
      </c>
      <c r="DL52">
        <f t="shared" si="161"/>
        <v>0</v>
      </c>
      <c r="DM52" s="68">
        <f>IF(DL52=0,MAX(DM$2:DM51)+1,0)</f>
        <v>50</v>
      </c>
      <c r="DN52" s="5" t="str">
        <f t="shared" si="162"/>
        <v>Terrifying</v>
      </c>
      <c r="DO52" s="5" t="str">
        <f t="shared" si="45"/>
        <v>Terrifying</v>
      </c>
      <c r="DQ52">
        <f t="shared" si="163"/>
        <v>50</v>
      </c>
      <c r="DR52" s="5" t="str">
        <f t="shared" si="164"/>
        <v>Terrifying</v>
      </c>
      <c r="DS52" s="68">
        <f>COUNTIF(Builder!$K$13:$N$13,DR52)</f>
        <v>0</v>
      </c>
      <c r="DT52" s="68" t="str">
        <f>IF(DS52=1,Stats!$N67,"")</f>
        <v/>
      </c>
      <c r="DU52" s="68" t="str">
        <f>IF(DS52=1,Stats!$O67,"")</f>
        <v/>
      </c>
      <c r="DV52" s="68" t="str">
        <f>IF(DS52=1,Stats!$P67,"")</f>
        <v/>
      </c>
      <c r="DW52" s="68" t="str">
        <f>IF(DS52=1,Stats!$Q67,"")</f>
        <v/>
      </c>
      <c r="DX52" s="68" t="str">
        <f>IF(DS52=1,Stats!$R67,"")</f>
        <v/>
      </c>
      <c r="DY52" s="68" t="str">
        <f>IF(DS52=1,Stats!$S67,"")</f>
        <v/>
      </c>
      <c r="DZ52" s="68">
        <f t="shared" si="165"/>
        <v>0</v>
      </c>
      <c r="EA52">
        <f t="shared" si="166"/>
        <v>0</v>
      </c>
      <c r="EB52" s="68">
        <f>IF(EA52=0,MAX(EB$2:EB51)+1,0)</f>
        <v>50</v>
      </c>
      <c r="EC52" s="5" t="str">
        <f t="shared" si="167"/>
        <v>Terrifying</v>
      </c>
      <c r="ED52" s="5" t="str">
        <f t="shared" si="51"/>
        <v>Terrifying</v>
      </c>
      <c r="EF52">
        <f t="shared" si="52"/>
        <v>50</v>
      </c>
      <c r="EG52" s="5" t="str">
        <f t="shared" si="53"/>
        <v>Terrifying</v>
      </c>
      <c r="EH52" s="68">
        <f>COUNTIF(Builder!$K$14:$N$14,EG52)</f>
        <v>0</v>
      </c>
      <c r="EI52" s="68" t="str">
        <f>IF(EH52=1,Stats!$N67,"")</f>
        <v/>
      </c>
      <c r="EJ52" s="68" t="str">
        <f>IF(EH52=1,Stats!$O67,"")</f>
        <v/>
      </c>
      <c r="EK52" s="68" t="str">
        <f>IF(EH52=1,Stats!$P67,"")</f>
        <v/>
      </c>
      <c r="EL52" s="68" t="str">
        <f>IF(EH52=1,Stats!$Q67,"")</f>
        <v/>
      </c>
      <c r="EM52" s="68" t="str">
        <f>IF(EH52=1,Stats!$R67,"")</f>
        <v/>
      </c>
      <c r="EN52" s="68" t="str">
        <f>IF(EH52=1,Stats!$S67,"")</f>
        <v/>
      </c>
      <c r="EO52" s="68">
        <f t="shared" si="54"/>
        <v>0</v>
      </c>
      <c r="EP52">
        <f t="shared" si="55"/>
        <v>0</v>
      </c>
      <c r="EQ52" s="68">
        <f>IF(EP52=0,MAX(EQ$2:EQ51)+1,0)</f>
        <v>50</v>
      </c>
      <c r="ER52" s="5" t="str">
        <f t="shared" si="56"/>
        <v>Terrifying</v>
      </c>
      <c r="ES52" s="5" t="str">
        <f t="shared" si="57"/>
        <v>Terrifying</v>
      </c>
      <c r="EU52">
        <f t="shared" si="58"/>
        <v>50</v>
      </c>
      <c r="EV52" s="5" t="str">
        <f t="shared" si="59"/>
        <v>Terrifying</v>
      </c>
      <c r="EW52" s="68">
        <f>COUNTIF(Builder!$K$15:$N$15,EV52)</f>
        <v>0</v>
      </c>
      <c r="EX52" s="68" t="str">
        <f>IF(EW52=1,Stats!$N67,"")</f>
        <v/>
      </c>
      <c r="EY52" s="68" t="str">
        <f>IF(EW52=1,Stats!$O67,"")</f>
        <v/>
      </c>
      <c r="EZ52" s="68" t="str">
        <f>IF(EW52=1,Stats!$P67,"")</f>
        <v/>
      </c>
      <c r="FA52" s="68" t="str">
        <f>IF(EW52=1,Stats!$Q67,"")</f>
        <v/>
      </c>
      <c r="FB52" s="68" t="str">
        <f>IF(EW52=1,Stats!$R67,"")</f>
        <v/>
      </c>
      <c r="FC52" s="68" t="str">
        <f>IF(EW52=1,Stats!$S67,"")</f>
        <v/>
      </c>
      <c r="FD52" s="68">
        <f t="shared" si="60"/>
        <v>0</v>
      </c>
      <c r="FE52">
        <f t="shared" si="61"/>
        <v>0</v>
      </c>
      <c r="FF52" s="68">
        <f>IF(FE52=0,MAX(FF$2:FF51)+1,0)</f>
        <v>50</v>
      </c>
      <c r="FG52" s="5" t="str">
        <f t="shared" si="62"/>
        <v>Terrifying</v>
      </c>
      <c r="FH52" s="5" t="str">
        <f t="shared" si="63"/>
        <v>Terrifying</v>
      </c>
      <c r="FJ52">
        <f t="shared" si="64"/>
        <v>50</v>
      </c>
      <c r="FK52" s="5" t="str">
        <f t="shared" si="65"/>
        <v>Terrifying</v>
      </c>
      <c r="FL52" s="68">
        <f>COUNTIF(Builder!$K$16:$N$16,FK52)</f>
        <v>0</v>
      </c>
      <c r="FM52" s="68" t="str">
        <f>IF(FL52=1,Stats!$N67,"")</f>
        <v/>
      </c>
      <c r="FN52" s="68" t="str">
        <f>IF(FL52=1,Stats!$O67,"")</f>
        <v/>
      </c>
      <c r="FO52" s="68" t="str">
        <f>IF(FL52=1,Stats!$P67,"")</f>
        <v/>
      </c>
      <c r="FP52" s="68" t="str">
        <f>IF(FL52=1,Stats!$Q67,"")</f>
        <v/>
      </c>
      <c r="FQ52" s="68" t="str">
        <f>IF(FL52=1,Stats!$R67,"")</f>
        <v/>
      </c>
      <c r="FR52" s="68" t="str">
        <f>IF(FL52=1,Stats!$S67,"")</f>
        <v/>
      </c>
      <c r="FS52" s="68">
        <f t="shared" si="66"/>
        <v>0</v>
      </c>
      <c r="FT52">
        <f t="shared" si="67"/>
        <v>0</v>
      </c>
      <c r="FU52" s="68">
        <f>IF(FT52=0,MAX(FU$2:FU51)+1,0)</f>
        <v>50</v>
      </c>
      <c r="FV52" s="5" t="str">
        <f t="shared" si="68"/>
        <v>Terrifying</v>
      </c>
      <c r="FW52" s="5" t="str">
        <f t="shared" si="69"/>
        <v>Terrifying</v>
      </c>
      <c r="FY52">
        <f t="shared" si="168"/>
        <v>50</v>
      </c>
      <c r="FZ52" s="5" t="str">
        <f t="shared" si="169"/>
        <v>Terrifying</v>
      </c>
      <c r="GA52" s="68">
        <f>COUNTIF(Builder!$K$17:$N$17,FZ52)</f>
        <v>0</v>
      </c>
      <c r="GB52" s="68" t="str">
        <f>IF(GA52=1,Stats!$N67,"")</f>
        <v/>
      </c>
      <c r="GC52" s="68" t="str">
        <f>IF(GA52=1,Stats!$O67,"")</f>
        <v/>
      </c>
      <c r="GD52" s="68" t="str">
        <f>IF(GA52=1,Stats!$P67,"")</f>
        <v/>
      </c>
      <c r="GE52" s="68" t="str">
        <f>IF(GA52=1,Stats!$Q67,"")</f>
        <v/>
      </c>
      <c r="GF52" s="68" t="str">
        <f>IF(GA52=1,Stats!$R67,"")</f>
        <v/>
      </c>
      <c r="GG52" s="68" t="str">
        <f>IF(GA52=1,Stats!$S67,"")</f>
        <v/>
      </c>
      <c r="GH52" s="68">
        <f t="shared" si="170"/>
        <v>0</v>
      </c>
      <c r="GI52">
        <f t="shared" si="171"/>
        <v>0</v>
      </c>
      <c r="GJ52" s="68">
        <f>IF(GI52=0,MAX(GJ$2:GJ51)+1,0)</f>
        <v>50</v>
      </c>
      <c r="GK52" s="5" t="str">
        <f t="shared" si="172"/>
        <v>Terrifying</v>
      </c>
      <c r="GL52" s="5" t="str">
        <f t="shared" si="75"/>
        <v>Terrifying</v>
      </c>
      <c r="GN52">
        <f t="shared" si="76"/>
        <v>50</v>
      </c>
      <c r="GO52" s="5" t="str">
        <f t="shared" si="77"/>
        <v>Terrifying</v>
      </c>
      <c r="GP52" s="68">
        <f>COUNTIF(Builder!$K$18:$N$18,GO52)</f>
        <v>0</v>
      </c>
      <c r="GQ52" s="68" t="str">
        <f>IF(GP52=1,Stats!$N67,"")</f>
        <v/>
      </c>
      <c r="GR52" s="68" t="str">
        <f>IF(GP52=1,Stats!$O67,"")</f>
        <v/>
      </c>
      <c r="GS52" s="68" t="str">
        <f>IF(GP52=1,Stats!$P67,"")</f>
        <v/>
      </c>
      <c r="GT52" s="68" t="str">
        <f>IF(GP52=1,Stats!$Q67,"")</f>
        <v/>
      </c>
      <c r="GU52" s="68" t="str">
        <f>IF(GP52=1,Stats!$R67,"")</f>
        <v/>
      </c>
      <c r="GV52" s="68" t="str">
        <f>IF(GP52=1,Stats!$S67,"")</f>
        <v/>
      </c>
      <c r="GW52" s="68">
        <f t="shared" si="78"/>
        <v>0</v>
      </c>
      <c r="GX52">
        <f t="shared" si="79"/>
        <v>0</v>
      </c>
      <c r="GY52" s="68">
        <f>IF(GX52=0,MAX(GY$2:GY51)+1,0)</f>
        <v>50</v>
      </c>
      <c r="GZ52" s="5" t="str">
        <f t="shared" si="80"/>
        <v>Terrifying</v>
      </c>
      <c r="HA52" s="5" t="str">
        <f t="shared" si="81"/>
        <v>Terrifying</v>
      </c>
      <c r="HC52">
        <f t="shared" si="82"/>
        <v>50</v>
      </c>
      <c r="HD52" s="5" t="str">
        <f t="shared" si="83"/>
        <v>Terrifying</v>
      </c>
      <c r="HE52" s="68">
        <f>COUNTIF(Builder!$K$19:$N$19,HD52)</f>
        <v>0</v>
      </c>
      <c r="HF52" s="68" t="str">
        <f>IF(HE52=1,Stats!$N67,"")</f>
        <v/>
      </c>
      <c r="HG52" s="68" t="str">
        <f>IF(HE52=1,Stats!$O67,"")</f>
        <v/>
      </c>
      <c r="HH52" s="68" t="str">
        <f>IF(HE52=1,Stats!$P67,"")</f>
        <v/>
      </c>
      <c r="HI52" s="68" t="str">
        <f>IF(HE52=1,Stats!$Q67,"")</f>
        <v/>
      </c>
      <c r="HJ52" s="68" t="str">
        <f>IF(HE52=1,Stats!$R67,"")</f>
        <v/>
      </c>
      <c r="HK52" s="68" t="str">
        <f>IF(HE52=1,Stats!$S67,"")</f>
        <v/>
      </c>
      <c r="HL52" s="68">
        <f t="shared" si="84"/>
        <v>0</v>
      </c>
      <c r="HM52">
        <f t="shared" si="85"/>
        <v>0</v>
      </c>
      <c r="HN52" s="68">
        <f>IF(HM52=0,MAX(HN$2:HN51)+1,0)</f>
        <v>50</v>
      </c>
      <c r="HO52" s="5" t="str">
        <f t="shared" si="86"/>
        <v>Terrifying</v>
      </c>
      <c r="HP52" s="5" t="str">
        <f t="shared" si="87"/>
        <v>Terrifying</v>
      </c>
      <c r="HR52">
        <f t="shared" si="88"/>
        <v>50</v>
      </c>
      <c r="HS52" s="5" t="str">
        <f t="shared" si="89"/>
        <v>Terrifying</v>
      </c>
      <c r="HT52" s="68">
        <f>COUNTIF(Builder!$K$20:$N$20,HS52)</f>
        <v>0</v>
      </c>
      <c r="HU52" s="68" t="str">
        <f>IF(HT52=1,Stats!$N67,"")</f>
        <v/>
      </c>
      <c r="HV52" s="68" t="str">
        <f>IF(HT52=1,Stats!$O67,"")</f>
        <v/>
      </c>
      <c r="HW52" s="68" t="str">
        <f>IF(HT52=1,Stats!$P67,"")</f>
        <v/>
      </c>
      <c r="HX52" s="68" t="str">
        <f>IF(HT52=1,Stats!$Q67,"")</f>
        <v/>
      </c>
      <c r="HY52" s="68" t="str">
        <f>IF(HT52=1,Stats!$R67,"")</f>
        <v/>
      </c>
      <c r="HZ52" s="68" t="str">
        <f>IF(HT52=1,Stats!$S67,"")</f>
        <v/>
      </c>
      <c r="IA52" s="68">
        <f t="shared" si="90"/>
        <v>0</v>
      </c>
      <c r="IB52">
        <f t="shared" si="91"/>
        <v>0</v>
      </c>
      <c r="IC52" s="68">
        <f>IF(IB52=0,MAX(IC$2:IC51)+1,0)</f>
        <v>50</v>
      </c>
      <c r="ID52" s="5" t="str">
        <f t="shared" si="92"/>
        <v>Terrifying</v>
      </c>
      <c r="IE52" s="5" t="str">
        <f t="shared" si="93"/>
        <v>Terrifying</v>
      </c>
      <c r="IG52">
        <f t="shared" si="94"/>
        <v>50</v>
      </c>
      <c r="IH52" s="5" t="str">
        <f t="shared" si="95"/>
        <v>Terrifying</v>
      </c>
      <c r="II52" s="68">
        <f>COUNTIF(Builder!$K$21:$N$21,IH52)</f>
        <v>0</v>
      </c>
      <c r="IJ52" s="68" t="str">
        <f>IF(II52=1,Stats!$N67,"")</f>
        <v/>
      </c>
      <c r="IK52" s="68" t="str">
        <f>IF(II52=1,Stats!$O67,"")</f>
        <v/>
      </c>
      <c r="IL52" s="68" t="str">
        <f>IF(II52=1,Stats!$P67,"")</f>
        <v/>
      </c>
      <c r="IM52" s="68" t="str">
        <f>IF(II52=1,Stats!$Q67,"")</f>
        <v/>
      </c>
      <c r="IN52" s="68" t="str">
        <f>IF(II52=1,Stats!$R67,"")</f>
        <v/>
      </c>
      <c r="IO52" s="68" t="str">
        <f>IF(II52=1,Stats!$S67,"")</f>
        <v/>
      </c>
      <c r="IP52" s="68">
        <f t="shared" si="96"/>
        <v>0</v>
      </c>
      <c r="IQ52">
        <f t="shared" si="97"/>
        <v>0</v>
      </c>
      <c r="IR52" s="68">
        <f>IF(IQ52=0,MAX(IR$2:IR51)+1,0)</f>
        <v>50</v>
      </c>
      <c r="IS52" s="5" t="str">
        <f t="shared" si="98"/>
        <v>Terrifying</v>
      </c>
      <c r="IT52" s="5" t="str">
        <f t="shared" si="99"/>
        <v>Terrifying</v>
      </c>
      <c r="IV52">
        <f t="shared" si="100"/>
        <v>50</v>
      </c>
      <c r="IW52" s="5" t="str">
        <f t="shared" si="101"/>
        <v>Terrifying</v>
      </c>
      <c r="IX52" s="68">
        <f>COUNTIF(Builder!$K$22:$N$22,IW52)</f>
        <v>0</v>
      </c>
      <c r="IY52" s="68" t="str">
        <f>IF(IX52=1,Stats!$N67,"")</f>
        <v/>
      </c>
      <c r="IZ52" s="68" t="str">
        <f>IF(IX52=1,Stats!$O67,"")</f>
        <v/>
      </c>
      <c r="JA52" s="68" t="str">
        <f>IF(IX52=1,Stats!$P67,"")</f>
        <v/>
      </c>
      <c r="JB52" s="68" t="str">
        <f>IF(IX52=1,Stats!$Q67,"")</f>
        <v/>
      </c>
      <c r="JC52" s="68" t="str">
        <f>IF(IX52=1,Stats!$R67,"")</f>
        <v/>
      </c>
      <c r="JD52" s="68" t="str">
        <f>IF(IX52=1,Stats!$S67,"")</f>
        <v/>
      </c>
      <c r="JE52" s="68">
        <f t="shared" si="102"/>
        <v>0</v>
      </c>
      <c r="JF52">
        <f t="shared" si="103"/>
        <v>0</v>
      </c>
      <c r="JG52" s="68">
        <f>IF(JF52=0,MAX(JG$2:JG51)+1,0)</f>
        <v>50</v>
      </c>
      <c r="JH52" s="5" t="str">
        <f t="shared" si="104"/>
        <v>Terrifying</v>
      </c>
      <c r="JI52" s="5" t="str">
        <f t="shared" si="105"/>
        <v>Terrifying</v>
      </c>
      <c r="JK52">
        <f t="shared" si="106"/>
        <v>50</v>
      </c>
      <c r="JL52" s="5" t="str">
        <f t="shared" si="107"/>
        <v>Terrifying</v>
      </c>
      <c r="JM52" s="68">
        <f>COUNTIF(Builder!$K$23:$N$23,JL52)</f>
        <v>0</v>
      </c>
      <c r="JN52" s="68" t="str">
        <f>IF(JM52=1,Stats!$N67,"")</f>
        <v/>
      </c>
      <c r="JO52" s="68" t="str">
        <f>IF(JM52=1,Stats!$O67,"")</f>
        <v/>
      </c>
      <c r="JP52" s="68" t="str">
        <f>IF(JM52=1,Stats!$P67,"")</f>
        <v/>
      </c>
      <c r="JQ52" s="68" t="str">
        <f>IF(JM52=1,Stats!$Q67,"")</f>
        <v/>
      </c>
      <c r="JR52" s="68" t="str">
        <f>IF(JM52=1,Stats!$R67,"")</f>
        <v/>
      </c>
      <c r="JS52" s="68" t="str">
        <f>IF(JM52=1,Stats!$S67,"")</f>
        <v/>
      </c>
      <c r="JT52" s="68">
        <f t="shared" si="108"/>
        <v>0</v>
      </c>
      <c r="JU52">
        <f t="shared" si="109"/>
        <v>0</v>
      </c>
      <c r="JV52" s="68">
        <f>IF(JU52=0,MAX(JV$2:JV51)+1,0)</f>
        <v>50</v>
      </c>
      <c r="JW52" s="5" t="str">
        <f t="shared" si="110"/>
        <v>Terrifying</v>
      </c>
      <c r="JX52" s="5" t="str">
        <f t="shared" si="111"/>
        <v>Terrifying</v>
      </c>
      <c r="JZ52">
        <f t="shared" si="112"/>
        <v>50</v>
      </c>
      <c r="KA52" s="5" t="str">
        <f t="shared" si="113"/>
        <v>Terrifying</v>
      </c>
      <c r="KB52" s="68">
        <f>COUNTIF(Builder!$K$24:$N$24,KA52)</f>
        <v>0</v>
      </c>
      <c r="KC52" s="68" t="str">
        <f>IF(KB52=1,Stats!$N67,"")</f>
        <v/>
      </c>
      <c r="KD52" s="68" t="str">
        <f>IF(KB52=1,Stats!$O67,"")</f>
        <v/>
      </c>
      <c r="KE52" s="68" t="str">
        <f>IF(KB52=1,Stats!$P67,"")</f>
        <v/>
      </c>
      <c r="KF52" s="68" t="str">
        <f>IF(KB52=1,Stats!$Q67,"")</f>
        <v/>
      </c>
      <c r="KG52" s="68" t="str">
        <f>IF(KB52=1,Stats!$R67,"")</f>
        <v/>
      </c>
      <c r="KH52" s="68" t="str">
        <f>IF(KB52=1,Stats!$S67,"")</f>
        <v/>
      </c>
      <c r="KI52" s="68">
        <f t="shared" si="114"/>
        <v>0</v>
      </c>
      <c r="KJ52">
        <f t="shared" si="115"/>
        <v>0</v>
      </c>
      <c r="KK52" s="68">
        <f>IF(KJ52=0,MAX(KK$2:KK51)+1,0)</f>
        <v>50</v>
      </c>
      <c r="KL52" s="5" t="str">
        <f t="shared" si="116"/>
        <v>Terrifying</v>
      </c>
      <c r="KM52" s="5" t="str">
        <f t="shared" si="117"/>
        <v>Terrifying</v>
      </c>
      <c r="KO52">
        <f t="shared" si="118"/>
        <v>50</v>
      </c>
      <c r="KP52" s="5" t="str">
        <f t="shared" si="119"/>
        <v>Terrifying</v>
      </c>
      <c r="KQ52" s="68">
        <f>COUNTIF(Builder!$K$25:$N$25,KP52)</f>
        <v>0</v>
      </c>
      <c r="KR52" s="68" t="str">
        <f>IF(KQ52=1,Stats!$N67,"")</f>
        <v/>
      </c>
      <c r="KS52" s="68" t="str">
        <f>IF(KQ52=1,Stats!$O67,"")</f>
        <v/>
      </c>
      <c r="KT52" s="68" t="str">
        <f>IF(KQ52=1,Stats!$P67,"")</f>
        <v/>
      </c>
      <c r="KU52" s="68" t="str">
        <f>IF(KQ52=1,Stats!$Q67,"")</f>
        <v/>
      </c>
      <c r="KV52" s="68" t="str">
        <f>IF(KQ52=1,Stats!$R67,"")</f>
        <v/>
      </c>
      <c r="KW52" s="68" t="str">
        <f>IF(KQ52=1,Stats!$S67,"")</f>
        <v/>
      </c>
      <c r="KX52" s="68">
        <f t="shared" si="120"/>
        <v>0</v>
      </c>
      <c r="KY52">
        <f t="shared" si="121"/>
        <v>0</v>
      </c>
      <c r="KZ52" s="68">
        <f>IF(KY52=0,MAX(KZ$2:KZ51)+1,0)</f>
        <v>50</v>
      </c>
      <c r="LA52" s="5" t="str">
        <f t="shared" si="122"/>
        <v>Terrifying</v>
      </c>
      <c r="LB52" s="5" t="str">
        <f t="shared" si="123"/>
        <v>Terrifying</v>
      </c>
      <c r="LD52">
        <f t="shared" si="124"/>
        <v>50</v>
      </c>
      <c r="LE52" s="5" t="str">
        <f t="shared" si="125"/>
        <v>Terrifying</v>
      </c>
      <c r="LF52" s="68">
        <f>COUNTIF(Builder!$K$26:$N$26,LE52)</f>
        <v>0</v>
      </c>
      <c r="LG52" s="68" t="str">
        <f>IF(LF52=1,Stats!$N67,"")</f>
        <v/>
      </c>
      <c r="LH52" s="68" t="str">
        <f>IF(LF52=1,Stats!$O67,"")</f>
        <v/>
      </c>
      <c r="LI52" s="68" t="str">
        <f>IF(LF52=1,Stats!$P67,"")</f>
        <v/>
      </c>
      <c r="LJ52" s="68" t="str">
        <f>IF(LF52=1,Stats!$Q67,"")</f>
        <v/>
      </c>
      <c r="LK52" s="68" t="str">
        <f>IF(LF52=1,Stats!$R67,"")</f>
        <v/>
      </c>
      <c r="LL52" s="68" t="str">
        <f>IF(LF52=1,Stats!$S67,"")</f>
        <v/>
      </c>
      <c r="LM52" s="68">
        <f t="shared" si="126"/>
        <v>0</v>
      </c>
      <c r="LN52">
        <f t="shared" si="127"/>
        <v>0</v>
      </c>
      <c r="LO52" s="68">
        <f>IF(LN52=0,MAX(LO$2:LO51)+1,0)</f>
        <v>50</v>
      </c>
      <c r="LP52" s="5" t="str">
        <f t="shared" si="128"/>
        <v>Terrifying</v>
      </c>
      <c r="LQ52" s="5" t="str">
        <f t="shared" si="129"/>
        <v>Terrifying</v>
      </c>
      <c r="LS52">
        <f t="shared" si="130"/>
        <v>50</v>
      </c>
      <c r="LT52" s="5" t="str">
        <f t="shared" si="131"/>
        <v>Terrifying</v>
      </c>
      <c r="LU52" s="68">
        <f>COUNTIF(Builder!$K$27:$N$27,LT52)</f>
        <v>0</v>
      </c>
      <c r="LV52" s="68" t="str">
        <f>IF(LU52=1,Stats!$N67,"")</f>
        <v/>
      </c>
      <c r="LW52" s="68" t="str">
        <f>IF(LU52=1,Stats!$O67,"")</f>
        <v/>
      </c>
      <c r="LX52" s="68" t="str">
        <f>IF(LU52=1,Stats!$P67,"")</f>
        <v/>
      </c>
      <c r="LY52" s="68" t="str">
        <f>IF(LU52=1,Stats!$Q67,"")</f>
        <v/>
      </c>
      <c r="LZ52" s="68" t="str">
        <f>IF(LU52=1,Stats!$R67,"")</f>
        <v/>
      </c>
      <c r="MA52" s="68" t="str">
        <f>IF(LU52=1,Stats!$S67,"")</f>
        <v/>
      </c>
      <c r="MB52" s="68">
        <f t="shared" si="132"/>
        <v>0</v>
      </c>
      <c r="MC52">
        <f t="shared" si="133"/>
        <v>0</v>
      </c>
      <c r="MD52" s="68">
        <f>IF(MC52=0,MAX(MD$2:MD51)+1,0)</f>
        <v>50</v>
      </c>
      <c r="ME52" s="5" t="str">
        <f t="shared" si="134"/>
        <v>Terrifying</v>
      </c>
      <c r="MF52" s="5" t="str">
        <f t="shared" si="135"/>
        <v>Terrifying</v>
      </c>
      <c r="MH52">
        <f t="shared" si="136"/>
        <v>50</v>
      </c>
      <c r="MI52" s="5" t="str">
        <f t="shared" si="137"/>
        <v>Terrifying</v>
      </c>
      <c r="MJ52" s="68">
        <f>COUNTIF(Builder!$K$28:$N$28,MI52)</f>
        <v>0</v>
      </c>
      <c r="MK52" s="68" t="str">
        <f>IF(MJ52=1,Stats!$N67,"")</f>
        <v/>
      </c>
      <c r="ML52" s="68" t="str">
        <f>IF(MJ52=1,Stats!$O67,"")</f>
        <v/>
      </c>
      <c r="MM52" s="68" t="str">
        <f>IF(MJ52=1,Stats!$P67,"")</f>
        <v/>
      </c>
      <c r="MN52" s="68" t="str">
        <f>IF(MJ52=1,Stats!$Q67,"")</f>
        <v/>
      </c>
      <c r="MO52" s="68" t="str">
        <f>IF(MJ52=1,Stats!$R67,"")</f>
        <v/>
      </c>
      <c r="MP52" s="68" t="str">
        <f>IF(MJ52=1,Stats!$S67,"")</f>
        <v/>
      </c>
      <c r="MQ52" s="68">
        <f t="shared" si="138"/>
        <v>0</v>
      </c>
      <c r="MR52">
        <f t="shared" si="139"/>
        <v>0</v>
      </c>
      <c r="MS52" s="68">
        <f>IF(MR52=0,MAX(MS$2:MS51)+1,0)</f>
        <v>50</v>
      </c>
      <c r="MT52" s="5" t="str">
        <f t="shared" si="140"/>
        <v>Terrifying</v>
      </c>
      <c r="MU52" s="5" t="str">
        <f t="shared" si="141"/>
        <v>Terrifying</v>
      </c>
      <c r="MW52">
        <f t="shared" si="142"/>
        <v>50</v>
      </c>
      <c r="MX52" s="5" t="str">
        <f t="shared" si="143"/>
        <v>Terrifying</v>
      </c>
      <c r="MY52" s="68">
        <f>COUNTIF(Builder!$K$29:$N$29,MX52)</f>
        <v>0</v>
      </c>
      <c r="MZ52" s="68" t="str">
        <f>IF(MY52=1,Stats!$N67,"")</f>
        <v/>
      </c>
      <c r="NA52" s="68" t="str">
        <f>IF(MY52=1,Stats!$O67,"")</f>
        <v/>
      </c>
      <c r="NB52" s="68" t="str">
        <f>IF(MY52=1,Stats!$P67,"")</f>
        <v/>
      </c>
      <c r="NC52" s="68" t="str">
        <f>IF(MY52=1,Stats!$Q67,"")</f>
        <v/>
      </c>
      <c r="ND52" s="68" t="str">
        <f>IF(MY52=1,Stats!$R67,"")</f>
        <v/>
      </c>
      <c r="NE52" s="68" t="str">
        <f>IF(MY52=1,Stats!$S67,"")</f>
        <v/>
      </c>
      <c r="NF52" s="68">
        <f t="shared" si="144"/>
        <v>0</v>
      </c>
      <c r="NG52">
        <f t="shared" si="145"/>
        <v>0</v>
      </c>
      <c r="NH52" s="68">
        <f>IF(NG52=0,MAX(NH$2:NH51)+1,0)</f>
        <v>50</v>
      </c>
      <c r="NI52" s="5" t="str">
        <f t="shared" si="146"/>
        <v>Terrifying</v>
      </c>
      <c r="NJ52" s="5" t="str">
        <f t="shared" si="147"/>
        <v>Terrifying</v>
      </c>
    </row>
    <row r="53" spans="1:374" ht="15" x14ac:dyDescent="0.3">
      <c r="A53">
        <v>51</v>
      </c>
      <c r="B53" s="5" t="s">
        <v>50</v>
      </c>
      <c r="C53" s="68">
        <f>COUNTIF(Builder!$K$5:$N$5,B53)</f>
        <v>0</v>
      </c>
      <c r="D53" s="68" t="str">
        <f>IF(C53=1,Stats!$N68,"")</f>
        <v/>
      </c>
      <c r="E53" s="68" t="str">
        <f>IF(C53=1,Stats!$O68,"")</f>
        <v/>
      </c>
      <c r="F53" s="68" t="str">
        <f>IF(C53=1,Stats!$P68,"")</f>
        <v/>
      </c>
      <c r="G53" s="68" t="str">
        <f>IF(C53=1,Stats!$Q68,"")</f>
        <v/>
      </c>
      <c r="H53" s="68" t="str">
        <f>IF(C53=1,Stats!$R68,"")</f>
        <v/>
      </c>
      <c r="I53" s="68" t="str">
        <f>IF(C53=1,Stats!$S68,"")</f>
        <v/>
      </c>
      <c r="J53" s="68">
        <f t="shared" si="0"/>
        <v>0</v>
      </c>
      <c r="K53">
        <f t="shared" si="1"/>
        <v>0</v>
      </c>
      <c r="L53" s="68">
        <f>IF(K53=0,MAX($L$2:L52)+1,0)</f>
        <v>51</v>
      </c>
      <c r="M53" s="5" t="str">
        <f t="shared" si="2"/>
        <v>Thrown weapons</v>
      </c>
      <c r="N53" s="5" t="str">
        <f t="shared" si="3"/>
        <v>Thrown weapons</v>
      </c>
      <c r="O53" s="5"/>
      <c r="P53">
        <f t="shared" si="4"/>
        <v>51</v>
      </c>
      <c r="Q53" s="5" t="str">
        <f t="shared" si="5"/>
        <v>Thrown weapons</v>
      </c>
      <c r="R53" s="68">
        <f>COUNTIF(Builder!$K$6:$N$6,Q53)</f>
        <v>0</v>
      </c>
      <c r="S53" s="68" t="str">
        <f>IF(R53=1,Stats!$N68,"")</f>
        <v/>
      </c>
      <c r="T53" s="68" t="str">
        <f>IF(R53=1,Stats!$O68,"")</f>
        <v/>
      </c>
      <c r="U53" s="68" t="str">
        <f>IF(R53=1,Stats!$P68,"")</f>
        <v/>
      </c>
      <c r="V53" s="68" t="str">
        <f>IF(R53=1,Stats!$Q68,"")</f>
        <v/>
      </c>
      <c r="W53" s="68" t="str">
        <f>IF(R53=1,Stats!$R68,"")</f>
        <v/>
      </c>
      <c r="X53" s="68" t="str">
        <f>IF(R53=1,Stats!$S68,"")</f>
        <v/>
      </c>
      <c r="Y53" s="68">
        <f t="shared" si="6"/>
        <v>0</v>
      </c>
      <c r="Z53">
        <f t="shared" si="7"/>
        <v>0</v>
      </c>
      <c r="AA53" s="68">
        <f>IF(Z53=0,MAX($AA$2:AA52)+1,0)</f>
        <v>51</v>
      </c>
      <c r="AB53" s="5" t="str">
        <f t="shared" si="8"/>
        <v>Thrown weapons</v>
      </c>
      <c r="AC53" s="5" t="str">
        <f t="shared" si="9"/>
        <v>Thrown weapons</v>
      </c>
      <c r="AD53" s="5"/>
      <c r="AE53">
        <f t="shared" si="10"/>
        <v>51</v>
      </c>
      <c r="AF53" s="5" t="str">
        <f t="shared" si="11"/>
        <v>Thrown weapons</v>
      </c>
      <c r="AG53" s="68">
        <f>COUNTIF(Builder!$K$7:$N$7,AF53)</f>
        <v>0</v>
      </c>
      <c r="AH53" s="68" t="str">
        <f>IF(AG53=1,Stats!$N68,"")</f>
        <v/>
      </c>
      <c r="AI53" s="68" t="str">
        <f>IF(AG53=1,Stats!$O68,"")</f>
        <v/>
      </c>
      <c r="AJ53" s="68" t="str">
        <f>IF(AG53=1,Stats!$P68,"")</f>
        <v/>
      </c>
      <c r="AK53" s="68" t="str">
        <f>IF(AG53=1,Stats!$Q68,"")</f>
        <v/>
      </c>
      <c r="AL53" s="68" t="str">
        <f>IF(AG53=1,Stats!$R68,"")</f>
        <v/>
      </c>
      <c r="AM53" s="68" t="str">
        <f>IF(AG53=1,Stats!$S68,"")</f>
        <v/>
      </c>
      <c r="AN53" s="68">
        <f t="shared" si="12"/>
        <v>0</v>
      </c>
      <c r="AO53">
        <f t="shared" si="13"/>
        <v>0</v>
      </c>
      <c r="AP53" s="68">
        <f>IF(AO53=0,MAX($AP$2:AP52)+1,0)</f>
        <v>51</v>
      </c>
      <c r="AQ53" s="5" t="str">
        <f t="shared" si="14"/>
        <v>Thrown weapons</v>
      </c>
      <c r="AR53" s="5" t="str">
        <f t="shared" si="15"/>
        <v>Thrown weapons</v>
      </c>
      <c r="AS53" s="5"/>
      <c r="AT53">
        <f t="shared" si="16"/>
        <v>51</v>
      </c>
      <c r="AU53" s="5" t="str">
        <f t="shared" si="17"/>
        <v>Thrown weapons</v>
      </c>
      <c r="AV53" s="68">
        <f>COUNTIF(Builder!$K$8:$N$8,AU53)</f>
        <v>0</v>
      </c>
      <c r="AW53" s="68" t="str">
        <f>IF(AV53=1,Stats!$N68,"")</f>
        <v/>
      </c>
      <c r="AX53" s="68" t="str">
        <f>IF(AV53=1,Stats!$O68,"")</f>
        <v/>
      </c>
      <c r="AY53" s="68" t="str">
        <f>IF(AV53=1,Stats!$P68,"")</f>
        <v/>
      </c>
      <c r="AZ53" s="68" t="str">
        <f>IF(AV53=1,Stats!$Q68,"")</f>
        <v/>
      </c>
      <c r="BA53" s="68" t="str">
        <f>IF(AV53=1,Stats!$R68,"")</f>
        <v/>
      </c>
      <c r="BB53" s="68" t="str">
        <f>IF(AV53=1,Stats!$S68,"")</f>
        <v/>
      </c>
      <c r="BC53" s="68">
        <f t="shared" si="18"/>
        <v>0</v>
      </c>
      <c r="BD53">
        <f t="shared" si="19"/>
        <v>0</v>
      </c>
      <c r="BE53" s="68">
        <f>IF(BD53=0,MAX($BE$2:BE52)+1,0)</f>
        <v>51</v>
      </c>
      <c r="BF53" s="5" t="str">
        <f t="shared" si="20"/>
        <v>Thrown weapons</v>
      </c>
      <c r="BG53" s="5" t="str">
        <f t="shared" si="21"/>
        <v>Thrown weapons</v>
      </c>
      <c r="BH53" s="5"/>
      <c r="BI53">
        <f t="shared" si="148"/>
        <v>51</v>
      </c>
      <c r="BJ53" s="5" t="str">
        <f t="shared" si="149"/>
        <v>Thrown weapons</v>
      </c>
      <c r="BK53" s="68">
        <f>COUNTIF(Builder!$K$9:$N$9,BJ53)</f>
        <v>0</v>
      </c>
      <c r="BL53" s="68" t="str">
        <f>IF(BK53=1,Stats!$N68,"")</f>
        <v/>
      </c>
      <c r="BM53" s="68" t="str">
        <f>IF(BK53=1,Stats!$O68,"")</f>
        <v/>
      </c>
      <c r="BN53" s="68" t="str">
        <f>IF(BK53=1,Stats!$P68,"")</f>
        <v/>
      </c>
      <c r="BO53" s="68" t="str">
        <f>IF(BK53=1,Stats!$Q68,"")</f>
        <v/>
      </c>
      <c r="BP53" s="68" t="str">
        <f>IF(BK53=1,Stats!$R68,"")</f>
        <v/>
      </c>
      <c r="BQ53" s="68" t="str">
        <f>IF(BK53=1,Stats!$S68,"")</f>
        <v/>
      </c>
      <c r="BR53" s="68">
        <f t="shared" si="150"/>
        <v>0</v>
      </c>
      <c r="BS53">
        <f t="shared" si="151"/>
        <v>0</v>
      </c>
      <c r="BT53" s="68">
        <f>IF(BS53=0,MAX(BT$2:BT52)+1,0)</f>
        <v>51</v>
      </c>
      <c r="BU53" s="5" t="str">
        <f t="shared" si="152"/>
        <v>Thrown weapons</v>
      </c>
      <c r="BV53" s="5" t="str">
        <f t="shared" si="27"/>
        <v>Thrown weapons</v>
      </c>
      <c r="BX53">
        <f t="shared" si="153"/>
        <v>51</v>
      </c>
      <c r="BY53" s="5" t="str">
        <f t="shared" si="154"/>
        <v>Thrown weapons</v>
      </c>
      <c r="BZ53" s="68">
        <f>COUNTIF(Builder!$K$10:$N$10,BY53)</f>
        <v>0</v>
      </c>
      <c r="CA53" s="68" t="str">
        <f>IF(BZ53=1,Stats!$N68,"")</f>
        <v/>
      </c>
      <c r="CB53" s="68" t="str">
        <f>IF(BZ53=1,Stats!$O68,"")</f>
        <v/>
      </c>
      <c r="CC53" s="68" t="str">
        <f>IF(BZ53=1,Stats!$P68,"")</f>
        <v/>
      </c>
      <c r="CD53" s="68" t="str">
        <f>IF(BZ53=1,Stats!$Q68,"")</f>
        <v/>
      </c>
      <c r="CE53" s="68" t="str">
        <f>IF(BZ53=1,Stats!$R68,"")</f>
        <v/>
      </c>
      <c r="CF53" s="68" t="str">
        <f>IF(BZ53=1,Stats!$S68,"")</f>
        <v/>
      </c>
      <c r="CG53" s="68">
        <f t="shared" si="155"/>
        <v>0</v>
      </c>
      <c r="CH53">
        <f t="shared" si="156"/>
        <v>0</v>
      </c>
      <c r="CI53" s="68">
        <f>IF(CH53=0,MAX(CI$2:CI52)+1,0)</f>
        <v>51</v>
      </c>
      <c r="CJ53" s="5" t="str">
        <f t="shared" si="157"/>
        <v>Thrown weapons</v>
      </c>
      <c r="CK53" s="5" t="str">
        <f t="shared" si="33"/>
        <v>Thrown weapons</v>
      </c>
      <c r="CM53">
        <f t="shared" si="34"/>
        <v>51</v>
      </c>
      <c r="CN53" s="5" t="str">
        <f t="shared" si="35"/>
        <v>Thrown weapons</v>
      </c>
      <c r="CO53" s="68">
        <f>COUNTIF(Builder!$K$11:$N$11,CN53)</f>
        <v>0</v>
      </c>
      <c r="CP53" s="68" t="str">
        <f>IF(CO53=1,Stats!$N68,"")</f>
        <v/>
      </c>
      <c r="CQ53" s="68" t="str">
        <f>IF(CO53=1,Stats!$O68,"")</f>
        <v/>
      </c>
      <c r="CR53" s="68" t="str">
        <f>IF(CO53=1,Stats!$P68,"")</f>
        <v/>
      </c>
      <c r="CS53" s="68" t="str">
        <f>IF(CO53=1,Stats!$Q68,"")</f>
        <v/>
      </c>
      <c r="CT53" s="68" t="str">
        <f>IF(CO53=1,Stats!$R68,"")</f>
        <v/>
      </c>
      <c r="CU53" s="68" t="str">
        <f>IF(CO53=1,Stats!$S68,"")</f>
        <v/>
      </c>
      <c r="CV53" s="68">
        <f t="shared" si="36"/>
        <v>0</v>
      </c>
      <c r="CW53">
        <f t="shared" si="37"/>
        <v>0</v>
      </c>
      <c r="CX53" s="68">
        <f>IF(CW53=0,MAX(CX$2:CX52)+1,0)</f>
        <v>51</v>
      </c>
      <c r="CY53" s="5" t="str">
        <f t="shared" si="38"/>
        <v>Thrown weapons</v>
      </c>
      <c r="CZ53" s="5" t="str">
        <f t="shared" si="39"/>
        <v>Thrown weapons</v>
      </c>
      <c r="DB53">
        <f t="shared" si="158"/>
        <v>51</v>
      </c>
      <c r="DC53" s="5" t="str">
        <f t="shared" si="159"/>
        <v>Thrown weapons</v>
      </c>
      <c r="DD53" s="68">
        <f>COUNTIF(Builder!$K$12:$N$12,DC53)</f>
        <v>0</v>
      </c>
      <c r="DE53" s="68" t="str">
        <f>IF(DD53=1,Stats!$N68,"")</f>
        <v/>
      </c>
      <c r="DF53" s="68" t="str">
        <f>IF(DD53=1,Stats!$O68,"")</f>
        <v/>
      </c>
      <c r="DG53" s="68" t="str">
        <f>IF(DD53=1,Stats!$P68,"")</f>
        <v/>
      </c>
      <c r="DH53" s="68" t="str">
        <f>IF(DD53=1,Stats!$Q68,"")</f>
        <v/>
      </c>
      <c r="DI53" s="68" t="str">
        <f>IF(DD53=1,Stats!$R68,"")</f>
        <v/>
      </c>
      <c r="DJ53" s="68" t="str">
        <f>IF(DD53=1,Stats!$S68,"")</f>
        <v/>
      </c>
      <c r="DK53" s="68">
        <f t="shared" si="160"/>
        <v>0</v>
      </c>
      <c r="DL53">
        <f t="shared" si="161"/>
        <v>0</v>
      </c>
      <c r="DM53" s="68">
        <f>IF(DL53=0,MAX(DM$2:DM52)+1,0)</f>
        <v>51</v>
      </c>
      <c r="DN53" s="5" t="str">
        <f t="shared" si="162"/>
        <v>Thrown weapons</v>
      </c>
      <c r="DO53" s="5" t="str">
        <f t="shared" si="45"/>
        <v>Thrown weapons</v>
      </c>
      <c r="DQ53">
        <f t="shared" si="163"/>
        <v>51</v>
      </c>
      <c r="DR53" s="5" t="str">
        <f t="shared" si="164"/>
        <v>Thrown weapons</v>
      </c>
      <c r="DS53" s="68">
        <f>COUNTIF(Builder!$K$13:$N$13,DR53)</f>
        <v>0</v>
      </c>
      <c r="DT53" s="68" t="str">
        <f>IF(DS53=1,Stats!$N68,"")</f>
        <v/>
      </c>
      <c r="DU53" s="68" t="str">
        <f>IF(DS53=1,Stats!$O68,"")</f>
        <v/>
      </c>
      <c r="DV53" s="68" t="str">
        <f>IF(DS53=1,Stats!$P68,"")</f>
        <v/>
      </c>
      <c r="DW53" s="68" t="str">
        <f>IF(DS53=1,Stats!$Q68,"")</f>
        <v/>
      </c>
      <c r="DX53" s="68" t="str">
        <f>IF(DS53=1,Stats!$R68,"")</f>
        <v/>
      </c>
      <c r="DY53" s="68" t="str">
        <f>IF(DS53=1,Stats!$S68,"")</f>
        <v/>
      </c>
      <c r="DZ53" s="68">
        <f t="shared" si="165"/>
        <v>0</v>
      </c>
      <c r="EA53">
        <f t="shared" si="166"/>
        <v>0</v>
      </c>
      <c r="EB53" s="68">
        <f>IF(EA53=0,MAX(EB$2:EB52)+1,0)</f>
        <v>51</v>
      </c>
      <c r="EC53" s="5" t="str">
        <f t="shared" si="167"/>
        <v>Thrown weapons</v>
      </c>
      <c r="ED53" s="5" t="str">
        <f t="shared" si="51"/>
        <v>Thrown weapons</v>
      </c>
      <c r="EF53">
        <f t="shared" si="52"/>
        <v>51</v>
      </c>
      <c r="EG53" s="5" t="str">
        <f t="shared" si="53"/>
        <v>Thrown weapons</v>
      </c>
      <c r="EH53" s="68">
        <f>COUNTIF(Builder!$K$14:$N$14,EG53)</f>
        <v>0</v>
      </c>
      <c r="EI53" s="68" t="str">
        <f>IF(EH53=1,Stats!$N68,"")</f>
        <v/>
      </c>
      <c r="EJ53" s="68" t="str">
        <f>IF(EH53=1,Stats!$O68,"")</f>
        <v/>
      </c>
      <c r="EK53" s="68" t="str">
        <f>IF(EH53=1,Stats!$P68,"")</f>
        <v/>
      </c>
      <c r="EL53" s="68" t="str">
        <f>IF(EH53=1,Stats!$Q68,"")</f>
        <v/>
      </c>
      <c r="EM53" s="68" t="str">
        <f>IF(EH53=1,Stats!$R68,"")</f>
        <v/>
      </c>
      <c r="EN53" s="68" t="str">
        <f>IF(EH53=1,Stats!$S68,"")</f>
        <v/>
      </c>
      <c r="EO53" s="68">
        <f t="shared" si="54"/>
        <v>0</v>
      </c>
      <c r="EP53">
        <f t="shared" si="55"/>
        <v>0</v>
      </c>
      <c r="EQ53" s="68">
        <f>IF(EP53=0,MAX(EQ$2:EQ52)+1,0)</f>
        <v>51</v>
      </c>
      <c r="ER53" s="5" t="str">
        <f t="shared" si="56"/>
        <v>Thrown weapons</v>
      </c>
      <c r="ES53" s="5" t="str">
        <f t="shared" si="57"/>
        <v>Thrown weapons</v>
      </c>
      <c r="EU53">
        <f t="shared" si="58"/>
        <v>51</v>
      </c>
      <c r="EV53" s="5" t="str">
        <f t="shared" si="59"/>
        <v>Thrown weapons</v>
      </c>
      <c r="EW53" s="68">
        <f>COUNTIF(Builder!$K$15:$N$15,EV53)</f>
        <v>0</v>
      </c>
      <c r="EX53" s="68" t="str">
        <f>IF(EW53=1,Stats!$N68,"")</f>
        <v/>
      </c>
      <c r="EY53" s="68" t="str">
        <f>IF(EW53=1,Stats!$O68,"")</f>
        <v/>
      </c>
      <c r="EZ53" s="68" t="str">
        <f>IF(EW53=1,Stats!$P68,"")</f>
        <v/>
      </c>
      <c r="FA53" s="68" t="str">
        <f>IF(EW53=1,Stats!$Q68,"")</f>
        <v/>
      </c>
      <c r="FB53" s="68" t="str">
        <f>IF(EW53=1,Stats!$R68,"")</f>
        <v/>
      </c>
      <c r="FC53" s="68" t="str">
        <f>IF(EW53=1,Stats!$S68,"")</f>
        <v/>
      </c>
      <c r="FD53" s="68">
        <f t="shared" si="60"/>
        <v>0</v>
      </c>
      <c r="FE53">
        <f t="shared" si="61"/>
        <v>0</v>
      </c>
      <c r="FF53" s="68">
        <f>IF(FE53=0,MAX(FF$2:FF52)+1,0)</f>
        <v>51</v>
      </c>
      <c r="FG53" s="5" t="str">
        <f t="shared" si="62"/>
        <v>Thrown weapons</v>
      </c>
      <c r="FH53" s="5" t="str">
        <f t="shared" si="63"/>
        <v>Thrown weapons</v>
      </c>
      <c r="FJ53">
        <f t="shared" si="64"/>
        <v>51</v>
      </c>
      <c r="FK53" s="5" t="str">
        <f t="shared" si="65"/>
        <v>Thrown weapons</v>
      </c>
      <c r="FL53" s="68">
        <f>COUNTIF(Builder!$K$16:$N$16,FK53)</f>
        <v>0</v>
      </c>
      <c r="FM53" s="68" t="str">
        <f>IF(FL53=1,Stats!$N68,"")</f>
        <v/>
      </c>
      <c r="FN53" s="68" t="str">
        <f>IF(FL53=1,Stats!$O68,"")</f>
        <v/>
      </c>
      <c r="FO53" s="68" t="str">
        <f>IF(FL53=1,Stats!$P68,"")</f>
        <v/>
      </c>
      <c r="FP53" s="68" t="str">
        <f>IF(FL53=1,Stats!$Q68,"")</f>
        <v/>
      </c>
      <c r="FQ53" s="68" t="str">
        <f>IF(FL53=1,Stats!$R68,"")</f>
        <v/>
      </c>
      <c r="FR53" s="68" t="str">
        <f>IF(FL53=1,Stats!$S68,"")</f>
        <v/>
      </c>
      <c r="FS53" s="68">
        <f t="shared" si="66"/>
        <v>0</v>
      </c>
      <c r="FT53">
        <f t="shared" si="67"/>
        <v>0</v>
      </c>
      <c r="FU53" s="68">
        <f>IF(FT53=0,MAX(FU$2:FU52)+1,0)</f>
        <v>51</v>
      </c>
      <c r="FV53" s="5" t="str">
        <f t="shared" si="68"/>
        <v>Thrown weapons</v>
      </c>
      <c r="FW53" s="5" t="str">
        <f t="shared" si="69"/>
        <v>Thrown weapons</v>
      </c>
      <c r="FY53">
        <f t="shared" si="168"/>
        <v>51</v>
      </c>
      <c r="FZ53" s="5" t="str">
        <f t="shared" si="169"/>
        <v>Thrown weapons</v>
      </c>
      <c r="GA53" s="68">
        <f>COUNTIF(Builder!$K$17:$N$17,FZ53)</f>
        <v>0</v>
      </c>
      <c r="GB53" s="68" t="str">
        <f>IF(GA53=1,Stats!$N68,"")</f>
        <v/>
      </c>
      <c r="GC53" s="68" t="str">
        <f>IF(GA53=1,Stats!$O68,"")</f>
        <v/>
      </c>
      <c r="GD53" s="68" t="str">
        <f>IF(GA53=1,Stats!$P68,"")</f>
        <v/>
      </c>
      <c r="GE53" s="68" t="str">
        <f>IF(GA53=1,Stats!$Q68,"")</f>
        <v/>
      </c>
      <c r="GF53" s="68" t="str">
        <f>IF(GA53=1,Stats!$R68,"")</f>
        <v/>
      </c>
      <c r="GG53" s="68" t="str">
        <f>IF(GA53=1,Stats!$S68,"")</f>
        <v/>
      </c>
      <c r="GH53" s="68">
        <f t="shared" si="170"/>
        <v>0</v>
      </c>
      <c r="GI53">
        <f t="shared" si="171"/>
        <v>0</v>
      </c>
      <c r="GJ53" s="68">
        <f>IF(GI53=0,MAX(GJ$2:GJ52)+1,0)</f>
        <v>51</v>
      </c>
      <c r="GK53" s="5" t="str">
        <f t="shared" si="172"/>
        <v>Thrown weapons</v>
      </c>
      <c r="GL53" s="5" t="str">
        <f t="shared" si="75"/>
        <v>Thrown weapons</v>
      </c>
      <c r="GN53">
        <f t="shared" si="76"/>
        <v>51</v>
      </c>
      <c r="GO53" s="5" t="str">
        <f t="shared" si="77"/>
        <v>Thrown weapons</v>
      </c>
      <c r="GP53" s="68">
        <f>COUNTIF(Builder!$K$18:$N$18,GO53)</f>
        <v>0</v>
      </c>
      <c r="GQ53" s="68" t="str">
        <f>IF(GP53=1,Stats!$N68,"")</f>
        <v/>
      </c>
      <c r="GR53" s="68" t="str">
        <f>IF(GP53=1,Stats!$O68,"")</f>
        <v/>
      </c>
      <c r="GS53" s="68" t="str">
        <f>IF(GP53=1,Stats!$P68,"")</f>
        <v/>
      </c>
      <c r="GT53" s="68" t="str">
        <f>IF(GP53=1,Stats!$Q68,"")</f>
        <v/>
      </c>
      <c r="GU53" s="68" t="str">
        <f>IF(GP53=1,Stats!$R68,"")</f>
        <v/>
      </c>
      <c r="GV53" s="68" t="str">
        <f>IF(GP53=1,Stats!$S68,"")</f>
        <v/>
      </c>
      <c r="GW53" s="68">
        <f t="shared" si="78"/>
        <v>0</v>
      </c>
      <c r="GX53">
        <f t="shared" si="79"/>
        <v>0</v>
      </c>
      <c r="GY53" s="68">
        <f>IF(GX53=0,MAX(GY$2:GY52)+1,0)</f>
        <v>51</v>
      </c>
      <c r="GZ53" s="5" t="str">
        <f t="shared" si="80"/>
        <v>Thrown weapons</v>
      </c>
      <c r="HA53" s="5" t="str">
        <f t="shared" si="81"/>
        <v>Thrown weapons</v>
      </c>
      <c r="HC53">
        <f t="shared" si="82"/>
        <v>51</v>
      </c>
      <c r="HD53" s="5" t="str">
        <f t="shared" si="83"/>
        <v>Thrown weapons</v>
      </c>
      <c r="HE53" s="68">
        <f>COUNTIF(Builder!$K$19:$N$19,HD53)</f>
        <v>0</v>
      </c>
      <c r="HF53" s="68" t="str">
        <f>IF(HE53=1,Stats!$N68,"")</f>
        <v/>
      </c>
      <c r="HG53" s="68" t="str">
        <f>IF(HE53=1,Stats!$O68,"")</f>
        <v/>
      </c>
      <c r="HH53" s="68" t="str">
        <f>IF(HE53=1,Stats!$P68,"")</f>
        <v/>
      </c>
      <c r="HI53" s="68" t="str">
        <f>IF(HE53=1,Stats!$Q68,"")</f>
        <v/>
      </c>
      <c r="HJ53" s="68" t="str">
        <f>IF(HE53=1,Stats!$R68,"")</f>
        <v/>
      </c>
      <c r="HK53" s="68" t="str">
        <f>IF(HE53=1,Stats!$S68,"")</f>
        <v/>
      </c>
      <c r="HL53" s="68">
        <f t="shared" si="84"/>
        <v>0</v>
      </c>
      <c r="HM53">
        <f t="shared" si="85"/>
        <v>0</v>
      </c>
      <c r="HN53" s="68">
        <f>IF(HM53=0,MAX(HN$2:HN52)+1,0)</f>
        <v>51</v>
      </c>
      <c r="HO53" s="5" t="str">
        <f t="shared" si="86"/>
        <v>Thrown weapons</v>
      </c>
      <c r="HP53" s="5" t="str">
        <f t="shared" si="87"/>
        <v>Thrown weapons</v>
      </c>
      <c r="HR53">
        <f t="shared" si="88"/>
        <v>51</v>
      </c>
      <c r="HS53" s="5" t="str">
        <f t="shared" si="89"/>
        <v>Thrown weapons</v>
      </c>
      <c r="HT53" s="68">
        <f>COUNTIF(Builder!$K$20:$N$20,HS53)</f>
        <v>0</v>
      </c>
      <c r="HU53" s="68" t="str">
        <f>IF(HT53=1,Stats!$N68,"")</f>
        <v/>
      </c>
      <c r="HV53" s="68" t="str">
        <f>IF(HT53=1,Stats!$O68,"")</f>
        <v/>
      </c>
      <c r="HW53" s="68" t="str">
        <f>IF(HT53=1,Stats!$P68,"")</f>
        <v/>
      </c>
      <c r="HX53" s="68" t="str">
        <f>IF(HT53=1,Stats!$Q68,"")</f>
        <v/>
      </c>
      <c r="HY53" s="68" t="str">
        <f>IF(HT53=1,Stats!$R68,"")</f>
        <v/>
      </c>
      <c r="HZ53" s="68" t="str">
        <f>IF(HT53=1,Stats!$S68,"")</f>
        <v/>
      </c>
      <c r="IA53" s="68">
        <f t="shared" si="90"/>
        <v>0</v>
      </c>
      <c r="IB53">
        <f t="shared" si="91"/>
        <v>0</v>
      </c>
      <c r="IC53" s="68">
        <f>IF(IB53=0,MAX(IC$2:IC52)+1,0)</f>
        <v>51</v>
      </c>
      <c r="ID53" s="5" t="str">
        <f t="shared" si="92"/>
        <v>Thrown weapons</v>
      </c>
      <c r="IE53" s="5" t="str">
        <f t="shared" si="93"/>
        <v>Thrown weapons</v>
      </c>
      <c r="IG53">
        <f t="shared" si="94"/>
        <v>51</v>
      </c>
      <c r="IH53" s="5" t="str">
        <f t="shared" si="95"/>
        <v>Thrown weapons</v>
      </c>
      <c r="II53" s="68">
        <f>COUNTIF(Builder!$K$21:$N$21,IH53)</f>
        <v>0</v>
      </c>
      <c r="IJ53" s="68" t="str">
        <f>IF(II53=1,Stats!$N68,"")</f>
        <v/>
      </c>
      <c r="IK53" s="68" t="str">
        <f>IF(II53=1,Stats!$O68,"")</f>
        <v/>
      </c>
      <c r="IL53" s="68" t="str">
        <f>IF(II53=1,Stats!$P68,"")</f>
        <v/>
      </c>
      <c r="IM53" s="68" t="str">
        <f>IF(II53=1,Stats!$Q68,"")</f>
        <v/>
      </c>
      <c r="IN53" s="68" t="str">
        <f>IF(II53=1,Stats!$R68,"")</f>
        <v/>
      </c>
      <c r="IO53" s="68" t="str">
        <f>IF(II53=1,Stats!$S68,"")</f>
        <v/>
      </c>
      <c r="IP53" s="68">
        <f t="shared" si="96"/>
        <v>0</v>
      </c>
      <c r="IQ53">
        <f t="shared" si="97"/>
        <v>0</v>
      </c>
      <c r="IR53" s="68">
        <f>IF(IQ53=0,MAX(IR$2:IR52)+1,0)</f>
        <v>51</v>
      </c>
      <c r="IS53" s="5" t="str">
        <f t="shared" si="98"/>
        <v>Thrown weapons</v>
      </c>
      <c r="IT53" s="5" t="str">
        <f t="shared" si="99"/>
        <v>Thrown weapons</v>
      </c>
      <c r="IV53">
        <f t="shared" si="100"/>
        <v>51</v>
      </c>
      <c r="IW53" s="5" t="str">
        <f t="shared" si="101"/>
        <v>Thrown weapons</v>
      </c>
      <c r="IX53" s="68">
        <f>COUNTIF(Builder!$K$22:$N$22,IW53)</f>
        <v>0</v>
      </c>
      <c r="IY53" s="68" t="str">
        <f>IF(IX53=1,Stats!$N68,"")</f>
        <v/>
      </c>
      <c r="IZ53" s="68" t="str">
        <f>IF(IX53=1,Stats!$O68,"")</f>
        <v/>
      </c>
      <c r="JA53" s="68" t="str">
        <f>IF(IX53=1,Stats!$P68,"")</f>
        <v/>
      </c>
      <c r="JB53" s="68" t="str">
        <f>IF(IX53=1,Stats!$Q68,"")</f>
        <v/>
      </c>
      <c r="JC53" s="68" t="str">
        <f>IF(IX53=1,Stats!$R68,"")</f>
        <v/>
      </c>
      <c r="JD53" s="68" t="str">
        <f>IF(IX53=1,Stats!$S68,"")</f>
        <v/>
      </c>
      <c r="JE53" s="68">
        <f t="shared" si="102"/>
        <v>0</v>
      </c>
      <c r="JF53">
        <f t="shared" si="103"/>
        <v>0</v>
      </c>
      <c r="JG53" s="68">
        <f>IF(JF53=0,MAX(JG$2:JG52)+1,0)</f>
        <v>51</v>
      </c>
      <c r="JH53" s="5" t="str">
        <f t="shared" si="104"/>
        <v>Thrown weapons</v>
      </c>
      <c r="JI53" s="5" t="str">
        <f t="shared" si="105"/>
        <v>Thrown weapons</v>
      </c>
      <c r="JK53">
        <f t="shared" si="106"/>
        <v>51</v>
      </c>
      <c r="JL53" s="5" t="str">
        <f t="shared" si="107"/>
        <v>Thrown weapons</v>
      </c>
      <c r="JM53" s="68">
        <f>COUNTIF(Builder!$K$23:$N$23,JL53)</f>
        <v>0</v>
      </c>
      <c r="JN53" s="68" t="str">
        <f>IF(JM53=1,Stats!$N68,"")</f>
        <v/>
      </c>
      <c r="JO53" s="68" t="str">
        <f>IF(JM53=1,Stats!$O68,"")</f>
        <v/>
      </c>
      <c r="JP53" s="68" t="str">
        <f>IF(JM53=1,Stats!$P68,"")</f>
        <v/>
      </c>
      <c r="JQ53" s="68" t="str">
        <f>IF(JM53=1,Stats!$Q68,"")</f>
        <v/>
      </c>
      <c r="JR53" s="68" t="str">
        <f>IF(JM53=1,Stats!$R68,"")</f>
        <v/>
      </c>
      <c r="JS53" s="68" t="str">
        <f>IF(JM53=1,Stats!$S68,"")</f>
        <v/>
      </c>
      <c r="JT53" s="68">
        <f t="shared" si="108"/>
        <v>0</v>
      </c>
      <c r="JU53">
        <f t="shared" si="109"/>
        <v>0</v>
      </c>
      <c r="JV53" s="68">
        <f>IF(JU53=0,MAX(JV$2:JV52)+1,0)</f>
        <v>51</v>
      </c>
      <c r="JW53" s="5" t="str">
        <f t="shared" si="110"/>
        <v>Thrown weapons</v>
      </c>
      <c r="JX53" s="5" t="str">
        <f t="shared" si="111"/>
        <v>Thrown weapons</v>
      </c>
      <c r="JZ53">
        <f t="shared" si="112"/>
        <v>51</v>
      </c>
      <c r="KA53" s="5" t="str">
        <f t="shared" si="113"/>
        <v>Thrown weapons</v>
      </c>
      <c r="KB53" s="68">
        <f>COUNTIF(Builder!$K$24:$N$24,KA53)</f>
        <v>0</v>
      </c>
      <c r="KC53" s="68" t="str">
        <f>IF(KB53=1,Stats!$N68,"")</f>
        <v/>
      </c>
      <c r="KD53" s="68" t="str">
        <f>IF(KB53=1,Stats!$O68,"")</f>
        <v/>
      </c>
      <c r="KE53" s="68" t="str">
        <f>IF(KB53=1,Stats!$P68,"")</f>
        <v/>
      </c>
      <c r="KF53" s="68" t="str">
        <f>IF(KB53=1,Stats!$Q68,"")</f>
        <v/>
      </c>
      <c r="KG53" s="68" t="str">
        <f>IF(KB53=1,Stats!$R68,"")</f>
        <v/>
      </c>
      <c r="KH53" s="68" t="str">
        <f>IF(KB53=1,Stats!$S68,"")</f>
        <v/>
      </c>
      <c r="KI53" s="68">
        <f t="shared" si="114"/>
        <v>0</v>
      </c>
      <c r="KJ53">
        <f t="shared" si="115"/>
        <v>0</v>
      </c>
      <c r="KK53" s="68">
        <f>IF(KJ53=0,MAX(KK$2:KK52)+1,0)</f>
        <v>51</v>
      </c>
      <c r="KL53" s="5" t="str">
        <f t="shared" si="116"/>
        <v>Thrown weapons</v>
      </c>
      <c r="KM53" s="5" t="str">
        <f t="shared" si="117"/>
        <v>Thrown weapons</v>
      </c>
      <c r="KO53">
        <f t="shared" si="118"/>
        <v>51</v>
      </c>
      <c r="KP53" s="5" t="str">
        <f t="shared" si="119"/>
        <v>Thrown weapons</v>
      </c>
      <c r="KQ53" s="68">
        <f>COUNTIF(Builder!$K$25:$N$25,KP53)</f>
        <v>0</v>
      </c>
      <c r="KR53" s="68" t="str">
        <f>IF(KQ53=1,Stats!$N68,"")</f>
        <v/>
      </c>
      <c r="KS53" s="68" t="str">
        <f>IF(KQ53=1,Stats!$O68,"")</f>
        <v/>
      </c>
      <c r="KT53" s="68" t="str">
        <f>IF(KQ53=1,Stats!$P68,"")</f>
        <v/>
      </c>
      <c r="KU53" s="68" t="str">
        <f>IF(KQ53=1,Stats!$Q68,"")</f>
        <v/>
      </c>
      <c r="KV53" s="68" t="str">
        <f>IF(KQ53=1,Stats!$R68,"")</f>
        <v/>
      </c>
      <c r="KW53" s="68" t="str">
        <f>IF(KQ53=1,Stats!$S68,"")</f>
        <v/>
      </c>
      <c r="KX53" s="68">
        <f t="shared" si="120"/>
        <v>0</v>
      </c>
      <c r="KY53">
        <f t="shared" si="121"/>
        <v>0</v>
      </c>
      <c r="KZ53" s="68">
        <f>IF(KY53=0,MAX(KZ$2:KZ52)+1,0)</f>
        <v>51</v>
      </c>
      <c r="LA53" s="5" t="str">
        <f t="shared" si="122"/>
        <v>Thrown weapons</v>
      </c>
      <c r="LB53" s="5" t="str">
        <f t="shared" si="123"/>
        <v>Thrown weapons</v>
      </c>
      <c r="LD53">
        <f t="shared" si="124"/>
        <v>51</v>
      </c>
      <c r="LE53" s="5" t="str">
        <f t="shared" si="125"/>
        <v>Thrown weapons</v>
      </c>
      <c r="LF53" s="68">
        <f>COUNTIF(Builder!$K$26:$N$26,LE53)</f>
        <v>0</v>
      </c>
      <c r="LG53" s="68" t="str">
        <f>IF(LF53=1,Stats!$N68,"")</f>
        <v/>
      </c>
      <c r="LH53" s="68" t="str">
        <f>IF(LF53=1,Stats!$O68,"")</f>
        <v/>
      </c>
      <c r="LI53" s="68" t="str">
        <f>IF(LF53=1,Stats!$P68,"")</f>
        <v/>
      </c>
      <c r="LJ53" s="68" t="str">
        <f>IF(LF53=1,Stats!$Q68,"")</f>
        <v/>
      </c>
      <c r="LK53" s="68" t="str">
        <f>IF(LF53=1,Stats!$R68,"")</f>
        <v/>
      </c>
      <c r="LL53" s="68" t="str">
        <f>IF(LF53=1,Stats!$S68,"")</f>
        <v/>
      </c>
      <c r="LM53" s="68">
        <f t="shared" si="126"/>
        <v>0</v>
      </c>
      <c r="LN53">
        <f t="shared" si="127"/>
        <v>0</v>
      </c>
      <c r="LO53" s="68">
        <f>IF(LN53=0,MAX(LO$2:LO52)+1,0)</f>
        <v>51</v>
      </c>
      <c r="LP53" s="5" t="str">
        <f t="shared" si="128"/>
        <v>Thrown weapons</v>
      </c>
      <c r="LQ53" s="5" t="str">
        <f t="shared" si="129"/>
        <v>Thrown weapons</v>
      </c>
      <c r="LS53">
        <f t="shared" si="130"/>
        <v>51</v>
      </c>
      <c r="LT53" s="5" t="str">
        <f t="shared" si="131"/>
        <v>Thrown weapons</v>
      </c>
      <c r="LU53" s="68">
        <f>COUNTIF(Builder!$K$27:$N$27,LT53)</f>
        <v>0</v>
      </c>
      <c r="LV53" s="68" t="str">
        <f>IF(LU53=1,Stats!$N68,"")</f>
        <v/>
      </c>
      <c r="LW53" s="68" t="str">
        <f>IF(LU53=1,Stats!$O68,"")</f>
        <v/>
      </c>
      <c r="LX53" s="68" t="str">
        <f>IF(LU53=1,Stats!$P68,"")</f>
        <v/>
      </c>
      <c r="LY53" s="68" t="str">
        <f>IF(LU53=1,Stats!$Q68,"")</f>
        <v/>
      </c>
      <c r="LZ53" s="68" t="str">
        <f>IF(LU53=1,Stats!$R68,"")</f>
        <v/>
      </c>
      <c r="MA53" s="68" t="str">
        <f>IF(LU53=1,Stats!$S68,"")</f>
        <v/>
      </c>
      <c r="MB53" s="68">
        <f t="shared" si="132"/>
        <v>0</v>
      </c>
      <c r="MC53">
        <f t="shared" si="133"/>
        <v>0</v>
      </c>
      <c r="MD53" s="68">
        <f>IF(MC53=0,MAX(MD$2:MD52)+1,0)</f>
        <v>51</v>
      </c>
      <c r="ME53" s="5" t="str">
        <f t="shared" si="134"/>
        <v>Thrown weapons</v>
      </c>
      <c r="MF53" s="5" t="str">
        <f t="shared" si="135"/>
        <v>Thrown weapons</v>
      </c>
      <c r="MH53">
        <f t="shared" si="136"/>
        <v>51</v>
      </c>
      <c r="MI53" s="5" t="str">
        <f t="shared" si="137"/>
        <v>Thrown weapons</v>
      </c>
      <c r="MJ53" s="68">
        <f>COUNTIF(Builder!$K$28:$N$28,MI53)</f>
        <v>0</v>
      </c>
      <c r="MK53" s="68" t="str">
        <f>IF(MJ53=1,Stats!$N68,"")</f>
        <v/>
      </c>
      <c r="ML53" s="68" t="str">
        <f>IF(MJ53=1,Stats!$O68,"")</f>
        <v/>
      </c>
      <c r="MM53" s="68" t="str">
        <f>IF(MJ53=1,Stats!$P68,"")</f>
        <v/>
      </c>
      <c r="MN53" s="68" t="str">
        <f>IF(MJ53=1,Stats!$Q68,"")</f>
        <v/>
      </c>
      <c r="MO53" s="68" t="str">
        <f>IF(MJ53=1,Stats!$R68,"")</f>
        <v/>
      </c>
      <c r="MP53" s="68" t="str">
        <f>IF(MJ53=1,Stats!$S68,"")</f>
        <v/>
      </c>
      <c r="MQ53" s="68">
        <f t="shared" si="138"/>
        <v>0</v>
      </c>
      <c r="MR53">
        <f t="shared" si="139"/>
        <v>0</v>
      </c>
      <c r="MS53" s="68">
        <f>IF(MR53=0,MAX(MS$2:MS52)+1,0)</f>
        <v>51</v>
      </c>
      <c r="MT53" s="5" t="str">
        <f t="shared" si="140"/>
        <v>Thrown weapons</v>
      </c>
      <c r="MU53" s="5" t="str">
        <f t="shared" si="141"/>
        <v>Thrown weapons</v>
      </c>
      <c r="MW53">
        <f t="shared" si="142"/>
        <v>51</v>
      </c>
      <c r="MX53" s="5" t="str">
        <f t="shared" si="143"/>
        <v>Thrown weapons</v>
      </c>
      <c r="MY53" s="68">
        <f>COUNTIF(Builder!$K$29:$N$29,MX53)</f>
        <v>0</v>
      </c>
      <c r="MZ53" s="68" t="str">
        <f>IF(MY53=1,Stats!$N68,"")</f>
        <v/>
      </c>
      <c r="NA53" s="68" t="str">
        <f>IF(MY53=1,Stats!$O68,"")</f>
        <v/>
      </c>
      <c r="NB53" s="68" t="str">
        <f>IF(MY53=1,Stats!$P68,"")</f>
        <v/>
      </c>
      <c r="NC53" s="68" t="str">
        <f>IF(MY53=1,Stats!$Q68,"")</f>
        <v/>
      </c>
      <c r="ND53" s="68" t="str">
        <f>IF(MY53=1,Stats!$R68,"")</f>
        <v/>
      </c>
      <c r="NE53" s="68" t="str">
        <f>IF(MY53=1,Stats!$S68,"")</f>
        <v/>
      </c>
      <c r="NF53" s="68">
        <f t="shared" si="144"/>
        <v>0</v>
      </c>
      <c r="NG53">
        <f t="shared" si="145"/>
        <v>0</v>
      </c>
      <c r="NH53" s="68">
        <f>IF(NG53=0,MAX(NH$2:NH52)+1,0)</f>
        <v>51</v>
      </c>
      <c r="NI53" s="5" t="str">
        <f t="shared" si="146"/>
        <v>Thrown weapons</v>
      </c>
      <c r="NJ53" s="5" t="str">
        <f t="shared" si="147"/>
        <v>Thrown weapons</v>
      </c>
    </row>
    <row r="54" spans="1:374" ht="15" x14ac:dyDescent="0.3">
      <c r="A54">
        <v>52</v>
      </c>
      <c r="B54" s="5" t="s">
        <v>51</v>
      </c>
      <c r="C54" s="68">
        <f>COUNTIF(Builder!$K$5:$N$5,B54)</f>
        <v>0</v>
      </c>
      <c r="D54" s="68" t="str">
        <f>IF(C54=1,Stats!$N69,"")</f>
        <v/>
      </c>
      <c r="E54" s="68" t="str">
        <f>IF(C54=1,Stats!$O69,"")</f>
        <v/>
      </c>
      <c r="F54" s="68" t="str">
        <f>IF(C54=1,Stats!$P69,"")</f>
        <v/>
      </c>
      <c r="G54" s="68" t="str">
        <f>IF(C54=1,Stats!$Q69,"")</f>
        <v/>
      </c>
      <c r="H54" s="68" t="str">
        <f>IF(C54=1,Stats!$R69,"")</f>
        <v/>
      </c>
      <c r="I54" s="68" t="str">
        <f>IF(C54=1,Stats!$S69,"")</f>
        <v/>
      </c>
      <c r="J54" s="68">
        <f t="shared" si="0"/>
        <v>0</v>
      </c>
      <c r="K54">
        <f t="shared" si="1"/>
        <v>0</v>
      </c>
      <c r="L54" s="68">
        <f>IF(K54=0,MAX($L$2:L53)+1,0)</f>
        <v>52</v>
      </c>
      <c r="M54" s="5" t="str">
        <f t="shared" si="2"/>
        <v>Unreliable</v>
      </c>
      <c r="N54" s="5" t="str">
        <f t="shared" si="3"/>
        <v>Unreliable</v>
      </c>
      <c r="O54" s="5"/>
      <c r="P54">
        <f t="shared" si="4"/>
        <v>52</v>
      </c>
      <c r="Q54" s="5" t="str">
        <f t="shared" si="5"/>
        <v>Unreliable</v>
      </c>
      <c r="R54" s="68">
        <f>COUNTIF(Builder!$K$6:$N$6,Q54)</f>
        <v>0</v>
      </c>
      <c r="S54" s="68" t="str">
        <f>IF(R54=1,Stats!$N69,"")</f>
        <v/>
      </c>
      <c r="T54" s="68" t="str">
        <f>IF(R54=1,Stats!$O69,"")</f>
        <v/>
      </c>
      <c r="U54" s="68" t="str">
        <f>IF(R54=1,Stats!$P69,"")</f>
        <v/>
      </c>
      <c r="V54" s="68" t="str">
        <f>IF(R54=1,Stats!$Q69,"")</f>
        <v/>
      </c>
      <c r="W54" s="68" t="str">
        <f>IF(R54=1,Stats!$R69,"")</f>
        <v/>
      </c>
      <c r="X54" s="68" t="str">
        <f>IF(R54=1,Stats!$S69,"")</f>
        <v/>
      </c>
      <c r="Y54" s="68">
        <f t="shared" si="6"/>
        <v>0</v>
      </c>
      <c r="Z54">
        <f t="shared" si="7"/>
        <v>0</v>
      </c>
      <c r="AA54" s="68">
        <f>IF(Z54=0,MAX($AA$2:AA53)+1,0)</f>
        <v>52</v>
      </c>
      <c r="AB54" s="5" t="str">
        <f t="shared" si="8"/>
        <v>Unreliable</v>
      </c>
      <c r="AC54" s="5" t="str">
        <f t="shared" si="9"/>
        <v>Unreliable</v>
      </c>
      <c r="AD54" s="5"/>
      <c r="AE54">
        <f t="shared" si="10"/>
        <v>52</v>
      </c>
      <c r="AF54" s="5" t="str">
        <f t="shared" si="11"/>
        <v>Unreliable</v>
      </c>
      <c r="AG54" s="68">
        <f>COUNTIF(Builder!$K$7:$N$7,AF54)</f>
        <v>0</v>
      </c>
      <c r="AH54" s="68" t="str">
        <f>IF(AG54=1,Stats!$N69,"")</f>
        <v/>
      </c>
      <c r="AI54" s="68" t="str">
        <f>IF(AG54=1,Stats!$O69,"")</f>
        <v/>
      </c>
      <c r="AJ54" s="68" t="str">
        <f>IF(AG54=1,Stats!$P69,"")</f>
        <v/>
      </c>
      <c r="AK54" s="68" t="str">
        <f>IF(AG54=1,Stats!$Q69,"")</f>
        <v/>
      </c>
      <c r="AL54" s="68" t="str">
        <f>IF(AG54=1,Stats!$R69,"")</f>
        <v/>
      </c>
      <c r="AM54" s="68" t="str">
        <f>IF(AG54=1,Stats!$S69,"")</f>
        <v/>
      </c>
      <c r="AN54" s="68">
        <f t="shared" si="12"/>
        <v>0</v>
      </c>
      <c r="AO54">
        <f t="shared" si="13"/>
        <v>0</v>
      </c>
      <c r="AP54" s="68">
        <f>IF(AO54=0,MAX($AP$2:AP53)+1,0)</f>
        <v>52</v>
      </c>
      <c r="AQ54" s="5" t="str">
        <f t="shared" si="14"/>
        <v>Unreliable</v>
      </c>
      <c r="AR54" s="5" t="str">
        <f t="shared" si="15"/>
        <v>Unreliable</v>
      </c>
      <c r="AS54" s="5"/>
      <c r="AT54">
        <f t="shared" si="16"/>
        <v>52</v>
      </c>
      <c r="AU54" s="5" t="str">
        <f t="shared" si="17"/>
        <v>Unreliable</v>
      </c>
      <c r="AV54" s="68">
        <f>COUNTIF(Builder!$K$8:$N$8,AU54)</f>
        <v>0</v>
      </c>
      <c r="AW54" s="68" t="str">
        <f>IF(AV54=1,Stats!$N69,"")</f>
        <v/>
      </c>
      <c r="AX54" s="68" t="str">
        <f>IF(AV54=1,Stats!$O69,"")</f>
        <v/>
      </c>
      <c r="AY54" s="68" t="str">
        <f>IF(AV54=1,Stats!$P69,"")</f>
        <v/>
      </c>
      <c r="AZ54" s="68" t="str">
        <f>IF(AV54=1,Stats!$Q69,"")</f>
        <v/>
      </c>
      <c r="BA54" s="68" t="str">
        <f>IF(AV54=1,Stats!$R69,"")</f>
        <v/>
      </c>
      <c r="BB54" s="68" t="str">
        <f>IF(AV54=1,Stats!$S69,"")</f>
        <v/>
      </c>
      <c r="BC54" s="68">
        <f t="shared" si="18"/>
        <v>0</v>
      </c>
      <c r="BD54">
        <f t="shared" si="19"/>
        <v>0</v>
      </c>
      <c r="BE54" s="68">
        <f>IF(BD54=0,MAX($BE$2:BE53)+1,0)</f>
        <v>52</v>
      </c>
      <c r="BF54" s="5" t="str">
        <f t="shared" si="20"/>
        <v>Unreliable</v>
      </c>
      <c r="BG54" s="5" t="str">
        <f t="shared" si="21"/>
        <v>Unreliable</v>
      </c>
      <c r="BH54" s="5"/>
      <c r="BI54">
        <f t="shared" si="148"/>
        <v>52</v>
      </c>
      <c r="BJ54" s="5" t="str">
        <f t="shared" si="149"/>
        <v>Unreliable</v>
      </c>
      <c r="BK54" s="68">
        <f>COUNTIF(Builder!$K$9:$N$9,BJ54)</f>
        <v>0</v>
      </c>
      <c r="BL54" s="68" t="str">
        <f>IF(BK54=1,Stats!$N69,"")</f>
        <v/>
      </c>
      <c r="BM54" s="68" t="str">
        <f>IF(BK54=1,Stats!$O69,"")</f>
        <v/>
      </c>
      <c r="BN54" s="68" t="str">
        <f>IF(BK54=1,Stats!$P69,"")</f>
        <v/>
      </c>
      <c r="BO54" s="68" t="str">
        <f>IF(BK54=1,Stats!$Q69,"")</f>
        <v/>
      </c>
      <c r="BP54" s="68" t="str">
        <f>IF(BK54=1,Stats!$R69,"")</f>
        <v/>
      </c>
      <c r="BQ54" s="68" t="str">
        <f>IF(BK54=1,Stats!$S69,"")</f>
        <v/>
      </c>
      <c r="BR54" s="68">
        <f t="shared" si="150"/>
        <v>0</v>
      </c>
      <c r="BS54">
        <f t="shared" si="151"/>
        <v>0</v>
      </c>
      <c r="BT54" s="68">
        <f>IF(BS54=0,MAX(BT$2:BT53)+1,0)</f>
        <v>52</v>
      </c>
      <c r="BU54" s="5" t="str">
        <f t="shared" si="152"/>
        <v>Unreliable</v>
      </c>
      <c r="BV54" s="5" t="str">
        <f t="shared" si="27"/>
        <v>Unreliable</v>
      </c>
      <c r="BX54">
        <f t="shared" si="153"/>
        <v>52</v>
      </c>
      <c r="BY54" s="5" t="str">
        <f t="shared" si="154"/>
        <v>Unreliable</v>
      </c>
      <c r="BZ54" s="68">
        <f>COUNTIF(Builder!$K$10:$N$10,BY54)</f>
        <v>0</v>
      </c>
      <c r="CA54" s="68" t="str">
        <f>IF(BZ54=1,Stats!$N69,"")</f>
        <v/>
      </c>
      <c r="CB54" s="68" t="str">
        <f>IF(BZ54=1,Stats!$O69,"")</f>
        <v/>
      </c>
      <c r="CC54" s="68" t="str">
        <f>IF(BZ54=1,Stats!$P69,"")</f>
        <v/>
      </c>
      <c r="CD54" s="68" t="str">
        <f>IF(BZ54=1,Stats!$Q69,"")</f>
        <v/>
      </c>
      <c r="CE54" s="68" t="str">
        <f>IF(BZ54=1,Stats!$R69,"")</f>
        <v/>
      </c>
      <c r="CF54" s="68" t="str">
        <f>IF(BZ54=1,Stats!$S69,"")</f>
        <v/>
      </c>
      <c r="CG54" s="68">
        <f t="shared" si="155"/>
        <v>0</v>
      </c>
      <c r="CH54">
        <f t="shared" si="156"/>
        <v>0</v>
      </c>
      <c r="CI54" s="68">
        <f>IF(CH54=0,MAX(CI$2:CI53)+1,0)</f>
        <v>52</v>
      </c>
      <c r="CJ54" s="5" t="str">
        <f t="shared" si="157"/>
        <v>Unreliable</v>
      </c>
      <c r="CK54" s="5" t="str">
        <f t="shared" si="33"/>
        <v>Unreliable</v>
      </c>
      <c r="CM54">
        <f t="shared" si="34"/>
        <v>52</v>
      </c>
      <c r="CN54" s="5" t="str">
        <f t="shared" si="35"/>
        <v>Unreliable</v>
      </c>
      <c r="CO54" s="68">
        <f>COUNTIF(Builder!$K$11:$N$11,CN54)</f>
        <v>0</v>
      </c>
      <c r="CP54" s="68" t="str">
        <f>IF(CO54=1,Stats!$N69,"")</f>
        <v/>
      </c>
      <c r="CQ54" s="68" t="str">
        <f>IF(CO54=1,Stats!$O69,"")</f>
        <v/>
      </c>
      <c r="CR54" s="68" t="str">
        <f>IF(CO54=1,Stats!$P69,"")</f>
        <v/>
      </c>
      <c r="CS54" s="68" t="str">
        <f>IF(CO54=1,Stats!$Q69,"")</f>
        <v/>
      </c>
      <c r="CT54" s="68" t="str">
        <f>IF(CO54=1,Stats!$R69,"")</f>
        <v/>
      </c>
      <c r="CU54" s="68" t="str">
        <f>IF(CO54=1,Stats!$S69,"")</f>
        <v/>
      </c>
      <c r="CV54" s="68">
        <f t="shared" si="36"/>
        <v>0</v>
      </c>
      <c r="CW54">
        <f t="shared" si="37"/>
        <v>0</v>
      </c>
      <c r="CX54" s="68">
        <f>IF(CW54=0,MAX(CX$2:CX53)+1,0)</f>
        <v>52</v>
      </c>
      <c r="CY54" s="5" t="str">
        <f t="shared" si="38"/>
        <v>Unreliable</v>
      </c>
      <c r="CZ54" s="5" t="str">
        <f t="shared" si="39"/>
        <v>Unreliable</v>
      </c>
      <c r="DB54">
        <f t="shared" si="158"/>
        <v>52</v>
      </c>
      <c r="DC54" s="5" t="str">
        <f t="shared" si="159"/>
        <v>Unreliable</v>
      </c>
      <c r="DD54" s="68">
        <f>COUNTIF(Builder!$K$12:$N$12,DC54)</f>
        <v>0</v>
      </c>
      <c r="DE54" s="68" t="str">
        <f>IF(DD54=1,Stats!$N69,"")</f>
        <v/>
      </c>
      <c r="DF54" s="68" t="str">
        <f>IF(DD54=1,Stats!$O69,"")</f>
        <v/>
      </c>
      <c r="DG54" s="68" t="str">
        <f>IF(DD54=1,Stats!$P69,"")</f>
        <v/>
      </c>
      <c r="DH54" s="68" t="str">
        <f>IF(DD54=1,Stats!$Q69,"")</f>
        <v/>
      </c>
      <c r="DI54" s="68" t="str">
        <f>IF(DD54=1,Stats!$R69,"")</f>
        <v/>
      </c>
      <c r="DJ54" s="68" t="str">
        <f>IF(DD54=1,Stats!$S69,"")</f>
        <v/>
      </c>
      <c r="DK54" s="68">
        <f t="shared" si="160"/>
        <v>0</v>
      </c>
      <c r="DL54">
        <f t="shared" si="161"/>
        <v>0</v>
      </c>
      <c r="DM54" s="68">
        <f>IF(DL54=0,MAX(DM$2:DM53)+1,0)</f>
        <v>52</v>
      </c>
      <c r="DN54" s="5" t="str">
        <f t="shared" si="162"/>
        <v>Unreliable</v>
      </c>
      <c r="DO54" s="5" t="str">
        <f t="shared" si="45"/>
        <v>Unreliable</v>
      </c>
      <c r="DQ54">
        <f t="shared" si="163"/>
        <v>52</v>
      </c>
      <c r="DR54" s="5" t="str">
        <f t="shared" si="164"/>
        <v>Unreliable</v>
      </c>
      <c r="DS54" s="68">
        <f>COUNTIF(Builder!$K$13:$N$13,DR54)</f>
        <v>0</v>
      </c>
      <c r="DT54" s="68" t="str">
        <f>IF(DS54=1,Stats!$N69,"")</f>
        <v/>
      </c>
      <c r="DU54" s="68" t="str">
        <f>IF(DS54=1,Stats!$O69,"")</f>
        <v/>
      </c>
      <c r="DV54" s="68" t="str">
        <f>IF(DS54=1,Stats!$P69,"")</f>
        <v/>
      </c>
      <c r="DW54" s="68" t="str">
        <f>IF(DS54=1,Stats!$Q69,"")</f>
        <v/>
      </c>
      <c r="DX54" s="68" t="str">
        <f>IF(DS54=1,Stats!$R69,"")</f>
        <v/>
      </c>
      <c r="DY54" s="68" t="str">
        <f>IF(DS54=1,Stats!$S69,"")</f>
        <v/>
      </c>
      <c r="DZ54" s="68">
        <f t="shared" si="165"/>
        <v>0</v>
      </c>
      <c r="EA54">
        <f t="shared" si="166"/>
        <v>0</v>
      </c>
      <c r="EB54" s="68">
        <f>IF(EA54=0,MAX(EB$2:EB53)+1,0)</f>
        <v>52</v>
      </c>
      <c r="EC54" s="5" t="str">
        <f t="shared" si="167"/>
        <v>Unreliable</v>
      </c>
      <c r="ED54" s="5" t="str">
        <f t="shared" si="51"/>
        <v>Unreliable</v>
      </c>
      <c r="EF54">
        <f t="shared" si="52"/>
        <v>52</v>
      </c>
      <c r="EG54" s="5" t="str">
        <f t="shared" si="53"/>
        <v>Unreliable</v>
      </c>
      <c r="EH54" s="68">
        <f>COUNTIF(Builder!$K$14:$N$14,EG54)</f>
        <v>0</v>
      </c>
      <c r="EI54" s="68" t="str">
        <f>IF(EH54=1,Stats!$N69,"")</f>
        <v/>
      </c>
      <c r="EJ54" s="68" t="str">
        <f>IF(EH54=1,Stats!$O69,"")</f>
        <v/>
      </c>
      <c r="EK54" s="68" t="str">
        <f>IF(EH54=1,Stats!$P69,"")</f>
        <v/>
      </c>
      <c r="EL54" s="68" t="str">
        <f>IF(EH54=1,Stats!$Q69,"")</f>
        <v/>
      </c>
      <c r="EM54" s="68" t="str">
        <f>IF(EH54=1,Stats!$R69,"")</f>
        <v/>
      </c>
      <c r="EN54" s="68" t="str">
        <f>IF(EH54=1,Stats!$S69,"")</f>
        <v/>
      </c>
      <c r="EO54" s="68">
        <f t="shared" si="54"/>
        <v>0</v>
      </c>
      <c r="EP54">
        <f t="shared" si="55"/>
        <v>0</v>
      </c>
      <c r="EQ54" s="68">
        <f>IF(EP54=0,MAX(EQ$2:EQ53)+1,0)</f>
        <v>52</v>
      </c>
      <c r="ER54" s="5" t="str">
        <f t="shared" si="56"/>
        <v>Unreliable</v>
      </c>
      <c r="ES54" s="5" t="str">
        <f t="shared" si="57"/>
        <v>Unreliable</v>
      </c>
      <c r="EU54">
        <f t="shared" si="58"/>
        <v>52</v>
      </c>
      <c r="EV54" s="5" t="str">
        <f t="shared" si="59"/>
        <v>Unreliable</v>
      </c>
      <c r="EW54" s="68">
        <f>COUNTIF(Builder!$K$15:$N$15,EV54)</f>
        <v>0</v>
      </c>
      <c r="EX54" s="68" t="str">
        <f>IF(EW54=1,Stats!$N69,"")</f>
        <v/>
      </c>
      <c r="EY54" s="68" t="str">
        <f>IF(EW54=1,Stats!$O69,"")</f>
        <v/>
      </c>
      <c r="EZ54" s="68" t="str">
        <f>IF(EW54=1,Stats!$P69,"")</f>
        <v/>
      </c>
      <c r="FA54" s="68" t="str">
        <f>IF(EW54=1,Stats!$Q69,"")</f>
        <v/>
      </c>
      <c r="FB54" s="68" t="str">
        <f>IF(EW54=1,Stats!$R69,"")</f>
        <v/>
      </c>
      <c r="FC54" s="68" t="str">
        <f>IF(EW54=1,Stats!$S69,"")</f>
        <v/>
      </c>
      <c r="FD54" s="68">
        <f t="shared" si="60"/>
        <v>0</v>
      </c>
      <c r="FE54">
        <f t="shared" si="61"/>
        <v>0</v>
      </c>
      <c r="FF54" s="68">
        <f>IF(FE54=0,MAX(FF$2:FF53)+1,0)</f>
        <v>52</v>
      </c>
      <c r="FG54" s="5" t="str">
        <f t="shared" si="62"/>
        <v>Unreliable</v>
      </c>
      <c r="FH54" s="5" t="str">
        <f t="shared" si="63"/>
        <v>Unreliable</v>
      </c>
      <c r="FJ54">
        <f t="shared" si="64"/>
        <v>52</v>
      </c>
      <c r="FK54" s="5" t="str">
        <f t="shared" si="65"/>
        <v>Unreliable</v>
      </c>
      <c r="FL54" s="68">
        <f>COUNTIF(Builder!$K$16:$N$16,FK54)</f>
        <v>0</v>
      </c>
      <c r="FM54" s="68" t="str">
        <f>IF(FL54=1,Stats!$N69,"")</f>
        <v/>
      </c>
      <c r="FN54" s="68" t="str">
        <f>IF(FL54=1,Stats!$O69,"")</f>
        <v/>
      </c>
      <c r="FO54" s="68" t="str">
        <f>IF(FL54=1,Stats!$P69,"")</f>
        <v/>
      </c>
      <c r="FP54" s="68" t="str">
        <f>IF(FL54=1,Stats!$Q69,"")</f>
        <v/>
      </c>
      <c r="FQ54" s="68" t="str">
        <f>IF(FL54=1,Stats!$R69,"")</f>
        <v/>
      </c>
      <c r="FR54" s="68" t="str">
        <f>IF(FL54=1,Stats!$S69,"")</f>
        <v/>
      </c>
      <c r="FS54" s="68">
        <f t="shared" si="66"/>
        <v>0</v>
      </c>
      <c r="FT54">
        <f t="shared" si="67"/>
        <v>0</v>
      </c>
      <c r="FU54" s="68">
        <f>IF(FT54=0,MAX(FU$2:FU53)+1,0)</f>
        <v>52</v>
      </c>
      <c r="FV54" s="5" t="str">
        <f t="shared" si="68"/>
        <v>Unreliable</v>
      </c>
      <c r="FW54" s="5" t="str">
        <f t="shared" si="69"/>
        <v>Unreliable</v>
      </c>
      <c r="FY54">
        <f t="shared" si="168"/>
        <v>52</v>
      </c>
      <c r="FZ54" s="5" t="str">
        <f t="shared" si="169"/>
        <v>Unreliable</v>
      </c>
      <c r="GA54" s="68">
        <f>COUNTIF(Builder!$K$17:$N$17,FZ54)</f>
        <v>0</v>
      </c>
      <c r="GB54" s="68" t="str">
        <f>IF(GA54=1,Stats!$N69,"")</f>
        <v/>
      </c>
      <c r="GC54" s="68" t="str">
        <f>IF(GA54=1,Stats!$O69,"")</f>
        <v/>
      </c>
      <c r="GD54" s="68" t="str">
        <f>IF(GA54=1,Stats!$P69,"")</f>
        <v/>
      </c>
      <c r="GE54" s="68" t="str">
        <f>IF(GA54=1,Stats!$Q69,"")</f>
        <v/>
      </c>
      <c r="GF54" s="68" t="str">
        <f>IF(GA54=1,Stats!$R69,"")</f>
        <v/>
      </c>
      <c r="GG54" s="68" t="str">
        <f>IF(GA54=1,Stats!$S69,"")</f>
        <v/>
      </c>
      <c r="GH54" s="68">
        <f t="shared" si="170"/>
        <v>0</v>
      </c>
      <c r="GI54">
        <f t="shared" si="171"/>
        <v>0</v>
      </c>
      <c r="GJ54" s="68">
        <f>IF(GI54=0,MAX(GJ$2:GJ53)+1,0)</f>
        <v>52</v>
      </c>
      <c r="GK54" s="5" t="str">
        <f t="shared" si="172"/>
        <v>Unreliable</v>
      </c>
      <c r="GL54" s="5" t="str">
        <f t="shared" si="75"/>
        <v>Unreliable</v>
      </c>
      <c r="GN54">
        <f t="shared" si="76"/>
        <v>52</v>
      </c>
      <c r="GO54" s="5" t="str">
        <f t="shared" si="77"/>
        <v>Unreliable</v>
      </c>
      <c r="GP54" s="68">
        <f>COUNTIF(Builder!$K$18:$N$18,GO54)</f>
        <v>0</v>
      </c>
      <c r="GQ54" s="68" t="str">
        <f>IF(GP54=1,Stats!$N69,"")</f>
        <v/>
      </c>
      <c r="GR54" s="68" t="str">
        <f>IF(GP54=1,Stats!$O69,"")</f>
        <v/>
      </c>
      <c r="GS54" s="68" t="str">
        <f>IF(GP54=1,Stats!$P69,"")</f>
        <v/>
      </c>
      <c r="GT54" s="68" t="str">
        <f>IF(GP54=1,Stats!$Q69,"")</f>
        <v/>
      </c>
      <c r="GU54" s="68" t="str">
        <f>IF(GP54=1,Stats!$R69,"")</f>
        <v/>
      </c>
      <c r="GV54" s="68" t="str">
        <f>IF(GP54=1,Stats!$S69,"")</f>
        <v/>
      </c>
      <c r="GW54" s="68">
        <f t="shared" si="78"/>
        <v>0</v>
      </c>
      <c r="GX54">
        <f t="shared" si="79"/>
        <v>0</v>
      </c>
      <c r="GY54" s="68">
        <f>IF(GX54=0,MAX(GY$2:GY53)+1,0)</f>
        <v>52</v>
      </c>
      <c r="GZ54" s="5" t="str">
        <f t="shared" si="80"/>
        <v>Unreliable</v>
      </c>
      <c r="HA54" s="5" t="str">
        <f t="shared" si="81"/>
        <v>Unreliable</v>
      </c>
      <c r="HC54">
        <f t="shared" si="82"/>
        <v>52</v>
      </c>
      <c r="HD54" s="5" t="str">
        <f t="shared" si="83"/>
        <v>Unreliable</v>
      </c>
      <c r="HE54" s="68">
        <f>COUNTIF(Builder!$K$19:$N$19,HD54)</f>
        <v>0</v>
      </c>
      <c r="HF54" s="68" t="str">
        <f>IF(HE54=1,Stats!$N69,"")</f>
        <v/>
      </c>
      <c r="HG54" s="68" t="str">
        <f>IF(HE54=1,Stats!$O69,"")</f>
        <v/>
      </c>
      <c r="HH54" s="68" t="str">
        <f>IF(HE54=1,Stats!$P69,"")</f>
        <v/>
      </c>
      <c r="HI54" s="68" t="str">
        <f>IF(HE54=1,Stats!$Q69,"")</f>
        <v/>
      </c>
      <c r="HJ54" s="68" t="str">
        <f>IF(HE54=1,Stats!$R69,"")</f>
        <v/>
      </c>
      <c r="HK54" s="68" t="str">
        <f>IF(HE54=1,Stats!$S69,"")</f>
        <v/>
      </c>
      <c r="HL54" s="68">
        <f t="shared" si="84"/>
        <v>0</v>
      </c>
      <c r="HM54">
        <f t="shared" si="85"/>
        <v>0</v>
      </c>
      <c r="HN54" s="68">
        <f>IF(HM54=0,MAX(HN$2:HN53)+1,0)</f>
        <v>52</v>
      </c>
      <c r="HO54" s="5" t="str">
        <f t="shared" si="86"/>
        <v>Unreliable</v>
      </c>
      <c r="HP54" s="5" t="str">
        <f t="shared" si="87"/>
        <v>Unreliable</v>
      </c>
      <c r="HR54">
        <f t="shared" si="88"/>
        <v>52</v>
      </c>
      <c r="HS54" s="5" t="str">
        <f t="shared" si="89"/>
        <v>Unreliable</v>
      </c>
      <c r="HT54" s="68">
        <f>COUNTIF(Builder!$K$20:$N$20,HS54)</f>
        <v>0</v>
      </c>
      <c r="HU54" s="68" t="str">
        <f>IF(HT54=1,Stats!$N69,"")</f>
        <v/>
      </c>
      <c r="HV54" s="68" t="str">
        <f>IF(HT54=1,Stats!$O69,"")</f>
        <v/>
      </c>
      <c r="HW54" s="68" t="str">
        <f>IF(HT54=1,Stats!$P69,"")</f>
        <v/>
      </c>
      <c r="HX54" s="68" t="str">
        <f>IF(HT54=1,Stats!$Q69,"")</f>
        <v/>
      </c>
      <c r="HY54" s="68" t="str">
        <f>IF(HT54=1,Stats!$R69,"")</f>
        <v/>
      </c>
      <c r="HZ54" s="68" t="str">
        <f>IF(HT54=1,Stats!$S69,"")</f>
        <v/>
      </c>
      <c r="IA54" s="68">
        <f t="shared" si="90"/>
        <v>0</v>
      </c>
      <c r="IB54">
        <f t="shared" si="91"/>
        <v>0</v>
      </c>
      <c r="IC54" s="68">
        <f>IF(IB54=0,MAX(IC$2:IC53)+1,0)</f>
        <v>52</v>
      </c>
      <c r="ID54" s="5" t="str">
        <f t="shared" si="92"/>
        <v>Unreliable</v>
      </c>
      <c r="IE54" s="5" t="str">
        <f t="shared" si="93"/>
        <v>Unreliable</v>
      </c>
      <c r="IG54">
        <f t="shared" si="94"/>
        <v>52</v>
      </c>
      <c r="IH54" s="5" t="str">
        <f t="shared" si="95"/>
        <v>Unreliable</v>
      </c>
      <c r="II54" s="68">
        <f>COUNTIF(Builder!$K$21:$N$21,IH54)</f>
        <v>0</v>
      </c>
      <c r="IJ54" s="68" t="str">
        <f>IF(II54=1,Stats!$N69,"")</f>
        <v/>
      </c>
      <c r="IK54" s="68" t="str">
        <f>IF(II54=1,Stats!$O69,"")</f>
        <v/>
      </c>
      <c r="IL54" s="68" t="str">
        <f>IF(II54=1,Stats!$P69,"")</f>
        <v/>
      </c>
      <c r="IM54" s="68" t="str">
        <f>IF(II54=1,Stats!$Q69,"")</f>
        <v/>
      </c>
      <c r="IN54" s="68" t="str">
        <f>IF(II54=1,Stats!$R69,"")</f>
        <v/>
      </c>
      <c r="IO54" s="68" t="str">
        <f>IF(II54=1,Stats!$S69,"")</f>
        <v/>
      </c>
      <c r="IP54" s="68">
        <f t="shared" si="96"/>
        <v>0</v>
      </c>
      <c r="IQ54">
        <f t="shared" si="97"/>
        <v>0</v>
      </c>
      <c r="IR54" s="68">
        <f>IF(IQ54=0,MAX(IR$2:IR53)+1,0)</f>
        <v>52</v>
      </c>
      <c r="IS54" s="5" t="str">
        <f t="shared" si="98"/>
        <v>Unreliable</v>
      </c>
      <c r="IT54" s="5" t="str">
        <f t="shared" si="99"/>
        <v>Unreliable</v>
      </c>
      <c r="IV54">
        <f t="shared" si="100"/>
        <v>52</v>
      </c>
      <c r="IW54" s="5" t="str">
        <f t="shared" si="101"/>
        <v>Unreliable</v>
      </c>
      <c r="IX54" s="68">
        <f>COUNTIF(Builder!$K$22:$N$22,IW54)</f>
        <v>0</v>
      </c>
      <c r="IY54" s="68" t="str">
        <f>IF(IX54=1,Stats!$N69,"")</f>
        <v/>
      </c>
      <c r="IZ54" s="68" t="str">
        <f>IF(IX54=1,Stats!$O69,"")</f>
        <v/>
      </c>
      <c r="JA54" s="68" t="str">
        <f>IF(IX54=1,Stats!$P69,"")</f>
        <v/>
      </c>
      <c r="JB54" s="68" t="str">
        <f>IF(IX54=1,Stats!$Q69,"")</f>
        <v/>
      </c>
      <c r="JC54" s="68" t="str">
        <f>IF(IX54=1,Stats!$R69,"")</f>
        <v/>
      </c>
      <c r="JD54" s="68" t="str">
        <f>IF(IX54=1,Stats!$S69,"")</f>
        <v/>
      </c>
      <c r="JE54" s="68">
        <f t="shared" si="102"/>
        <v>0</v>
      </c>
      <c r="JF54">
        <f t="shared" si="103"/>
        <v>0</v>
      </c>
      <c r="JG54" s="68">
        <f>IF(JF54=0,MAX(JG$2:JG53)+1,0)</f>
        <v>52</v>
      </c>
      <c r="JH54" s="5" t="str">
        <f t="shared" si="104"/>
        <v>Unreliable</v>
      </c>
      <c r="JI54" s="5" t="str">
        <f t="shared" si="105"/>
        <v>Unreliable</v>
      </c>
      <c r="JK54">
        <f t="shared" si="106"/>
        <v>52</v>
      </c>
      <c r="JL54" s="5" t="str">
        <f t="shared" si="107"/>
        <v>Unreliable</v>
      </c>
      <c r="JM54" s="68">
        <f>COUNTIF(Builder!$K$23:$N$23,JL54)</f>
        <v>0</v>
      </c>
      <c r="JN54" s="68" t="str">
        <f>IF(JM54=1,Stats!$N69,"")</f>
        <v/>
      </c>
      <c r="JO54" s="68" t="str">
        <f>IF(JM54=1,Stats!$O69,"")</f>
        <v/>
      </c>
      <c r="JP54" s="68" t="str">
        <f>IF(JM54=1,Stats!$P69,"")</f>
        <v/>
      </c>
      <c r="JQ54" s="68" t="str">
        <f>IF(JM54=1,Stats!$Q69,"")</f>
        <v/>
      </c>
      <c r="JR54" s="68" t="str">
        <f>IF(JM54=1,Stats!$R69,"")</f>
        <v/>
      </c>
      <c r="JS54" s="68" t="str">
        <f>IF(JM54=1,Stats!$S69,"")</f>
        <v/>
      </c>
      <c r="JT54" s="68">
        <f t="shared" si="108"/>
        <v>0</v>
      </c>
      <c r="JU54">
        <f t="shared" si="109"/>
        <v>0</v>
      </c>
      <c r="JV54" s="68">
        <f>IF(JU54=0,MAX(JV$2:JV53)+1,0)</f>
        <v>52</v>
      </c>
      <c r="JW54" s="5" t="str">
        <f t="shared" si="110"/>
        <v>Unreliable</v>
      </c>
      <c r="JX54" s="5" t="str">
        <f t="shared" si="111"/>
        <v>Unreliable</v>
      </c>
      <c r="JZ54">
        <f t="shared" si="112"/>
        <v>52</v>
      </c>
      <c r="KA54" s="5" t="str">
        <f t="shared" si="113"/>
        <v>Unreliable</v>
      </c>
      <c r="KB54" s="68">
        <f>COUNTIF(Builder!$K$24:$N$24,KA54)</f>
        <v>0</v>
      </c>
      <c r="KC54" s="68" t="str">
        <f>IF(KB54=1,Stats!$N69,"")</f>
        <v/>
      </c>
      <c r="KD54" s="68" t="str">
        <f>IF(KB54=1,Stats!$O69,"")</f>
        <v/>
      </c>
      <c r="KE54" s="68" t="str">
        <f>IF(KB54=1,Stats!$P69,"")</f>
        <v/>
      </c>
      <c r="KF54" s="68" t="str">
        <f>IF(KB54=1,Stats!$Q69,"")</f>
        <v/>
      </c>
      <c r="KG54" s="68" t="str">
        <f>IF(KB54=1,Stats!$R69,"")</f>
        <v/>
      </c>
      <c r="KH54" s="68" t="str">
        <f>IF(KB54=1,Stats!$S69,"")</f>
        <v/>
      </c>
      <c r="KI54" s="68">
        <f t="shared" si="114"/>
        <v>0</v>
      </c>
      <c r="KJ54">
        <f t="shared" si="115"/>
        <v>0</v>
      </c>
      <c r="KK54" s="68">
        <f>IF(KJ54=0,MAX(KK$2:KK53)+1,0)</f>
        <v>52</v>
      </c>
      <c r="KL54" s="5" t="str">
        <f t="shared" si="116"/>
        <v>Unreliable</v>
      </c>
      <c r="KM54" s="5" t="str">
        <f t="shared" si="117"/>
        <v>Unreliable</v>
      </c>
      <c r="KO54">
        <f t="shared" si="118"/>
        <v>52</v>
      </c>
      <c r="KP54" s="5" t="str">
        <f t="shared" si="119"/>
        <v>Unreliable</v>
      </c>
      <c r="KQ54" s="68">
        <f>COUNTIF(Builder!$K$25:$N$25,KP54)</f>
        <v>0</v>
      </c>
      <c r="KR54" s="68" t="str">
        <f>IF(KQ54=1,Stats!$N69,"")</f>
        <v/>
      </c>
      <c r="KS54" s="68" t="str">
        <f>IF(KQ54=1,Stats!$O69,"")</f>
        <v/>
      </c>
      <c r="KT54" s="68" t="str">
        <f>IF(KQ54=1,Stats!$P69,"")</f>
        <v/>
      </c>
      <c r="KU54" s="68" t="str">
        <f>IF(KQ54=1,Stats!$Q69,"")</f>
        <v/>
      </c>
      <c r="KV54" s="68" t="str">
        <f>IF(KQ54=1,Stats!$R69,"")</f>
        <v/>
      </c>
      <c r="KW54" s="68" t="str">
        <f>IF(KQ54=1,Stats!$S69,"")</f>
        <v/>
      </c>
      <c r="KX54" s="68">
        <f t="shared" si="120"/>
        <v>0</v>
      </c>
      <c r="KY54">
        <f t="shared" si="121"/>
        <v>0</v>
      </c>
      <c r="KZ54" s="68">
        <f>IF(KY54=0,MAX(KZ$2:KZ53)+1,0)</f>
        <v>52</v>
      </c>
      <c r="LA54" s="5" t="str">
        <f t="shared" si="122"/>
        <v>Unreliable</v>
      </c>
      <c r="LB54" s="5" t="str">
        <f t="shared" si="123"/>
        <v>Unreliable</v>
      </c>
      <c r="LD54">
        <f t="shared" si="124"/>
        <v>52</v>
      </c>
      <c r="LE54" s="5" t="str">
        <f t="shared" si="125"/>
        <v>Unreliable</v>
      </c>
      <c r="LF54" s="68">
        <f>COUNTIF(Builder!$K$26:$N$26,LE54)</f>
        <v>0</v>
      </c>
      <c r="LG54" s="68" t="str">
        <f>IF(LF54=1,Stats!$N69,"")</f>
        <v/>
      </c>
      <c r="LH54" s="68" t="str">
        <f>IF(LF54=1,Stats!$O69,"")</f>
        <v/>
      </c>
      <c r="LI54" s="68" t="str">
        <f>IF(LF54=1,Stats!$P69,"")</f>
        <v/>
      </c>
      <c r="LJ54" s="68" t="str">
        <f>IF(LF54=1,Stats!$Q69,"")</f>
        <v/>
      </c>
      <c r="LK54" s="68" t="str">
        <f>IF(LF54=1,Stats!$R69,"")</f>
        <v/>
      </c>
      <c r="LL54" s="68" t="str">
        <f>IF(LF54=1,Stats!$S69,"")</f>
        <v/>
      </c>
      <c r="LM54" s="68">
        <f t="shared" si="126"/>
        <v>0</v>
      </c>
      <c r="LN54">
        <f t="shared" si="127"/>
        <v>0</v>
      </c>
      <c r="LO54" s="68">
        <f>IF(LN54=0,MAX(LO$2:LO53)+1,0)</f>
        <v>52</v>
      </c>
      <c r="LP54" s="5" t="str">
        <f t="shared" si="128"/>
        <v>Unreliable</v>
      </c>
      <c r="LQ54" s="5" t="str">
        <f t="shared" si="129"/>
        <v>Unreliable</v>
      </c>
      <c r="LS54">
        <f t="shared" si="130"/>
        <v>52</v>
      </c>
      <c r="LT54" s="5" t="str">
        <f t="shared" si="131"/>
        <v>Unreliable</v>
      </c>
      <c r="LU54" s="68">
        <f>COUNTIF(Builder!$K$27:$N$27,LT54)</f>
        <v>0</v>
      </c>
      <c r="LV54" s="68" t="str">
        <f>IF(LU54=1,Stats!$N69,"")</f>
        <v/>
      </c>
      <c r="LW54" s="68" t="str">
        <f>IF(LU54=1,Stats!$O69,"")</f>
        <v/>
      </c>
      <c r="LX54" s="68" t="str">
        <f>IF(LU54=1,Stats!$P69,"")</f>
        <v/>
      </c>
      <c r="LY54" s="68" t="str">
        <f>IF(LU54=1,Stats!$Q69,"")</f>
        <v/>
      </c>
      <c r="LZ54" s="68" t="str">
        <f>IF(LU54=1,Stats!$R69,"")</f>
        <v/>
      </c>
      <c r="MA54" s="68" t="str">
        <f>IF(LU54=1,Stats!$S69,"")</f>
        <v/>
      </c>
      <c r="MB54" s="68">
        <f t="shared" si="132"/>
        <v>0</v>
      </c>
      <c r="MC54">
        <f t="shared" si="133"/>
        <v>0</v>
      </c>
      <c r="MD54" s="68">
        <f>IF(MC54=0,MAX(MD$2:MD53)+1,0)</f>
        <v>52</v>
      </c>
      <c r="ME54" s="5" t="str">
        <f t="shared" si="134"/>
        <v>Unreliable</v>
      </c>
      <c r="MF54" s="5" t="str">
        <f t="shared" si="135"/>
        <v>Unreliable</v>
      </c>
      <c r="MH54">
        <f t="shared" si="136"/>
        <v>52</v>
      </c>
      <c r="MI54" s="5" t="str">
        <f t="shared" si="137"/>
        <v>Unreliable</v>
      </c>
      <c r="MJ54" s="68">
        <f>COUNTIF(Builder!$K$28:$N$28,MI54)</f>
        <v>0</v>
      </c>
      <c r="MK54" s="68" t="str">
        <f>IF(MJ54=1,Stats!$N69,"")</f>
        <v/>
      </c>
      <c r="ML54" s="68" t="str">
        <f>IF(MJ54=1,Stats!$O69,"")</f>
        <v/>
      </c>
      <c r="MM54" s="68" t="str">
        <f>IF(MJ54=1,Stats!$P69,"")</f>
        <v/>
      </c>
      <c r="MN54" s="68" t="str">
        <f>IF(MJ54=1,Stats!$Q69,"")</f>
        <v/>
      </c>
      <c r="MO54" s="68" t="str">
        <f>IF(MJ54=1,Stats!$R69,"")</f>
        <v/>
      </c>
      <c r="MP54" s="68" t="str">
        <f>IF(MJ54=1,Stats!$S69,"")</f>
        <v/>
      </c>
      <c r="MQ54" s="68">
        <f t="shared" si="138"/>
        <v>0</v>
      </c>
      <c r="MR54">
        <f t="shared" si="139"/>
        <v>0</v>
      </c>
      <c r="MS54" s="68">
        <f>IF(MR54=0,MAX(MS$2:MS53)+1,0)</f>
        <v>52</v>
      </c>
      <c r="MT54" s="5" t="str">
        <f t="shared" si="140"/>
        <v>Unreliable</v>
      </c>
      <c r="MU54" s="5" t="str">
        <f t="shared" si="141"/>
        <v>Unreliable</v>
      </c>
      <c r="MW54">
        <f t="shared" si="142"/>
        <v>52</v>
      </c>
      <c r="MX54" s="5" t="str">
        <f t="shared" si="143"/>
        <v>Unreliable</v>
      </c>
      <c r="MY54" s="68">
        <f>COUNTIF(Builder!$K$29:$N$29,MX54)</f>
        <v>0</v>
      </c>
      <c r="MZ54" s="68" t="str">
        <f>IF(MY54=1,Stats!$N69,"")</f>
        <v/>
      </c>
      <c r="NA54" s="68" t="str">
        <f>IF(MY54=1,Stats!$O69,"")</f>
        <v/>
      </c>
      <c r="NB54" s="68" t="str">
        <f>IF(MY54=1,Stats!$P69,"")</f>
        <v/>
      </c>
      <c r="NC54" s="68" t="str">
        <f>IF(MY54=1,Stats!$Q69,"")</f>
        <v/>
      </c>
      <c r="ND54" s="68" t="str">
        <f>IF(MY54=1,Stats!$R69,"")</f>
        <v/>
      </c>
      <c r="NE54" s="68" t="str">
        <f>IF(MY54=1,Stats!$S69,"")</f>
        <v/>
      </c>
      <c r="NF54" s="68">
        <f t="shared" si="144"/>
        <v>0</v>
      </c>
      <c r="NG54">
        <f t="shared" si="145"/>
        <v>0</v>
      </c>
      <c r="NH54" s="68">
        <f>IF(NG54=0,MAX(NH$2:NH53)+1,0)</f>
        <v>52</v>
      </c>
      <c r="NI54" s="5" t="str">
        <f t="shared" si="146"/>
        <v>Unreliable</v>
      </c>
      <c r="NJ54" s="5" t="str">
        <f t="shared" si="147"/>
        <v>Unreliable</v>
      </c>
    </row>
    <row r="55" spans="1:374" ht="15" x14ac:dyDescent="0.3">
      <c r="A55">
        <v>53</v>
      </c>
      <c r="B55" t="s">
        <v>206</v>
      </c>
      <c r="C55" s="68">
        <f>COUNTIF(Builder!$K$5:$N$5,B55)</f>
        <v>0</v>
      </c>
      <c r="D55" s="68" t="str">
        <f>IF(C55=1,Stats!$N70,"")</f>
        <v/>
      </c>
      <c r="E55" s="68" t="str">
        <f>IF(C55=1,Stats!$O70,"")</f>
        <v/>
      </c>
      <c r="F55" s="68" t="str">
        <f>IF(C55=1,Stats!$P70,"")</f>
        <v/>
      </c>
      <c r="G55" s="68" t="str">
        <f>IF(C55=1,Stats!$Q70,"")</f>
        <v/>
      </c>
      <c r="H55" s="68" t="str">
        <f>IF(C55=1,Stats!$R70,"")</f>
        <v/>
      </c>
      <c r="I55" s="68" t="str">
        <f>IF(C55=1,Stats!$S70,"")</f>
        <v/>
      </c>
      <c r="J55" s="68">
        <f t="shared" si="0"/>
        <v>0</v>
      </c>
      <c r="K55">
        <f t="shared" si="1"/>
        <v>0</v>
      </c>
      <c r="L55" s="68">
        <f>IF(K55=0,MAX($L$2:L54)+1,0)</f>
        <v>53</v>
      </c>
      <c r="M55" s="5" t="str">
        <f t="shared" si="2"/>
        <v>Warbeasts</v>
      </c>
      <c r="N55" s="5" t="str">
        <f t="shared" si="3"/>
        <v>Warbeasts</v>
      </c>
      <c r="P55">
        <f t="shared" si="4"/>
        <v>53</v>
      </c>
      <c r="Q55" s="5" t="str">
        <f t="shared" si="5"/>
        <v>Warbeasts</v>
      </c>
      <c r="R55" s="68">
        <f>COUNTIF(Builder!$K$6:$N$6,Q55)</f>
        <v>0</v>
      </c>
      <c r="S55" s="68" t="str">
        <f>IF(R55=1,Stats!$N70,"")</f>
        <v/>
      </c>
      <c r="T55" s="68" t="str">
        <f>IF(R55=1,Stats!$O70,"")</f>
        <v/>
      </c>
      <c r="U55" s="68" t="str">
        <f>IF(R55=1,Stats!$P70,"")</f>
        <v/>
      </c>
      <c r="V55" s="68" t="str">
        <f>IF(R55=1,Stats!$Q70,"")</f>
        <v/>
      </c>
      <c r="W55" s="68" t="str">
        <f>IF(R55=1,Stats!$R70,"")</f>
        <v/>
      </c>
      <c r="X55" s="68" t="str">
        <f>IF(R55=1,Stats!$S70,"")</f>
        <v/>
      </c>
      <c r="Y55" s="68">
        <f t="shared" si="6"/>
        <v>0</v>
      </c>
      <c r="Z55">
        <f t="shared" si="7"/>
        <v>0</v>
      </c>
      <c r="AA55" s="68">
        <f>IF(Z55=0,MAX($AA$2:AA54)+1,0)</f>
        <v>53</v>
      </c>
      <c r="AB55" s="5" t="str">
        <f t="shared" si="8"/>
        <v>Warbeasts</v>
      </c>
      <c r="AC55" s="5" t="str">
        <f t="shared" si="9"/>
        <v>Warbeasts</v>
      </c>
      <c r="AE55">
        <f t="shared" si="10"/>
        <v>53</v>
      </c>
      <c r="AF55" s="5" t="str">
        <f t="shared" si="11"/>
        <v>Warbeasts</v>
      </c>
      <c r="AG55" s="68">
        <f>COUNTIF(Builder!$K$7:$N$7,AF55)</f>
        <v>0</v>
      </c>
      <c r="AH55" s="68" t="str">
        <f>IF(AG55=1,Stats!$N70,"")</f>
        <v/>
      </c>
      <c r="AI55" s="68" t="str">
        <f>IF(AG55=1,Stats!$O70,"")</f>
        <v/>
      </c>
      <c r="AJ55" s="68" t="str">
        <f>IF(AG55=1,Stats!$P70,"")</f>
        <v/>
      </c>
      <c r="AK55" s="68" t="str">
        <f>IF(AG55=1,Stats!$Q70,"")</f>
        <v/>
      </c>
      <c r="AL55" s="68" t="str">
        <f>IF(AG55=1,Stats!$R70,"")</f>
        <v/>
      </c>
      <c r="AM55" s="68" t="str">
        <f>IF(AG55=1,Stats!$S70,"")</f>
        <v/>
      </c>
      <c r="AN55" s="68">
        <f t="shared" si="12"/>
        <v>0</v>
      </c>
      <c r="AO55">
        <f t="shared" si="13"/>
        <v>0</v>
      </c>
      <c r="AP55" s="68">
        <f>IF(AO55=0,MAX($AP$2:AP54)+1,0)</f>
        <v>53</v>
      </c>
      <c r="AQ55" s="5" t="str">
        <f t="shared" si="14"/>
        <v>Warbeasts</v>
      </c>
      <c r="AR55" s="5" t="str">
        <f t="shared" si="15"/>
        <v>Warbeasts</v>
      </c>
      <c r="AT55">
        <f t="shared" si="16"/>
        <v>53</v>
      </c>
      <c r="AU55" s="5" t="str">
        <f t="shared" si="17"/>
        <v>Warbeasts</v>
      </c>
      <c r="AV55" s="68">
        <f>COUNTIF(Builder!$K$8:$N$8,AU55)</f>
        <v>0</v>
      </c>
      <c r="AW55" s="68" t="str">
        <f>IF(AV55=1,Stats!$N70,"")</f>
        <v/>
      </c>
      <c r="AX55" s="68" t="str">
        <f>IF(AV55=1,Stats!$O70,"")</f>
        <v/>
      </c>
      <c r="AY55" s="68" t="str">
        <f>IF(AV55=1,Stats!$P70,"")</f>
        <v/>
      </c>
      <c r="AZ55" s="68" t="str">
        <f>IF(AV55=1,Stats!$Q70,"")</f>
        <v/>
      </c>
      <c r="BA55" s="68" t="str">
        <f>IF(AV55=1,Stats!$R70,"")</f>
        <v/>
      </c>
      <c r="BB55" s="68" t="str">
        <f>IF(AV55=1,Stats!$S70,"")</f>
        <v/>
      </c>
      <c r="BC55" s="68">
        <f t="shared" si="18"/>
        <v>0</v>
      </c>
      <c r="BD55">
        <f t="shared" si="19"/>
        <v>0</v>
      </c>
      <c r="BE55" s="68">
        <f>IF(BD55=0,MAX($BE$2:BE54)+1,0)</f>
        <v>53</v>
      </c>
      <c r="BF55" s="5" t="str">
        <f t="shared" si="20"/>
        <v>Warbeasts</v>
      </c>
      <c r="BG55" s="5" t="str">
        <f t="shared" si="21"/>
        <v>Warbeasts</v>
      </c>
      <c r="BI55">
        <f t="shared" si="148"/>
        <v>53</v>
      </c>
      <c r="BJ55" s="5" t="str">
        <f t="shared" si="149"/>
        <v>Warbeasts</v>
      </c>
      <c r="BK55" s="68">
        <f>COUNTIF(Builder!$K$9:$N$9,BJ55)</f>
        <v>0</v>
      </c>
      <c r="BL55" s="68" t="str">
        <f>IF(BK55=1,Stats!$N70,"")</f>
        <v/>
      </c>
      <c r="BM55" s="68" t="str">
        <f>IF(BK55=1,Stats!$O70,"")</f>
        <v/>
      </c>
      <c r="BN55" s="68" t="str">
        <f>IF(BK55=1,Stats!$P70,"")</f>
        <v/>
      </c>
      <c r="BO55" s="68" t="str">
        <f>IF(BK55=1,Stats!$Q70,"")</f>
        <v/>
      </c>
      <c r="BP55" s="68" t="str">
        <f>IF(BK55=1,Stats!$R70,"")</f>
        <v/>
      </c>
      <c r="BQ55" s="68" t="str">
        <f>IF(BK55=1,Stats!$S70,"")</f>
        <v/>
      </c>
      <c r="BR55" s="68">
        <f t="shared" si="150"/>
        <v>0</v>
      </c>
      <c r="BS55">
        <f t="shared" si="151"/>
        <v>0</v>
      </c>
      <c r="BT55" s="68">
        <f>IF(BS55=0,MAX(BT$2:BT54)+1,0)</f>
        <v>53</v>
      </c>
      <c r="BU55" s="5" t="str">
        <f t="shared" si="152"/>
        <v>Warbeasts</v>
      </c>
      <c r="BV55" s="5" t="str">
        <f t="shared" si="27"/>
        <v>Warbeasts</v>
      </c>
      <c r="BX55">
        <f t="shared" si="153"/>
        <v>53</v>
      </c>
      <c r="BY55" s="5" t="str">
        <f t="shared" si="154"/>
        <v>Warbeasts</v>
      </c>
      <c r="BZ55" s="68">
        <f>COUNTIF(Builder!$K$10:$N$10,BY55)</f>
        <v>0</v>
      </c>
      <c r="CA55" s="68" t="str">
        <f>IF(BZ55=1,Stats!$N70,"")</f>
        <v/>
      </c>
      <c r="CB55" s="68" t="str">
        <f>IF(BZ55=1,Stats!$O70,"")</f>
        <v/>
      </c>
      <c r="CC55" s="68" t="str">
        <f>IF(BZ55=1,Stats!$P70,"")</f>
        <v/>
      </c>
      <c r="CD55" s="68" t="str">
        <f>IF(BZ55=1,Stats!$Q70,"")</f>
        <v/>
      </c>
      <c r="CE55" s="68" t="str">
        <f>IF(BZ55=1,Stats!$R70,"")</f>
        <v/>
      </c>
      <c r="CF55" s="68" t="str">
        <f>IF(BZ55=1,Stats!$S70,"")</f>
        <v/>
      </c>
      <c r="CG55" s="68">
        <f t="shared" si="155"/>
        <v>0</v>
      </c>
      <c r="CH55">
        <f t="shared" si="156"/>
        <v>0</v>
      </c>
      <c r="CI55" s="68">
        <f>IF(CH55=0,MAX(CI$2:CI54)+1,0)</f>
        <v>53</v>
      </c>
      <c r="CJ55" s="5" t="str">
        <f t="shared" si="157"/>
        <v>Warbeasts</v>
      </c>
      <c r="CK55" s="5" t="str">
        <f t="shared" si="33"/>
        <v>Warbeasts</v>
      </c>
      <c r="CM55">
        <f t="shared" si="34"/>
        <v>53</v>
      </c>
      <c r="CN55" s="5" t="str">
        <f t="shared" si="35"/>
        <v>Warbeasts</v>
      </c>
      <c r="CO55" s="68">
        <f>COUNTIF(Builder!$K$11:$N$11,CN55)</f>
        <v>0</v>
      </c>
      <c r="CP55" s="68" t="str">
        <f>IF(CO55=1,Stats!$N70,"")</f>
        <v/>
      </c>
      <c r="CQ55" s="68" t="str">
        <f>IF(CO55=1,Stats!$O70,"")</f>
        <v/>
      </c>
      <c r="CR55" s="68" t="str">
        <f>IF(CO55=1,Stats!$P70,"")</f>
        <v/>
      </c>
      <c r="CS55" s="68" t="str">
        <f>IF(CO55=1,Stats!$Q70,"")</f>
        <v/>
      </c>
      <c r="CT55" s="68" t="str">
        <f>IF(CO55=1,Stats!$R70,"")</f>
        <v/>
      </c>
      <c r="CU55" s="68" t="str">
        <f>IF(CO55=1,Stats!$S70,"")</f>
        <v/>
      </c>
      <c r="CV55" s="68">
        <f t="shared" si="36"/>
        <v>0</v>
      </c>
      <c r="CW55">
        <f t="shared" si="37"/>
        <v>0</v>
      </c>
      <c r="CX55" s="68">
        <f>IF(CW55=0,MAX(CX$2:CX54)+1,0)</f>
        <v>53</v>
      </c>
      <c r="CY55" s="5" t="str">
        <f t="shared" si="38"/>
        <v>Warbeasts</v>
      </c>
      <c r="CZ55" s="5" t="str">
        <f t="shared" si="39"/>
        <v>Warbeasts</v>
      </c>
      <c r="DB55">
        <f t="shared" si="158"/>
        <v>53</v>
      </c>
      <c r="DC55" s="5" t="str">
        <f t="shared" si="159"/>
        <v>Warbeasts</v>
      </c>
      <c r="DD55" s="68">
        <f>COUNTIF(Builder!$K$12:$N$12,DC55)</f>
        <v>0</v>
      </c>
      <c r="DE55" s="68" t="str">
        <f>IF(DD55=1,Stats!$N70,"")</f>
        <v/>
      </c>
      <c r="DF55" s="68" t="str">
        <f>IF(DD55=1,Stats!$O70,"")</f>
        <v/>
      </c>
      <c r="DG55" s="68" t="str">
        <f>IF(DD55=1,Stats!$P70,"")</f>
        <v/>
      </c>
      <c r="DH55" s="68" t="str">
        <f>IF(DD55=1,Stats!$Q70,"")</f>
        <v/>
      </c>
      <c r="DI55" s="68" t="str">
        <f>IF(DD55=1,Stats!$R70,"")</f>
        <v/>
      </c>
      <c r="DJ55" s="68" t="str">
        <f>IF(DD55=1,Stats!$S70,"")</f>
        <v/>
      </c>
      <c r="DK55" s="68">
        <f t="shared" si="160"/>
        <v>0</v>
      </c>
      <c r="DL55">
        <f t="shared" si="161"/>
        <v>0</v>
      </c>
      <c r="DM55" s="68">
        <f>IF(DL55=0,MAX(DM$2:DM54)+1,0)</f>
        <v>53</v>
      </c>
      <c r="DN55" s="5" t="str">
        <f t="shared" si="162"/>
        <v>Warbeasts</v>
      </c>
      <c r="DO55" s="5" t="str">
        <f t="shared" si="45"/>
        <v>Warbeasts</v>
      </c>
      <c r="DQ55">
        <f t="shared" si="163"/>
        <v>53</v>
      </c>
      <c r="DR55" s="5" t="str">
        <f t="shared" si="164"/>
        <v>Warbeasts</v>
      </c>
      <c r="DS55" s="68">
        <f>COUNTIF(Builder!$K$13:$N$13,DR55)</f>
        <v>0</v>
      </c>
      <c r="DT55" s="68" t="str">
        <f>IF(DS55=1,Stats!$N70,"")</f>
        <v/>
      </c>
      <c r="DU55" s="68" t="str">
        <f>IF(DS55=1,Stats!$O70,"")</f>
        <v/>
      </c>
      <c r="DV55" s="68" t="str">
        <f>IF(DS55=1,Stats!$P70,"")</f>
        <v/>
      </c>
      <c r="DW55" s="68" t="str">
        <f>IF(DS55=1,Stats!$Q70,"")</f>
        <v/>
      </c>
      <c r="DX55" s="68" t="str">
        <f>IF(DS55=1,Stats!$R70,"")</f>
        <v/>
      </c>
      <c r="DY55" s="68" t="str">
        <f>IF(DS55=1,Stats!$S70,"")</f>
        <v/>
      </c>
      <c r="DZ55" s="68">
        <f t="shared" si="165"/>
        <v>0</v>
      </c>
      <c r="EA55">
        <f t="shared" si="166"/>
        <v>0</v>
      </c>
      <c r="EB55" s="68">
        <f>IF(EA55=0,MAX(EB$2:EB54)+1,0)</f>
        <v>53</v>
      </c>
      <c r="EC55" s="5" t="str">
        <f t="shared" si="167"/>
        <v>Warbeasts</v>
      </c>
      <c r="ED55" s="5" t="str">
        <f t="shared" si="51"/>
        <v>Warbeasts</v>
      </c>
      <c r="EF55">
        <f t="shared" si="52"/>
        <v>53</v>
      </c>
      <c r="EG55" s="5" t="str">
        <f t="shared" si="53"/>
        <v>Warbeasts</v>
      </c>
      <c r="EH55" s="68">
        <f>COUNTIF(Builder!$K$14:$N$14,EG55)</f>
        <v>0</v>
      </c>
      <c r="EI55" s="68" t="str">
        <f>IF(EH55=1,Stats!$N70,"")</f>
        <v/>
      </c>
      <c r="EJ55" s="68" t="str">
        <f>IF(EH55=1,Stats!$O70,"")</f>
        <v/>
      </c>
      <c r="EK55" s="68" t="str">
        <f>IF(EH55=1,Stats!$P70,"")</f>
        <v/>
      </c>
      <c r="EL55" s="68" t="str">
        <f>IF(EH55=1,Stats!$Q70,"")</f>
        <v/>
      </c>
      <c r="EM55" s="68" t="str">
        <f>IF(EH55=1,Stats!$R70,"")</f>
        <v/>
      </c>
      <c r="EN55" s="68" t="str">
        <f>IF(EH55=1,Stats!$S70,"")</f>
        <v/>
      </c>
      <c r="EO55" s="68">
        <f t="shared" si="54"/>
        <v>0</v>
      </c>
      <c r="EP55">
        <f t="shared" si="55"/>
        <v>0</v>
      </c>
      <c r="EQ55" s="68">
        <f>IF(EP55=0,MAX(EQ$2:EQ54)+1,0)</f>
        <v>53</v>
      </c>
      <c r="ER55" s="5" t="str">
        <f t="shared" si="56"/>
        <v>Warbeasts</v>
      </c>
      <c r="ES55" s="5" t="str">
        <f t="shared" si="57"/>
        <v>Warbeasts</v>
      </c>
      <c r="EU55">
        <f t="shared" si="58"/>
        <v>53</v>
      </c>
      <c r="EV55" s="5" t="str">
        <f t="shared" si="59"/>
        <v>Warbeasts</v>
      </c>
      <c r="EW55" s="68">
        <f>COUNTIF(Builder!$K$15:$N$15,EV55)</f>
        <v>0</v>
      </c>
      <c r="EX55" s="68" t="str">
        <f>IF(EW55=1,Stats!$N70,"")</f>
        <v/>
      </c>
      <c r="EY55" s="68" t="str">
        <f>IF(EW55=1,Stats!$O70,"")</f>
        <v/>
      </c>
      <c r="EZ55" s="68" t="str">
        <f>IF(EW55=1,Stats!$P70,"")</f>
        <v/>
      </c>
      <c r="FA55" s="68" t="str">
        <f>IF(EW55=1,Stats!$Q70,"")</f>
        <v/>
      </c>
      <c r="FB55" s="68" t="str">
        <f>IF(EW55=1,Stats!$R70,"")</f>
        <v/>
      </c>
      <c r="FC55" s="68" t="str">
        <f>IF(EW55=1,Stats!$S70,"")</f>
        <v/>
      </c>
      <c r="FD55" s="68">
        <f t="shared" si="60"/>
        <v>0</v>
      </c>
      <c r="FE55">
        <f t="shared" si="61"/>
        <v>0</v>
      </c>
      <c r="FF55" s="68">
        <f>IF(FE55=0,MAX(FF$2:FF54)+1,0)</f>
        <v>53</v>
      </c>
      <c r="FG55" s="5" t="str">
        <f t="shared" si="62"/>
        <v>Warbeasts</v>
      </c>
      <c r="FH55" s="5" t="str">
        <f t="shared" si="63"/>
        <v>Warbeasts</v>
      </c>
      <c r="FJ55">
        <f t="shared" si="64"/>
        <v>53</v>
      </c>
      <c r="FK55" s="5" t="str">
        <f t="shared" si="65"/>
        <v>Warbeasts</v>
      </c>
      <c r="FL55" s="68">
        <f>COUNTIF(Builder!$K$16:$N$16,FK55)</f>
        <v>0</v>
      </c>
      <c r="FM55" s="68" t="str">
        <f>IF(FL55=1,Stats!$N70,"")</f>
        <v/>
      </c>
      <c r="FN55" s="68" t="str">
        <f>IF(FL55=1,Stats!$O70,"")</f>
        <v/>
      </c>
      <c r="FO55" s="68" t="str">
        <f>IF(FL55=1,Stats!$P70,"")</f>
        <v/>
      </c>
      <c r="FP55" s="68" t="str">
        <f>IF(FL55=1,Stats!$Q70,"")</f>
        <v/>
      </c>
      <c r="FQ55" s="68" t="str">
        <f>IF(FL55=1,Stats!$R70,"")</f>
        <v/>
      </c>
      <c r="FR55" s="68" t="str">
        <f>IF(FL55=1,Stats!$S70,"")</f>
        <v/>
      </c>
      <c r="FS55" s="68">
        <f t="shared" si="66"/>
        <v>0</v>
      </c>
      <c r="FT55">
        <f t="shared" si="67"/>
        <v>0</v>
      </c>
      <c r="FU55" s="68">
        <f>IF(FT55=0,MAX(FU$2:FU54)+1,0)</f>
        <v>53</v>
      </c>
      <c r="FV55" s="5" t="str">
        <f t="shared" si="68"/>
        <v>Warbeasts</v>
      </c>
      <c r="FW55" s="5" t="str">
        <f t="shared" si="69"/>
        <v>Warbeasts</v>
      </c>
      <c r="FY55">
        <f t="shared" si="168"/>
        <v>53</v>
      </c>
      <c r="FZ55" s="5" t="str">
        <f t="shared" si="169"/>
        <v>Warbeasts</v>
      </c>
      <c r="GA55" s="68">
        <f>COUNTIF(Builder!$K$17:$N$17,FZ55)</f>
        <v>0</v>
      </c>
      <c r="GB55" s="68" t="str">
        <f>IF(GA55=1,Stats!$N70,"")</f>
        <v/>
      </c>
      <c r="GC55" s="68" t="str">
        <f>IF(GA55=1,Stats!$O70,"")</f>
        <v/>
      </c>
      <c r="GD55" s="68" t="str">
        <f>IF(GA55=1,Stats!$P70,"")</f>
        <v/>
      </c>
      <c r="GE55" s="68" t="str">
        <f>IF(GA55=1,Stats!$Q70,"")</f>
        <v/>
      </c>
      <c r="GF55" s="68" t="str">
        <f>IF(GA55=1,Stats!$R70,"")</f>
        <v/>
      </c>
      <c r="GG55" s="68" t="str">
        <f>IF(GA55=1,Stats!$S70,"")</f>
        <v/>
      </c>
      <c r="GH55" s="68">
        <f t="shared" si="170"/>
        <v>0</v>
      </c>
      <c r="GI55">
        <f t="shared" si="171"/>
        <v>0</v>
      </c>
      <c r="GJ55" s="68">
        <f>IF(GI55=0,MAX(GJ$2:GJ54)+1,0)</f>
        <v>53</v>
      </c>
      <c r="GK55" s="5" t="str">
        <f t="shared" si="172"/>
        <v>Warbeasts</v>
      </c>
      <c r="GL55" s="5" t="str">
        <f t="shared" si="75"/>
        <v>Warbeasts</v>
      </c>
      <c r="GN55">
        <f t="shared" si="76"/>
        <v>53</v>
      </c>
      <c r="GO55" s="5" t="str">
        <f t="shared" si="77"/>
        <v>Warbeasts</v>
      </c>
      <c r="GP55" s="68">
        <f>COUNTIF(Builder!$K$18:$N$18,GO55)</f>
        <v>0</v>
      </c>
      <c r="GQ55" s="68" t="str">
        <f>IF(GP55=1,Stats!$N70,"")</f>
        <v/>
      </c>
      <c r="GR55" s="68" t="str">
        <f>IF(GP55=1,Stats!$O70,"")</f>
        <v/>
      </c>
      <c r="GS55" s="68" t="str">
        <f>IF(GP55=1,Stats!$P70,"")</f>
        <v/>
      </c>
      <c r="GT55" s="68" t="str">
        <f>IF(GP55=1,Stats!$Q70,"")</f>
        <v/>
      </c>
      <c r="GU55" s="68" t="str">
        <f>IF(GP55=1,Stats!$R70,"")</f>
        <v/>
      </c>
      <c r="GV55" s="68" t="str">
        <f>IF(GP55=1,Stats!$S70,"")</f>
        <v/>
      </c>
      <c r="GW55" s="68">
        <f t="shared" si="78"/>
        <v>0</v>
      </c>
      <c r="GX55">
        <f t="shared" si="79"/>
        <v>0</v>
      </c>
      <c r="GY55" s="68">
        <f>IF(GX55=0,MAX(GY$2:GY54)+1,0)</f>
        <v>53</v>
      </c>
      <c r="GZ55" s="5" t="str">
        <f t="shared" si="80"/>
        <v>Warbeasts</v>
      </c>
      <c r="HA55" s="5" t="str">
        <f t="shared" si="81"/>
        <v>Warbeasts</v>
      </c>
      <c r="HC55">
        <f t="shared" si="82"/>
        <v>53</v>
      </c>
      <c r="HD55" s="5" t="str">
        <f t="shared" si="83"/>
        <v>Warbeasts</v>
      </c>
      <c r="HE55" s="68">
        <f>COUNTIF(Builder!$K$19:$N$19,HD55)</f>
        <v>0</v>
      </c>
      <c r="HF55" s="68" t="str">
        <f>IF(HE55=1,Stats!$N70,"")</f>
        <v/>
      </c>
      <c r="HG55" s="68" t="str">
        <f>IF(HE55=1,Stats!$O70,"")</f>
        <v/>
      </c>
      <c r="HH55" s="68" t="str">
        <f>IF(HE55=1,Stats!$P70,"")</f>
        <v/>
      </c>
      <c r="HI55" s="68" t="str">
        <f>IF(HE55=1,Stats!$Q70,"")</f>
        <v/>
      </c>
      <c r="HJ55" s="68" t="str">
        <f>IF(HE55=1,Stats!$R70,"")</f>
        <v/>
      </c>
      <c r="HK55" s="68" t="str">
        <f>IF(HE55=1,Stats!$S70,"")</f>
        <v/>
      </c>
      <c r="HL55" s="68">
        <f t="shared" si="84"/>
        <v>0</v>
      </c>
      <c r="HM55">
        <f t="shared" si="85"/>
        <v>0</v>
      </c>
      <c r="HN55" s="68">
        <f>IF(HM55=0,MAX(HN$2:HN54)+1,0)</f>
        <v>53</v>
      </c>
      <c r="HO55" s="5" t="str">
        <f t="shared" si="86"/>
        <v>Warbeasts</v>
      </c>
      <c r="HP55" s="5" t="str">
        <f t="shared" si="87"/>
        <v>Warbeasts</v>
      </c>
      <c r="HR55">
        <f t="shared" si="88"/>
        <v>53</v>
      </c>
      <c r="HS55" s="5" t="str">
        <f t="shared" si="89"/>
        <v>Warbeasts</v>
      </c>
      <c r="HT55" s="68">
        <f>COUNTIF(Builder!$K$20:$N$20,HS55)</f>
        <v>0</v>
      </c>
      <c r="HU55" s="68" t="str">
        <f>IF(HT55=1,Stats!$N70,"")</f>
        <v/>
      </c>
      <c r="HV55" s="68" t="str">
        <f>IF(HT55=1,Stats!$O70,"")</f>
        <v/>
      </c>
      <c r="HW55" s="68" t="str">
        <f>IF(HT55=1,Stats!$P70,"")</f>
        <v/>
      </c>
      <c r="HX55" s="68" t="str">
        <f>IF(HT55=1,Stats!$Q70,"")</f>
        <v/>
      </c>
      <c r="HY55" s="68" t="str">
        <f>IF(HT55=1,Stats!$R70,"")</f>
        <v/>
      </c>
      <c r="HZ55" s="68" t="str">
        <f>IF(HT55=1,Stats!$S70,"")</f>
        <v/>
      </c>
      <c r="IA55" s="68">
        <f t="shared" si="90"/>
        <v>0</v>
      </c>
      <c r="IB55">
        <f t="shared" si="91"/>
        <v>0</v>
      </c>
      <c r="IC55" s="68">
        <f>IF(IB55=0,MAX(IC$2:IC54)+1,0)</f>
        <v>53</v>
      </c>
      <c r="ID55" s="5" t="str">
        <f t="shared" si="92"/>
        <v>Warbeasts</v>
      </c>
      <c r="IE55" s="5" t="str">
        <f t="shared" si="93"/>
        <v>Warbeasts</v>
      </c>
      <c r="IG55">
        <f t="shared" si="94"/>
        <v>53</v>
      </c>
      <c r="IH55" s="5" t="str">
        <f t="shared" si="95"/>
        <v>Warbeasts</v>
      </c>
      <c r="II55" s="68">
        <f>COUNTIF(Builder!$K$21:$N$21,IH55)</f>
        <v>0</v>
      </c>
      <c r="IJ55" s="68" t="str">
        <f>IF(II55=1,Stats!$N70,"")</f>
        <v/>
      </c>
      <c r="IK55" s="68" t="str">
        <f>IF(II55=1,Stats!$O70,"")</f>
        <v/>
      </c>
      <c r="IL55" s="68" t="str">
        <f>IF(II55=1,Stats!$P70,"")</f>
        <v/>
      </c>
      <c r="IM55" s="68" t="str">
        <f>IF(II55=1,Stats!$Q70,"")</f>
        <v/>
      </c>
      <c r="IN55" s="68" t="str">
        <f>IF(II55=1,Stats!$R70,"")</f>
        <v/>
      </c>
      <c r="IO55" s="68" t="str">
        <f>IF(II55=1,Stats!$S70,"")</f>
        <v/>
      </c>
      <c r="IP55" s="68">
        <f t="shared" si="96"/>
        <v>0</v>
      </c>
      <c r="IQ55">
        <f t="shared" si="97"/>
        <v>0</v>
      </c>
      <c r="IR55" s="68">
        <f>IF(IQ55=0,MAX(IR$2:IR54)+1,0)</f>
        <v>53</v>
      </c>
      <c r="IS55" s="5" t="str">
        <f t="shared" si="98"/>
        <v>Warbeasts</v>
      </c>
      <c r="IT55" s="5" t="str">
        <f t="shared" si="99"/>
        <v>Warbeasts</v>
      </c>
      <c r="IV55">
        <f t="shared" si="100"/>
        <v>53</v>
      </c>
      <c r="IW55" s="5" t="str">
        <f t="shared" si="101"/>
        <v>Warbeasts</v>
      </c>
      <c r="IX55" s="68">
        <f>COUNTIF(Builder!$K$22:$N$22,IW55)</f>
        <v>0</v>
      </c>
      <c r="IY55" s="68" t="str">
        <f>IF(IX55=1,Stats!$N70,"")</f>
        <v/>
      </c>
      <c r="IZ55" s="68" t="str">
        <f>IF(IX55=1,Stats!$O70,"")</f>
        <v/>
      </c>
      <c r="JA55" s="68" t="str">
        <f>IF(IX55=1,Stats!$P70,"")</f>
        <v/>
      </c>
      <c r="JB55" s="68" t="str">
        <f>IF(IX55=1,Stats!$Q70,"")</f>
        <v/>
      </c>
      <c r="JC55" s="68" t="str">
        <f>IF(IX55=1,Stats!$R70,"")</f>
        <v/>
      </c>
      <c r="JD55" s="68" t="str">
        <f>IF(IX55=1,Stats!$S70,"")</f>
        <v/>
      </c>
      <c r="JE55" s="68">
        <f t="shared" si="102"/>
        <v>0</v>
      </c>
      <c r="JF55">
        <f t="shared" si="103"/>
        <v>0</v>
      </c>
      <c r="JG55" s="68">
        <f>IF(JF55=0,MAX(JG$2:JG54)+1,0)</f>
        <v>53</v>
      </c>
      <c r="JH55" s="5" t="str">
        <f t="shared" si="104"/>
        <v>Warbeasts</v>
      </c>
      <c r="JI55" s="5" t="str">
        <f t="shared" si="105"/>
        <v>Warbeasts</v>
      </c>
      <c r="JK55">
        <f t="shared" si="106"/>
        <v>53</v>
      </c>
      <c r="JL55" s="5" t="str">
        <f t="shared" si="107"/>
        <v>Warbeasts</v>
      </c>
      <c r="JM55" s="68">
        <f>COUNTIF(Builder!$K$23:$N$23,JL55)</f>
        <v>0</v>
      </c>
      <c r="JN55" s="68" t="str">
        <f>IF(JM55=1,Stats!$N70,"")</f>
        <v/>
      </c>
      <c r="JO55" s="68" t="str">
        <f>IF(JM55=1,Stats!$O70,"")</f>
        <v/>
      </c>
      <c r="JP55" s="68" t="str">
        <f>IF(JM55=1,Stats!$P70,"")</f>
        <v/>
      </c>
      <c r="JQ55" s="68" t="str">
        <f>IF(JM55=1,Stats!$Q70,"")</f>
        <v/>
      </c>
      <c r="JR55" s="68" t="str">
        <f>IF(JM55=1,Stats!$R70,"")</f>
        <v/>
      </c>
      <c r="JS55" s="68" t="str">
        <f>IF(JM55=1,Stats!$S70,"")</f>
        <v/>
      </c>
      <c r="JT55" s="68">
        <f t="shared" si="108"/>
        <v>0</v>
      </c>
      <c r="JU55">
        <f t="shared" si="109"/>
        <v>0</v>
      </c>
      <c r="JV55" s="68">
        <f>IF(JU55=0,MAX(JV$2:JV54)+1,0)</f>
        <v>53</v>
      </c>
      <c r="JW55" s="5" t="str">
        <f t="shared" si="110"/>
        <v>Warbeasts</v>
      </c>
      <c r="JX55" s="5" t="str">
        <f t="shared" si="111"/>
        <v>Warbeasts</v>
      </c>
      <c r="JZ55">
        <f t="shared" si="112"/>
        <v>53</v>
      </c>
      <c r="KA55" s="5" t="str">
        <f t="shared" si="113"/>
        <v>Warbeasts</v>
      </c>
      <c r="KB55" s="68">
        <f>COUNTIF(Builder!$K$24:$N$24,KA55)</f>
        <v>0</v>
      </c>
      <c r="KC55" s="68" t="str">
        <f>IF(KB55=1,Stats!$N70,"")</f>
        <v/>
      </c>
      <c r="KD55" s="68" t="str">
        <f>IF(KB55=1,Stats!$O70,"")</f>
        <v/>
      </c>
      <c r="KE55" s="68" t="str">
        <f>IF(KB55=1,Stats!$P70,"")</f>
        <v/>
      </c>
      <c r="KF55" s="68" t="str">
        <f>IF(KB55=1,Stats!$Q70,"")</f>
        <v/>
      </c>
      <c r="KG55" s="68" t="str">
        <f>IF(KB55=1,Stats!$R70,"")</f>
        <v/>
      </c>
      <c r="KH55" s="68" t="str">
        <f>IF(KB55=1,Stats!$S70,"")</f>
        <v/>
      </c>
      <c r="KI55" s="68">
        <f t="shared" si="114"/>
        <v>0</v>
      </c>
      <c r="KJ55">
        <f t="shared" si="115"/>
        <v>0</v>
      </c>
      <c r="KK55" s="68">
        <f>IF(KJ55=0,MAX(KK$2:KK54)+1,0)</f>
        <v>53</v>
      </c>
      <c r="KL55" s="5" t="str">
        <f t="shared" si="116"/>
        <v>Warbeasts</v>
      </c>
      <c r="KM55" s="5" t="str">
        <f t="shared" si="117"/>
        <v>Warbeasts</v>
      </c>
      <c r="KO55">
        <f t="shared" si="118"/>
        <v>53</v>
      </c>
      <c r="KP55" s="5" t="str">
        <f t="shared" si="119"/>
        <v>Warbeasts</v>
      </c>
      <c r="KQ55" s="68">
        <f>COUNTIF(Builder!$K$25:$N$25,KP55)</f>
        <v>0</v>
      </c>
      <c r="KR55" s="68" t="str">
        <f>IF(KQ55=1,Stats!$N70,"")</f>
        <v/>
      </c>
      <c r="KS55" s="68" t="str">
        <f>IF(KQ55=1,Stats!$O70,"")</f>
        <v/>
      </c>
      <c r="KT55" s="68" t="str">
        <f>IF(KQ55=1,Stats!$P70,"")</f>
        <v/>
      </c>
      <c r="KU55" s="68" t="str">
        <f>IF(KQ55=1,Stats!$Q70,"")</f>
        <v/>
      </c>
      <c r="KV55" s="68" t="str">
        <f>IF(KQ55=1,Stats!$R70,"")</f>
        <v/>
      </c>
      <c r="KW55" s="68" t="str">
        <f>IF(KQ55=1,Stats!$S70,"")</f>
        <v/>
      </c>
      <c r="KX55" s="68">
        <f t="shared" si="120"/>
        <v>0</v>
      </c>
      <c r="KY55">
        <f t="shared" si="121"/>
        <v>0</v>
      </c>
      <c r="KZ55" s="68">
        <f>IF(KY55=0,MAX(KZ$2:KZ54)+1,0)</f>
        <v>53</v>
      </c>
      <c r="LA55" s="5" t="str">
        <f t="shared" si="122"/>
        <v>Warbeasts</v>
      </c>
      <c r="LB55" s="5" t="str">
        <f t="shared" si="123"/>
        <v>Warbeasts</v>
      </c>
      <c r="LD55">
        <f t="shared" si="124"/>
        <v>53</v>
      </c>
      <c r="LE55" s="5" t="str">
        <f t="shared" si="125"/>
        <v>Warbeasts</v>
      </c>
      <c r="LF55" s="68">
        <f>COUNTIF(Builder!$K$26:$N$26,LE55)</f>
        <v>0</v>
      </c>
      <c r="LG55" s="68" t="str">
        <f>IF(LF55=1,Stats!$N70,"")</f>
        <v/>
      </c>
      <c r="LH55" s="68" t="str">
        <f>IF(LF55=1,Stats!$O70,"")</f>
        <v/>
      </c>
      <c r="LI55" s="68" t="str">
        <f>IF(LF55=1,Stats!$P70,"")</f>
        <v/>
      </c>
      <c r="LJ55" s="68" t="str">
        <f>IF(LF55=1,Stats!$Q70,"")</f>
        <v/>
      </c>
      <c r="LK55" s="68" t="str">
        <f>IF(LF55=1,Stats!$R70,"")</f>
        <v/>
      </c>
      <c r="LL55" s="68" t="str">
        <f>IF(LF55=1,Stats!$S70,"")</f>
        <v/>
      </c>
      <c r="LM55" s="68">
        <f t="shared" si="126"/>
        <v>0</v>
      </c>
      <c r="LN55">
        <f t="shared" si="127"/>
        <v>0</v>
      </c>
      <c r="LO55" s="68">
        <f>IF(LN55=0,MAX(LO$2:LO54)+1,0)</f>
        <v>53</v>
      </c>
      <c r="LP55" s="5" t="str">
        <f t="shared" si="128"/>
        <v>Warbeasts</v>
      </c>
      <c r="LQ55" s="5" t="str">
        <f t="shared" si="129"/>
        <v>Warbeasts</v>
      </c>
      <c r="LS55">
        <f t="shared" si="130"/>
        <v>53</v>
      </c>
      <c r="LT55" s="5" t="str">
        <f t="shared" si="131"/>
        <v>Warbeasts</v>
      </c>
      <c r="LU55" s="68">
        <f>COUNTIF(Builder!$K$27:$N$27,LT55)</f>
        <v>0</v>
      </c>
      <c r="LV55" s="68" t="str">
        <f>IF(LU55=1,Stats!$N70,"")</f>
        <v/>
      </c>
      <c r="LW55" s="68" t="str">
        <f>IF(LU55=1,Stats!$O70,"")</f>
        <v/>
      </c>
      <c r="LX55" s="68" t="str">
        <f>IF(LU55=1,Stats!$P70,"")</f>
        <v/>
      </c>
      <c r="LY55" s="68" t="str">
        <f>IF(LU55=1,Stats!$Q70,"")</f>
        <v/>
      </c>
      <c r="LZ55" s="68" t="str">
        <f>IF(LU55=1,Stats!$R70,"")</f>
        <v/>
      </c>
      <c r="MA55" s="68" t="str">
        <f>IF(LU55=1,Stats!$S70,"")</f>
        <v/>
      </c>
      <c r="MB55" s="68">
        <f t="shared" si="132"/>
        <v>0</v>
      </c>
      <c r="MC55">
        <f t="shared" si="133"/>
        <v>0</v>
      </c>
      <c r="MD55" s="68">
        <f>IF(MC55=0,MAX(MD$2:MD54)+1,0)</f>
        <v>53</v>
      </c>
      <c r="ME55" s="5" t="str">
        <f t="shared" si="134"/>
        <v>Warbeasts</v>
      </c>
      <c r="MF55" s="5" t="str">
        <f t="shared" si="135"/>
        <v>Warbeasts</v>
      </c>
      <c r="MH55">
        <f t="shared" si="136"/>
        <v>53</v>
      </c>
      <c r="MI55" s="5" t="str">
        <f t="shared" si="137"/>
        <v>Warbeasts</v>
      </c>
      <c r="MJ55" s="68">
        <f>COUNTIF(Builder!$K$28:$N$28,MI55)</f>
        <v>0</v>
      </c>
      <c r="MK55" s="68" t="str">
        <f>IF(MJ55=1,Stats!$N70,"")</f>
        <v/>
      </c>
      <c r="ML55" s="68" t="str">
        <f>IF(MJ55=1,Stats!$O70,"")</f>
        <v/>
      </c>
      <c r="MM55" s="68" t="str">
        <f>IF(MJ55=1,Stats!$P70,"")</f>
        <v/>
      </c>
      <c r="MN55" s="68" t="str">
        <f>IF(MJ55=1,Stats!$Q70,"")</f>
        <v/>
      </c>
      <c r="MO55" s="68" t="str">
        <f>IF(MJ55=1,Stats!$R70,"")</f>
        <v/>
      </c>
      <c r="MP55" s="68" t="str">
        <f>IF(MJ55=1,Stats!$S70,"")</f>
        <v/>
      </c>
      <c r="MQ55" s="68">
        <f t="shared" si="138"/>
        <v>0</v>
      </c>
      <c r="MR55">
        <f t="shared" si="139"/>
        <v>0</v>
      </c>
      <c r="MS55" s="68">
        <f>IF(MR55=0,MAX(MS$2:MS54)+1,0)</f>
        <v>53</v>
      </c>
      <c r="MT55" s="5" t="str">
        <f t="shared" si="140"/>
        <v>Warbeasts</v>
      </c>
      <c r="MU55" s="5" t="str">
        <f t="shared" si="141"/>
        <v>Warbeasts</v>
      </c>
      <c r="MW55">
        <f t="shared" si="142"/>
        <v>53</v>
      </c>
      <c r="MX55" s="5" t="str">
        <f t="shared" si="143"/>
        <v>Warbeasts</v>
      </c>
      <c r="MY55" s="68">
        <f>COUNTIF(Builder!$K$29:$N$29,MX55)</f>
        <v>0</v>
      </c>
      <c r="MZ55" s="68" t="str">
        <f>IF(MY55=1,Stats!$N70,"")</f>
        <v/>
      </c>
      <c r="NA55" s="68" t="str">
        <f>IF(MY55=1,Stats!$O70,"")</f>
        <v/>
      </c>
      <c r="NB55" s="68" t="str">
        <f>IF(MY55=1,Stats!$P70,"")</f>
        <v/>
      </c>
      <c r="NC55" s="68" t="str">
        <f>IF(MY55=1,Stats!$Q70,"")</f>
        <v/>
      </c>
      <c r="ND55" s="68" t="str">
        <f>IF(MY55=1,Stats!$R70,"")</f>
        <v/>
      </c>
      <c r="NE55" s="68" t="str">
        <f>IF(MY55=1,Stats!$S70,"")</f>
        <v/>
      </c>
      <c r="NF55" s="68">
        <f t="shared" si="144"/>
        <v>0</v>
      </c>
      <c r="NG55">
        <f t="shared" si="145"/>
        <v>0</v>
      </c>
      <c r="NH55" s="68">
        <f>IF(NG55=0,MAX(NH$2:NH54)+1,0)</f>
        <v>53</v>
      </c>
      <c r="NI55" s="5" t="str">
        <f t="shared" si="146"/>
        <v>Warbeasts</v>
      </c>
      <c r="NJ55" s="5" t="str">
        <f t="shared" si="147"/>
        <v>Warbeasts</v>
      </c>
    </row>
    <row r="56" spans="1:374" x14ac:dyDescent="0.3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</row>
    <row r="57" spans="1:374" x14ac:dyDescent="0.3">
      <c r="A57" s="67"/>
      <c r="B57" s="67"/>
      <c r="N57"/>
    </row>
    <row r="58" spans="1:374" ht="15" x14ac:dyDescent="0.3">
      <c r="B58" s="5"/>
      <c r="C58" s="68"/>
      <c r="D58" s="68"/>
      <c r="E58" s="68"/>
      <c r="F58" s="68"/>
      <c r="G58" s="68"/>
      <c r="H58" s="68"/>
      <c r="I58" s="68"/>
      <c r="J58" s="68"/>
      <c r="L58" s="68"/>
      <c r="M58" s="5"/>
      <c r="N58" s="5"/>
    </row>
    <row r="59" spans="1:374" ht="15" x14ac:dyDescent="0.3">
      <c r="B59" s="5"/>
      <c r="C59" s="68"/>
      <c r="D59" s="68"/>
      <c r="E59" s="68"/>
      <c r="F59" s="68"/>
      <c r="G59" s="68"/>
      <c r="H59" s="68"/>
      <c r="I59" s="68"/>
      <c r="J59" s="68"/>
      <c r="L59" s="68"/>
      <c r="M59" s="5"/>
      <c r="N59" s="5"/>
    </row>
    <row r="60" spans="1:374" ht="15" x14ac:dyDescent="0.3">
      <c r="B60" s="5"/>
      <c r="C60" s="68"/>
      <c r="D60" s="68"/>
      <c r="E60" s="68"/>
      <c r="F60" s="68"/>
      <c r="G60" s="68"/>
      <c r="H60" s="68"/>
      <c r="I60" s="68"/>
      <c r="J60" s="68"/>
      <c r="L60" s="68"/>
      <c r="M60" s="5"/>
      <c r="N60" s="5"/>
    </row>
    <row r="61" spans="1:374" ht="15" x14ac:dyDescent="0.3">
      <c r="B61" s="5"/>
      <c r="C61" s="68"/>
      <c r="D61" s="68"/>
      <c r="E61" s="68"/>
      <c r="F61" s="68"/>
      <c r="G61" s="68"/>
      <c r="H61" s="68"/>
      <c r="I61" s="68"/>
      <c r="J61" s="68"/>
      <c r="L61" s="68"/>
      <c r="M61" s="5"/>
      <c r="N61" s="5"/>
    </row>
    <row r="62" spans="1:374" ht="15" x14ac:dyDescent="0.3">
      <c r="B62" s="5"/>
      <c r="C62" s="68"/>
      <c r="D62" s="68"/>
      <c r="E62" s="68"/>
      <c r="F62" s="68"/>
      <c r="G62" s="68"/>
      <c r="H62" s="68"/>
      <c r="I62" s="68"/>
      <c r="J62" s="68"/>
      <c r="L62" s="68"/>
      <c r="M62" s="5"/>
      <c r="N62" s="5"/>
    </row>
    <row r="63" spans="1:374" ht="15" x14ac:dyDescent="0.3">
      <c r="B63" s="5"/>
      <c r="C63" s="68"/>
      <c r="D63" s="68"/>
      <c r="E63" s="68"/>
      <c r="F63" s="68"/>
      <c r="G63" s="68"/>
      <c r="H63" s="68"/>
      <c r="I63" s="68"/>
      <c r="J63" s="68"/>
      <c r="L63" s="68"/>
      <c r="M63" s="5"/>
      <c r="N63" s="5"/>
    </row>
    <row r="64" spans="1:374" ht="15" x14ac:dyDescent="0.3">
      <c r="B64" s="5"/>
      <c r="C64" s="68"/>
      <c r="D64" s="68"/>
      <c r="E64" s="68"/>
      <c r="F64" s="68"/>
      <c r="G64" s="68"/>
      <c r="H64" s="68"/>
      <c r="I64" s="68"/>
      <c r="J64" s="68"/>
      <c r="L64" s="68"/>
      <c r="M64" s="5"/>
      <c r="N64" s="5"/>
    </row>
    <row r="65" spans="2:14" ht="15" x14ac:dyDescent="0.3">
      <c r="B65" s="5"/>
      <c r="C65" s="68"/>
      <c r="D65" s="68"/>
      <c r="E65" s="68"/>
      <c r="F65" s="68"/>
      <c r="G65" s="68"/>
      <c r="H65" s="68"/>
      <c r="I65" s="68"/>
      <c r="J65" s="68"/>
      <c r="L65" s="68"/>
      <c r="M65" s="5"/>
      <c r="N65" s="5"/>
    </row>
    <row r="66" spans="2:14" ht="15" x14ac:dyDescent="0.3">
      <c r="B66" s="5"/>
      <c r="C66" s="68"/>
      <c r="D66" s="68"/>
      <c r="E66" s="68"/>
      <c r="F66" s="68"/>
      <c r="G66" s="68"/>
      <c r="H66" s="68"/>
      <c r="I66" s="68"/>
      <c r="J66" s="68"/>
      <c r="L66" s="68"/>
      <c r="M66" s="5"/>
      <c r="N66" s="5"/>
    </row>
    <row r="67" spans="2:14" ht="15" x14ac:dyDescent="0.3">
      <c r="B67" s="5"/>
      <c r="C67" s="68"/>
      <c r="D67" s="68"/>
      <c r="E67" s="68"/>
      <c r="F67" s="68"/>
      <c r="G67" s="68"/>
      <c r="H67" s="68"/>
      <c r="I67" s="68"/>
      <c r="J67" s="68"/>
      <c r="L67" s="68"/>
      <c r="M67" s="5"/>
      <c r="N67" s="5"/>
    </row>
    <row r="68" spans="2:14" ht="15" x14ac:dyDescent="0.3">
      <c r="B68" s="5"/>
      <c r="C68" s="68"/>
      <c r="D68" s="68"/>
      <c r="E68" s="68"/>
      <c r="F68" s="68"/>
      <c r="G68" s="68"/>
      <c r="H68" s="68"/>
      <c r="I68" s="68"/>
      <c r="J68" s="68"/>
      <c r="L68" s="68"/>
      <c r="M68" s="5"/>
      <c r="N68" s="5"/>
    </row>
    <row r="69" spans="2:14" ht="15" x14ac:dyDescent="0.3">
      <c r="B69" s="5"/>
      <c r="C69" s="68"/>
      <c r="D69" s="68"/>
      <c r="E69" s="68"/>
      <c r="F69" s="68"/>
      <c r="G69" s="68"/>
      <c r="H69" s="68"/>
      <c r="I69" s="68"/>
      <c r="J69" s="68"/>
      <c r="L69" s="68"/>
      <c r="M69" s="5"/>
      <c r="N69" s="5"/>
    </row>
    <row r="70" spans="2:14" ht="15" x14ac:dyDescent="0.3">
      <c r="B70" s="5"/>
      <c r="C70" s="68"/>
      <c r="D70" s="68"/>
      <c r="E70" s="68"/>
      <c r="F70" s="68"/>
      <c r="G70" s="68"/>
      <c r="H70" s="68"/>
      <c r="I70" s="68"/>
      <c r="J70" s="68"/>
      <c r="L70" s="68"/>
      <c r="M70" s="5"/>
      <c r="N70" s="5"/>
    </row>
    <row r="71" spans="2:14" ht="15" x14ac:dyDescent="0.3">
      <c r="B71" s="5"/>
      <c r="C71" s="68"/>
      <c r="D71" s="68"/>
      <c r="E71" s="68"/>
      <c r="F71" s="68"/>
      <c r="G71" s="68"/>
      <c r="H71" s="68"/>
      <c r="I71" s="68"/>
      <c r="J71" s="68"/>
      <c r="L71" s="68"/>
      <c r="M71" s="5"/>
      <c r="N71" s="5"/>
    </row>
    <row r="72" spans="2:14" ht="15" x14ac:dyDescent="0.3">
      <c r="B72" s="5"/>
      <c r="C72" s="68"/>
      <c r="D72" s="68"/>
      <c r="E72" s="68"/>
      <c r="F72" s="68"/>
      <c r="G72" s="68"/>
      <c r="H72" s="68"/>
      <c r="I72" s="68"/>
      <c r="J72" s="68"/>
      <c r="L72" s="68"/>
      <c r="M72" s="5"/>
      <c r="N72" s="5"/>
    </row>
    <row r="73" spans="2:14" ht="15" x14ac:dyDescent="0.3">
      <c r="B73" s="5"/>
      <c r="C73" s="68"/>
      <c r="D73" s="68"/>
      <c r="E73" s="68"/>
      <c r="F73" s="68"/>
      <c r="G73" s="68"/>
      <c r="H73" s="68"/>
      <c r="I73" s="68"/>
      <c r="J73" s="68"/>
      <c r="L73" s="68"/>
      <c r="M73" s="5"/>
      <c r="N73" s="5"/>
    </row>
    <row r="74" spans="2:14" ht="15" x14ac:dyDescent="0.3">
      <c r="B74" s="5"/>
      <c r="C74" s="68"/>
      <c r="D74" s="68"/>
      <c r="E74" s="68"/>
      <c r="F74" s="68"/>
      <c r="G74" s="68"/>
      <c r="H74" s="68"/>
      <c r="I74" s="68"/>
      <c r="J74" s="68"/>
      <c r="L74" s="68"/>
      <c r="M74" s="5"/>
      <c r="N74" s="5"/>
    </row>
    <row r="75" spans="2:14" ht="15" x14ac:dyDescent="0.3">
      <c r="B75" s="5"/>
      <c r="C75" s="68"/>
      <c r="D75" s="68"/>
      <c r="E75" s="68"/>
      <c r="F75" s="68"/>
      <c r="G75" s="68"/>
      <c r="H75" s="68"/>
      <c r="I75" s="68"/>
      <c r="J75" s="68"/>
      <c r="L75" s="68"/>
      <c r="M75" s="5"/>
      <c r="N75" s="5"/>
    </row>
    <row r="76" spans="2:14" ht="15" x14ac:dyDescent="0.3">
      <c r="B76" s="5"/>
      <c r="C76" s="68"/>
      <c r="D76" s="68"/>
      <c r="E76" s="68"/>
      <c r="F76" s="68"/>
      <c r="G76" s="68"/>
      <c r="H76" s="68"/>
      <c r="I76" s="68"/>
      <c r="J76" s="68"/>
      <c r="L76" s="68"/>
      <c r="M76" s="5"/>
      <c r="N76" s="5"/>
    </row>
    <row r="77" spans="2:14" ht="15" x14ac:dyDescent="0.3">
      <c r="B77" s="5"/>
      <c r="C77" s="68"/>
      <c r="D77" s="68"/>
      <c r="E77" s="68"/>
      <c r="F77" s="68"/>
      <c r="G77" s="68"/>
      <c r="H77" s="68"/>
      <c r="I77" s="68"/>
      <c r="J77" s="68"/>
      <c r="L77" s="68"/>
      <c r="M77" s="5"/>
      <c r="N77" s="5"/>
    </row>
    <row r="78" spans="2:14" ht="15" x14ac:dyDescent="0.3">
      <c r="B78" s="5"/>
      <c r="C78" s="68"/>
      <c r="D78" s="68"/>
      <c r="E78" s="68"/>
      <c r="F78" s="68"/>
      <c r="G78" s="68"/>
      <c r="H78" s="68"/>
      <c r="I78" s="68"/>
      <c r="J78" s="68"/>
      <c r="L78" s="68"/>
      <c r="M78" s="5"/>
      <c r="N78" s="5"/>
    </row>
    <row r="79" spans="2:14" ht="15" x14ac:dyDescent="0.3">
      <c r="B79" s="5"/>
      <c r="C79" s="68"/>
      <c r="D79" s="68"/>
      <c r="E79" s="68"/>
      <c r="F79" s="68"/>
      <c r="G79" s="68"/>
      <c r="H79" s="68"/>
      <c r="I79" s="68"/>
      <c r="J79" s="68"/>
      <c r="L79" s="68"/>
      <c r="M79" s="5"/>
      <c r="N79" s="5"/>
    </row>
    <row r="80" spans="2:14" ht="15" x14ac:dyDescent="0.3">
      <c r="B80" s="5"/>
      <c r="C80" s="68"/>
      <c r="D80" s="68"/>
      <c r="E80" s="68"/>
      <c r="F80" s="68"/>
      <c r="G80" s="68"/>
      <c r="H80" s="68"/>
      <c r="I80" s="68"/>
      <c r="J80" s="68"/>
      <c r="L80" s="68"/>
      <c r="M80" s="5"/>
      <c r="N80" s="5"/>
    </row>
    <row r="81" spans="2:14" ht="15" x14ac:dyDescent="0.3">
      <c r="B81" s="5"/>
      <c r="C81" s="68"/>
      <c r="D81" s="68"/>
      <c r="E81" s="68"/>
      <c r="F81" s="68"/>
      <c r="G81" s="68"/>
      <c r="H81" s="68"/>
      <c r="I81" s="68"/>
      <c r="J81" s="68"/>
      <c r="L81" s="68"/>
      <c r="M81" s="5"/>
      <c r="N81" s="5"/>
    </row>
    <row r="82" spans="2:14" ht="15" x14ac:dyDescent="0.3">
      <c r="B82" s="5"/>
      <c r="C82" s="68"/>
      <c r="D82" s="68"/>
      <c r="E82" s="68"/>
      <c r="F82" s="68"/>
      <c r="G82" s="68"/>
      <c r="H82" s="68"/>
      <c r="I82" s="68"/>
      <c r="J82" s="68"/>
      <c r="L82" s="68"/>
      <c r="M82" s="5"/>
      <c r="N82" s="5"/>
    </row>
    <row r="83" spans="2:14" ht="15" x14ac:dyDescent="0.3">
      <c r="B83" s="5"/>
      <c r="C83" s="68"/>
      <c r="D83" s="68"/>
      <c r="E83" s="68"/>
      <c r="F83" s="68"/>
      <c r="G83" s="68"/>
      <c r="H83" s="68"/>
      <c r="I83" s="68"/>
      <c r="J83" s="68"/>
      <c r="L83" s="68"/>
      <c r="M83" s="5"/>
      <c r="N83" s="5"/>
    </row>
    <row r="84" spans="2:14" ht="15" x14ac:dyDescent="0.3">
      <c r="B84" s="5"/>
      <c r="C84" s="68"/>
      <c r="D84" s="68"/>
      <c r="E84" s="68"/>
      <c r="F84" s="68"/>
      <c r="G84" s="68"/>
      <c r="H84" s="68"/>
      <c r="I84" s="68"/>
      <c r="J84" s="68"/>
      <c r="L84" s="68"/>
      <c r="M84" s="5"/>
      <c r="N84" s="5"/>
    </row>
    <row r="85" spans="2:14" ht="15" x14ac:dyDescent="0.3">
      <c r="B85" s="5"/>
      <c r="C85" s="68"/>
      <c r="D85" s="68"/>
      <c r="E85" s="68"/>
      <c r="F85" s="68"/>
      <c r="G85" s="68"/>
      <c r="H85" s="68"/>
      <c r="I85" s="68"/>
      <c r="J85" s="68"/>
      <c r="L85" s="68"/>
      <c r="M85" s="5"/>
      <c r="N85" s="5"/>
    </row>
    <row r="86" spans="2:14" ht="15" x14ac:dyDescent="0.3">
      <c r="B86" s="5"/>
      <c r="C86" s="68"/>
      <c r="D86" s="68"/>
      <c r="E86" s="68"/>
      <c r="F86" s="68"/>
      <c r="G86" s="68"/>
      <c r="H86" s="68"/>
      <c r="I86" s="68"/>
      <c r="J86" s="68"/>
      <c r="L86" s="68"/>
      <c r="M86" s="5"/>
      <c r="N86" s="5"/>
    </row>
    <row r="87" spans="2:14" ht="15" x14ac:dyDescent="0.3">
      <c r="B87" s="5"/>
      <c r="C87" s="68"/>
      <c r="D87" s="68"/>
      <c r="E87" s="68"/>
      <c r="F87" s="68"/>
      <c r="G87" s="68"/>
      <c r="H87" s="68"/>
      <c r="I87" s="68"/>
      <c r="J87" s="68"/>
      <c r="L87" s="68"/>
      <c r="M87" s="5"/>
      <c r="N87" s="5"/>
    </row>
    <row r="88" spans="2:14" ht="15" x14ac:dyDescent="0.3">
      <c r="B88" s="5"/>
      <c r="C88" s="68"/>
      <c r="D88" s="68"/>
      <c r="E88" s="68"/>
      <c r="F88" s="68"/>
      <c r="G88" s="68"/>
      <c r="H88" s="68"/>
      <c r="I88" s="68"/>
      <c r="J88" s="68"/>
      <c r="L88" s="68"/>
      <c r="M88" s="5"/>
      <c r="N88" s="5"/>
    </row>
    <row r="89" spans="2:14" ht="15" x14ac:dyDescent="0.3">
      <c r="B89" s="5"/>
      <c r="C89" s="68"/>
      <c r="D89" s="68"/>
      <c r="E89" s="68"/>
      <c r="F89" s="68"/>
      <c r="G89" s="68"/>
      <c r="H89" s="68"/>
      <c r="I89" s="68"/>
      <c r="J89" s="68"/>
      <c r="L89" s="68"/>
      <c r="M89" s="5"/>
      <c r="N89" s="5"/>
    </row>
    <row r="90" spans="2:14" ht="15" x14ac:dyDescent="0.3">
      <c r="B90" s="5"/>
      <c r="C90" s="68"/>
      <c r="D90" s="68"/>
      <c r="E90" s="68"/>
      <c r="F90" s="68"/>
      <c r="G90" s="68"/>
      <c r="H90" s="68"/>
      <c r="I90" s="68"/>
      <c r="J90" s="68"/>
      <c r="L90" s="68"/>
      <c r="M90" s="5"/>
      <c r="N90" s="5"/>
    </row>
    <row r="91" spans="2:14" ht="15" x14ac:dyDescent="0.3">
      <c r="B91" s="5"/>
      <c r="C91" s="68"/>
      <c r="D91" s="68"/>
      <c r="E91" s="68"/>
      <c r="F91" s="68"/>
      <c r="G91" s="68"/>
      <c r="H91" s="68"/>
      <c r="I91" s="68"/>
      <c r="J91" s="68"/>
      <c r="L91" s="68"/>
      <c r="M91" s="5"/>
      <c r="N91" s="5"/>
    </row>
    <row r="92" spans="2:14" ht="15" x14ac:dyDescent="0.3">
      <c r="B92" s="5"/>
      <c r="C92" s="68"/>
      <c r="D92" s="68"/>
      <c r="E92" s="68"/>
      <c r="F92" s="68"/>
      <c r="G92" s="68"/>
      <c r="H92" s="68"/>
      <c r="I92" s="68"/>
      <c r="J92" s="68"/>
      <c r="L92" s="68"/>
      <c r="M92" s="5"/>
      <c r="N92" s="5"/>
    </row>
    <row r="93" spans="2:14" ht="15" x14ac:dyDescent="0.3">
      <c r="B93" s="5"/>
      <c r="C93" s="68"/>
      <c r="D93" s="68"/>
      <c r="E93" s="68"/>
      <c r="F93" s="68"/>
      <c r="G93" s="68"/>
      <c r="H93" s="68"/>
      <c r="I93" s="68"/>
      <c r="J93" s="68"/>
      <c r="L93" s="68"/>
      <c r="M93" s="5"/>
      <c r="N93" s="5"/>
    </row>
    <row r="94" spans="2:14" ht="15" x14ac:dyDescent="0.3">
      <c r="B94" s="5"/>
      <c r="C94" s="68"/>
      <c r="D94" s="68"/>
      <c r="E94" s="68"/>
      <c r="F94" s="68"/>
      <c r="G94" s="68"/>
      <c r="H94" s="68"/>
      <c r="I94" s="68"/>
      <c r="J94" s="68"/>
      <c r="L94" s="68"/>
      <c r="M94" s="5"/>
      <c r="N94" s="5"/>
    </row>
    <row r="95" spans="2:14" ht="15" x14ac:dyDescent="0.3">
      <c r="B95" s="5"/>
      <c r="C95" s="68"/>
      <c r="D95" s="68"/>
      <c r="E95" s="68"/>
      <c r="F95" s="68"/>
      <c r="G95" s="68"/>
      <c r="H95" s="68"/>
      <c r="I95" s="68"/>
      <c r="J95" s="68"/>
      <c r="L95" s="68"/>
      <c r="M95" s="5"/>
      <c r="N95" s="5"/>
    </row>
    <row r="96" spans="2:14" ht="15" x14ac:dyDescent="0.3">
      <c r="B96" s="5"/>
      <c r="C96" s="68"/>
      <c r="D96" s="68"/>
      <c r="E96" s="68"/>
      <c r="F96" s="68"/>
      <c r="G96" s="68"/>
      <c r="H96" s="68"/>
      <c r="I96" s="68"/>
      <c r="J96" s="68"/>
      <c r="L96" s="68"/>
      <c r="M96" s="5"/>
      <c r="N96" s="5"/>
    </row>
    <row r="97" spans="2:14" ht="15" x14ac:dyDescent="0.3">
      <c r="B97" s="5"/>
      <c r="C97" s="68"/>
      <c r="D97" s="68"/>
      <c r="E97" s="68"/>
      <c r="F97" s="68"/>
      <c r="G97" s="68"/>
      <c r="H97" s="68"/>
      <c r="I97" s="68"/>
      <c r="J97" s="68"/>
      <c r="L97" s="68"/>
      <c r="M97" s="5"/>
      <c r="N97" s="5"/>
    </row>
    <row r="98" spans="2:14" ht="15" x14ac:dyDescent="0.3">
      <c r="B98" s="5"/>
      <c r="C98" s="68"/>
      <c r="D98" s="68"/>
      <c r="E98" s="68"/>
      <c r="F98" s="68"/>
      <c r="G98" s="68"/>
      <c r="H98" s="68"/>
      <c r="I98" s="68"/>
      <c r="J98" s="68"/>
      <c r="L98" s="68"/>
      <c r="M98" s="5"/>
      <c r="N98" s="5"/>
    </row>
    <row r="99" spans="2:14" ht="15" x14ac:dyDescent="0.3">
      <c r="B99" s="5"/>
      <c r="C99" s="68"/>
      <c r="D99" s="68"/>
      <c r="E99" s="68"/>
      <c r="F99" s="68"/>
      <c r="G99" s="68"/>
      <c r="H99" s="68"/>
      <c r="I99" s="68"/>
      <c r="J99" s="68"/>
      <c r="L99" s="68"/>
      <c r="M99" s="5"/>
      <c r="N99" s="5"/>
    </row>
    <row r="100" spans="2:14" ht="15" x14ac:dyDescent="0.3">
      <c r="B100" s="5"/>
      <c r="C100" s="68"/>
      <c r="D100" s="68"/>
      <c r="E100" s="68"/>
      <c r="F100" s="68"/>
      <c r="G100" s="68"/>
      <c r="H100" s="68"/>
      <c r="I100" s="68"/>
      <c r="J100" s="68"/>
      <c r="L100" s="68"/>
      <c r="M100" s="5"/>
      <c r="N100" s="5"/>
    </row>
  </sheetData>
  <mergeCells count="26">
    <mergeCell ref="LD1:LQ1"/>
    <mergeCell ref="LS1:MF1"/>
    <mergeCell ref="MH1:MU1"/>
    <mergeCell ref="MW1:NJ1"/>
    <mergeCell ref="IG1:IT1"/>
    <mergeCell ref="IV1:JI1"/>
    <mergeCell ref="JK1:JX1"/>
    <mergeCell ref="JZ1:KM1"/>
    <mergeCell ref="KO1:LB1"/>
    <mergeCell ref="FJ1:FW1"/>
    <mergeCell ref="FY1:GL1"/>
    <mergeCell ref="GN1:HA1"/>
    <mergeCell ref="HC1:HP1"/>
    <mergeCell ref="HR1:IE1"/>
    <mergeCell ref="A1:N1"/>
    <mergeCell ref="A56:N56"/>
    <mergeCell ref="P1:AC1"/>
    <mergeCell ref="DQ1:ED1"/>
    <mergeCell ref="EF1:ES1"/>
    <mergeCell ref="EU1:FH1"/>
    <mergeCell ref="AE1:AR1"/>
    <mergeCell ref="AT1:BG1"/>
    <mergeCell ref="BI1:BV1"/>
    <mergeCell ref="BX1:CK1"/>
    <mergeCell ref="CM1:CZ1"/>
    <mergeCell ref="DB1:DO1"/>
  </mergeCells>
  <phoneticPr fontId="15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28BF-1ACE-419E-90CE-E19C8D4182BB}">
  <dimension ref="A1:J53"/>
  <sheetViews>
    <sheetView view="pageLayout" zoomScale="80" zoomScaleNormal="100" zoomScalePageLayoutView="80" workbookViewId="0">
      <selection activeCell="H4" sqref="H4"/>
    </sheetView>
  </sheetViews>
  <sheetFormatPr defaultColWidth="6.21875" defaultRowHeight="15" x14ac:dyDescent="0.3"/>
  <cols>
    <col min="1" max="1" width="18" style="24" customWidth="1"/>
    <col min="2" max="6" width="6.21875" style="27"/>
    <col min="7" max="7" width="6.21875" style="27" customWidth="1"/>
    <col min="8" max="8" width="22.33203125" style="24" customWidth="1"/>
    <col min="9" max="9" width="5.77734375" style="27" customWidth="1"/>
    <col min="10" max="10" width="7.88671875" style="27" customWidth="1"/>
    <col min="11" max="16384" width="6.21875" style="24"/>
  </cols>
  <sheetData>
    <row r="1" spans="1:10" x14ac:dyDescent="0.3">
      <c r="A1" s="100" t="s">
        <v>127</v>
      </c>
      <c r="B1" s="100"/>
      <c r="C1" s="101">
        <f>format!B3</f>
        <v>0</v>
      </c>
      <c r="D1" s="102"/>
      <c r="E1" s="102"/>
      <c r="F1" s="102"/>
      <c r="G1" s="102"/>
      <c r="H1" s="103"/>
      <c r="I1" s="107" t="str">
        <f>CONCATENATE(format!R3,"pts")</f>
        <v xml:space="preserve"> pts</v>
      </c>
      <c r="J1" s="108"/>
    </row>
    <row r="2" spans="1:10" x14ac:dyDescent="0.3">
      <c r="A2" s="99" t="s">
        <v>66</v>
      </c>
      <c r="B2" s="99"/>
      <c r="C2" s="104" t="str">
        <f>CONCATENATE(sort!U3,sort!U4,sort!U5,sort!U6,sort!U7)</f>
        <v/>
      </c>
      <c r="D2" s="105"/>
      <c r="E2" s="105"/>
      <c r="F2" s="105"/>
      <c r="G2" s="105"/>
      <c r="H2" s="106"/>
      <c r="I2" s="107" t="str">
        <f>CONCATENATE("BP ",format!AB3," Bases")</f>
        <v>BP 1 Bases</v>
      </c>
      <c r="J2" s="108"/>
    </row>
    <row r="3" spans="1:10" x14ac:dyDescent="0.3">
      <c r="A3" s="28" t="str">
        <f>format!B4</f>
        <v>Unit name</v>
      </c>
      <c r="B3" s="29" t="str">
        <f>format!D4</f>
        <v>Res</v>
      </c>
      <c r="C3" s="29" t="str">
        <f>format!E4</f>
        <v>Mov</v>
      </c>
      <c r="D3" s="29" t="str">
        <f>format!F4</f>
        <v>Mel</v>
      </c>
      <c r="E3" s="29" t="str">
        <f>format!G3</f>
        <v>Sht</v>
      </c>
      <c r="F3" s="29" t="str">
        <f>format!I4</f>
        <v>Def</v>
      </c>
      <c r="G3" s="29" t="str">
        <f>format!J4</f>
        <v>Com</v>
      </c>
      <c r="H3" s="28" t="s">
        <v>125</v>
      </c>
      <c r="I3" s="29" t="str">
        <f>format!P4</f>
        <v>Cost</v>
      </c>
      <c r="J3" s="29" t="str">
        <f>format!Q4</f>
        <v># Bases</v>
      </c>
    </row>
    <row r="4" spans="1:10" s="66" customFormat="1" ht="33.9" customHeight="1" x14ac:dyDescent="0.3">
      <c r="A4" s="25" t="str">
        <f>CONCATENATE(format!B5,CHAR(10),format!C5)</f>
        <v xml:space="preserve"> 
 </v>
      </c>
      <c r="B4" s="26" t="str">
        <f>format!D5</f>
        <v xml:space="preserve"> </v>
      </c>
      <c r="C4" s="26" t="str">
        <f>format!E5</f>
        <v xml:space="preserve"> </v>
      </c>
      <c r="D4" s="26" t="str">
        <f>format!F5</f>
        <v xml:space="preserve"> </v>
      </c>
      <c r="E4" s="26" t="str">
        <f>CONCATENATE(format!G5,"/",format!H5)</f>
        <v xml:space="preserve"> / </v>
      </c>
      <c r="F4" s="26" t="str">
        <f>CONCATENATE(format!I5,"+")</f>
        <v xml:space="preserve"> +</v>
      </c>
      <c r="G4" s="26" t="str">
        <f>IF(format!J5=" "," ",CONCATENATE(format!J5,"u"))</f>
        <v xml:space="preserve"> </v>
      </c>
      <c r="H4" s="25" t="str">
        <f>CONCATENATE(
IF((format!K5)=0,"",format!K5&amp;CHAR(10)),
IF((format!L5)=0,"",format!L5&amp;CHAR(10)),
IF((format!M5)=0,"",format!M5&amp;CHAR(10)),
IF((format!N5)=0,"",format!N5&amp;CHAR(10)),
IF((format!O5)=0,"",format!O5)
)</f>
        <v/>
      </c>
      <c r="I4" s="26" t="str">
        <f>format!P5</f>
        <v xml:space="preserve"> </v>
      </c>
      <c r="J4" s="26" t="str">
        <f>format!Q5</f>
        <v xml:space="preserve"> </v>
      </c>
    </row>
    <row r="5" spans="1:10" s="66" customFormat="1" ht="33.9" customHeight="1" x14ac:dyDescent="0.3">
      <c r="A5" s="25" t="str">
        <f>CONCATENATE(format!B6,CHAR(10),format!C6)</f>
        <v xml:space="preserve"> 
 </v>
      </c>
      <c r="B5" s="26" t="str">
        <f>format!D6</f>
        <v xml:space="preserve"> </v>
      </c>
      <c r="C5" s="26" t="str">
        <f>format!E6</f>
        <v xml:space="preserve"> </v>
      </c>
      <c r="D5" s="26" t="str">
        <f>format!F6</f>
        <v xml:space="preserve"> </v>
      </c>
      <c r="E5" s="26" t="str">
        <f>CONCATENATE(format!G6,"/",format!H6)</f>
        <v xml:space="preserve"> / </v>
      </c>
      <c r="F5" s="26" t="str">
        <f>CONCATENATE(format!I6,"+")</f>
        <v xml:space="preserve"> +</v>
      </c>
      <c r="G5" s="26" t="str">
        <f>IF(format!J6=" "," ",CONCATENATE(format!J6,"u"))</f>
        <v xml:space="preserve"> </v>
      </c>
      <c r="H5" s="25" t="str">
        <f>CONCATENATE(
IF((format!K6)=0,"",format!K6&amp;CHAR(10)),
IF((format!L6)=0,"",format!L6&amp;CHAR(10)),
IF((format!M6)=0,"",format!M6&amp;CHAR(10)),
IF((format!N6)=0,"",format!N6&amp;CHAR(10)),
IF((format!O6)=0,"",format!O6)
)</f>
        <v/>
      </c>
      <c r="I5" s="26" t="str">
        <f>format!P6</f>
        <v xml:space="preserve"> </v>
      </c>
      <c r="J5" s="26" t="str">
        <f>format!Q6</f>
        <v xml:space="preserve"> </v>
      </c>
    </row>
    <row r="6" spans="1:10" s="66" customFormat="1" ht="33.9" customHeight="1" x14ac:dyDescent="0.3">
      <c r="A6" s="25" t="str">
        <f>CONCATENATE(format!B7,CHAR(10),format!C7)</f>
        <v xml:space="preserve"> 
 </v>
      </c>
      <c r="B6" s="26" t="str">
        <f>format!D7</f>
        <v xml:space="preserve"> </v>
      </c>
      <c r="C6" s="26" t="str">
        <f>format!E7</f>
        <v xml:space="preserve"> </v>
      </c>
      <c r="D6" s="26" t="str">
        <f>format!F7</f>
        <v xml:space="preserve"> </v>
      </c>
      <c r="E6" s="26" t="str">
        <f>CONCATENATE(format!G7,"/",format!H7)</f>
        <v xml:space="preserve"> / </v>
      </c>
      <c r="F6" s="26" t="str">
        <f>CONCATENATE(format!I7,"+")</f>
        <v xml:space="preserve"> +</v>
      </c>
      <c r="G6" s="26" t="str">
        <f>IF(format!J7=" "," ",CONCATENATE(format!J7,"u"))</f>
        <v xml:space="preserve"> </v>
      </c>
      <c r="H6" s="25" t="str">
        <f>CONCATENATE(
IF((format!K7)=0,"",format!K7&amp;CHAR(10)),
IF((format!L7)=0,"",format!L7&amp;CHAR(10)),
IF((format!M7)=0,"",format!M7&amp;CHAR(10)),
IF((format!N7)=0,"",format!N7&amp;CHAR(10)),
IF((format!O7)=0,"",format!O7)
)</f>
        <v/>
      </c>
      <c r="I6" s="26" t="str">
        <f>format!P7</f>
        <v xml:space="preserve"> </v>
      </c>
      <c r="J6" s="26" t="str">
        <f>format!Q7</f>
        <v xml:space="preserve"> </v>
      </c>
    </row>
    <row r="7" spans="1:10" s="66" customFormat="1" ht="77.849999999999994" customHeight="1" x14ac:dyDescent="0.3">
      <c r="A7" s="25" t="str">
        <f>CONCATENATE(format!B8,CHAR(10),format!C8)</f>
        <v xml:space="preserve"> 
 </v>
      </c>
      <c r="B7" s="26" t="str">
        <f>format!D8</f>
        <v xml:space="preserve"> </v>
      </c>
      <c r="C7" s="26" t="str">
        <f>format!E8</f>
        <v xml:space="preserve"> </v>
      </c>
      <c r="D7" s="26" t="str">
        <f>format!F8</f>
        <v xml:space="preserve"> </v>
      </c>
      <c r="E7" s="26" t="str">
        <f>CONCATENATE(format!G8,"/",format!H8)</f>
        <v xml:space="preserve"> / </v>
      </c>
      <c r="F7" s="26" t="str">
        <f>CONCATENATE(format!I8,"+")</f>
        <v xml:space="preserve"> +</v>
      </c>
      <c r="G7" s="26" t="str">
        <f>IF(format!J8=" "," ",CONCATENATE(format!J8,"u"))</f>
        <v xml:space="preserve"> </v>
      </c>
      <c r="H7" s="25" t="str">
        <f>CONCATENATE(
IF((format!K8)=0,"",format!K8&amp;CHAR(10)),
IF((format!L8)=0,"",format!L8&amp;CHAR(10)),
IF((format!M8)=0,"",format!M8&amp;CHAR(10)),
IF((format!N8)=0,"",format!N8&amp;CHAR(10)),
IF((format!O8)=0,"",format!O8)
)</f>
        <v/>
      </c>
      <c r="I7" s="26" t="str">
        <f>format!P8</f>
        <v xml:space="preserve"> </v>
      </c>
      <c r="J7" s="26" t="str">
        <f>format!Q8</f>
        <v xml:space="preserve"> </v>
      </c>
    </row>
    <row r="8" spans="1:10" s="66" customFormat="1" ht="77.849999999999994" customHeight="1" x14ac:dyDescent="0.3">
      <c r="A8" s="25" t="str">
        <f>CONCATENATE(format!B9,CHAR(10),format!C9)</f>
        <v xml:space="preserve"> 
 </v>
      </c>
      <c r="B8" s="26" t="str">
        <f>format!D9</f>
        <v xml:space="preserve"> </v>
      </c>
      <c r="C8" s="26" t="str">
        <f>format!E9</f>
        <v xml:space="preserve"> </v>
      </c>
      <c r="D8" s="26" t="str">
        <f>format!F9</f>
        <v xml:space="preserve"> </v>
      </c>
      <c r="E8" s="26" t="str">
        <f>CONCATENATE(format!G9,"/",format!H9)</f>
        <v xml:space="preserve"> / </v>
      </c>
      <c r="F8" s="26" t="str">
        <f>CONCATENATE(format!I9,"+")</f>
        <v xml:space="preserve"> +</v>
      </c>
      <c r="G8" s="26" t="str">
        <f>IF(format!J9=" "," ",CONCATENATE(format!J9,"u"))</f>
        <v xml:space="preserve"> </v>
      </c>
      <c r="H8" s="25" t="str">
        <f>CONCATENATE(
IF((format!K9)=0,"",format!K9&amp;CHAR(10)),
IF((format!L9)=0,"",format!L9&amp;CHAR(10)),
IF((format!M9)=0,"",format!M9&amp;CHAR(10)),
IF((format!N9)=0,"",format!N9&amp;CHAR(10)),
IF((format!O9)=0,"",format!O9)
)</f>
        <v/>
      </c>
      <c r="I8" s="26" t="str">
        <f>format!P9</f>
        <v xml:space="preserve"> </v>
      </c>
      <c r="J8" s="26" t="str">
        <f>format!Q9</f>
        <v xml:space="preserve"> </v>
      </c>
    </row>
    <row r="9" spans="1:10" s="66" customFormat="1" ht="77.849999999999994" customHeight="1" x14ac:dyDescent="0.3">
      <c r="A9" s="25" t="str">
        <f>CONCATENATE(format!B10,CHAR(10),format!C10)</f>
        <v xml:space="preserve"> 
 </v>
      </c>
      <c r="B9" s="26" t="str">
        <f>format!D10</f>
        <v xml:space="preserve"> </v>
      </c>
      <c r="C9" s="26" t="str">
        <f>format!E10</f>
        <v xml:space="preserve"> </v>
      </c>
      <c r="D9" s="26" t="str">
        <f>format!F10</f>
        <v xml:space="preserve"> </v>
      </c>
      <c r="E9" s="26" t="str">
        <f>CONCATENATE(format!G10,"/",format!H10)</f>
        <v xml:space="preserve"> / </v>
      </c>
      <c r="F9" s="26" t="str">
        <f>CONCATENATE(format!I10,"+")</f>
        <v xml:space="preserve"> +</v>
      </c>
      <c r="G9" s="26" t="str">
        <f>IF(format!J10=" "," ",CONCATENATE(format!J10,"u"))</f>
        <v xml:space="preserve"> </v>
      </c>
      <c r="H9" s="25" t="str">
        <f>CONCATENATE(
IF((format!K10)=0,"",format!K10&amp;CHAR(10)),
IF((format!L10)=0,"",format!L10&amp;CHAR(10)),
IF((format!M10)=0,"",format!M10&amp;CHAR(10)),
IF((format!N10)=0,"",format!N10&amp;CHAR(10)),
IF((format!O10)=0,"",format!O10)
)</f>
        <v/>
      </c>
      <c r="I9" s="26" t="str">
        <f>format!P10</f>
        <v xml:space="preserve"> </v>
      </c>
      <c r="J9" s="26" t="str">
        <f>format!Q10</f>
        <v xml:space="preserve"> </v>
      </c>
    </row>
    <row r="10" spans="1:10" s="66" customFormat="1" ht="77.849999999999994" customHeight="1" x14ac:dyDescent="0.3">
      <c r="A10" s="25" t="str">
        <f>CONCATENATE(format!B11,CHAR(10),format!C11)</f>
        <v xml:space="preserve"> 
 </v>
      </c>
      <c r="B10" s="26" t="str">
        <f>format!D11</f>
        <v xml:space="preserve"> </v>
      </c>
      <c r="C10" s="26" t="str">
        <f>format!E11</f>
        <v xml:space="preserve"> </v>
      </c>
      <c r="D10" s="26" t="str">
        <f>format!F11</f>
        <v xml:space="preserve"> </v>
      </c>
      <c r="E10" s="26" t="str">
        <f>CONCATENATE(format!G11,"/",format!H11)</f>
        <v xml:space="preserve"> / </v>
      </c>
      <c r="F10" s="26" t="str">
        <f>CONCATENATE(format!I11,"+")</f>
        <v xml:space="preserve"> +</v>
      </c>
      <c r="G10" s="26" t="str">
        <f>IF(format!J11=" "," ",CONCATENATE(format!J11,"u"))</f>
        <v xml:space="preserve"> </v>
      </c>
      <c r="H10" s="25" t="str">
        <f>CONCATENATE(
IF((format!K11)=0,"",format!K11&amp;CHAR(10)),
IF((format!L11)=0,"",format!L11&amp;CHAR(10)),
IF((format!M11)=0,"",format!M11&amp;CHAR(10)),
IF((format!N11)=0,"",format!N11&amp;CHAR(10)),
IF((format!O11)=0,"",format!O11)
)</f>
        <v/>
      </c>
      <c r="I10" s="26" t="str">
        <f>format!P11</f>
        <v xml:space="preserve"> </v>
      </c>
      <c r="J10" s="26" t="str">
        <f>format!Q11</f>
        <v xml:space="preserve"> </v>
      </c>
    </row>
    <row r="11" spans="1:10" s="66" customFormat="1" ht="77.849999999999994" customHeight="1" x14ac:dyDescent="0.3">
      <c r="A11" s="25" t="str">
        <f>CONCATENATE(format!B12,CHAR(10),format!C12)</f>
        <v xml:space="preserve"> 
 </v>
      </c>
      <c r="B11" s="26" t="str">
        <f>format!D12</f>
        <v xml:space="preserve"> </v>
      </c>
      <c r="C11" s="26" t="str">
        <f>format!E12</f>
        <v xml:space="preserve"> </v>
      </c>
      <c r="D11" s="26" t="str">
        <f>format!F12</f>
        <v xml:space="preserve"> </v>
      </c>
      <c r="E11" s="26" t="str">
        <f>CONCATENATE(format!G12,"/",format!H12)</f>
        <v xml:space="preserve"> / </v>
      </c>
      <c r="F11" s="26" t="str">
        <f>CONCATENATE(format!I12,"+")</f>
        <v xml:space="preserve"> +</v>
      </c>
      <c r="G11" s="26" t="str">
        <f>IF(format!J12=" "," ",CONCATENATE(format!J12,"u"))</f>
        <v xml:space="preserve"> </v>
      </c>
      <c r="H11" s="25" t="str">
        <f>CONCATENATE(
IF((format!K12)=0,"",format!K12&amp;CHAR(10)),
IF((format!L12)=0,"",format!L12&amp;CHAR(10)),
IF((format!M12)=0,"",format!M12&amp;CHAR(10)),
IF((format!N12)=0,"",format!N12&amp;CHAR(10)),
IF((format!O12)=0,"",format!O12)
)</f>
        <v/>
      </c>
      <c r="I11" s="26" t="str">
        <f>format!P12</f>
        <v xml:space="preserve"> </v>
      </c>
      <c r="J11" s="26" t="str">
        <f>format!Q12</f>
        <v xml:space="preserve"> </v>
      </c>
    </row>
    <row r="12" spans="1:10" s="66" customFormat="1" ht="77.849999999999994" customHeight="1" x14ac:dyDescent="0.3">
      <c r="A12" s="25" t="str">
        <f>CONCATENATE(format!B13,CHAR(10),format!C13)</f>
        <v xml:space="preserve"> 
 </v>
      </c>
      <c r="B12" s="26" t="str">
        <f>format!D13</f>
        <v xml:space="preserve"> </v>
      </c>
      <c r="C12" s="26" t="str">
        <f>format!E13</f>
        <v xml:space="preserve"> </v>
      </c>
      <c r="D12" s="26" t="str">
        <f>format!F13</f>
        <v xml:space="preserve"> </v>
      </c>
      <c r="E12" s="26" t="str">
        <f>CONCATENATE(format!G13,"/",format!H13)</f>
        <v xml:space="preserve"> / </v>
      </c>
      <c r="F12" s="26" t="str">
        <f>CONCATENATE(format!I13,"+")</f>
        <v xml:space="preserve"> +</v>
      </c>
      <c r="G12" s="26" t="str">
        <f>IF(format!J13=" "," ",CONCATENATE(format!J13,"u"))</f>
        <v xml:space="preserve"> </v>
      </c>
      <c r="H12" s="25" t="str">
        <f>CONCATENATE(
IF((format!K13)=0,"",format!K13&amp;CHAR(10)),
IF((format!L13)=0,"",format!L13&amp;CHAR(10)),
IF((format!M13)=0,"",format!M13&amp;CHAR(10)),
IF((format!N13)=0,"",format!N13&amp;CHAR(10)),
IF((format!O13)=0,"",format!O13)
)</f>
        <v/>
      </c>
      <c r="I12" s="26" t="str">
        <f>format!P13</f>
        <v xml:space="preserve"> </v>
      </c>
      <c r="J12" s="26" t="str">
        <f>format!Q13</f>
        <v xml:space="preserve"> </v>
      </c>
    </row>
    <row r="13" spans="1:10" s="66" customFormat="1" ht="77.849999999999994" customHeight="1" x14ac:dyDescent="0.3">
      <c r="A13" s="25" t="str">
        <f>CONCATENATE(format!B14,CHAR(10),format!C14)</f>
        <v xml:space="preserve"> 
 </v>
      </c>
      <c r="B13" s="26" t="str">
        <f>format!D14</f>
        <v xml:space="preserve"> </v>
      </c>
      <c r="C13" s="26" t="str">
        <f>format!E14</f>
        <v xml:space="preserve"> </v>
      </c>
      <c r="D13" s="26" t="str">
        <f>format!F14</f>
        <v xml:space="preserve"> </v>
      </c>
      <c r="E13" s="26" t="str">
        <f>CONCATENATE(format!G14,"/",format!H14)</f>
        <v xml:space="preserve"> / </v>
      </c>
      <c r="F13" s="26" t="str">
        <f>CONCATENATE(format!I14,"+")</f>
        <v xml:space="preserve"> +</v>
      </c>
      <c r="G13" s="26" t="str">
        <f>IF(format!J14=" "," ",CONCATENATE(format!J14,"u"))</f>
        <v xml:space="preserve"> </v>
      </c>
      <c r="H13" s="25" t="str">
        <f>CONCATENATE(
IF((format!K14)=0,"",format!K14&amp;CHAR(10)),
IF((format!L14)=0,"",format!L14&amp;CHAR(10)),
IF((format!M14)=0,"",format!M14&amp;CHAR(10)),
IF((format!N14)=0,"",format!N14&amp;CHAR(10)),
IF((format!O14)=0,"",format!O14)
)</f>
        <v/>
      </c>
      <c r="I13" s="26" t="str">
        <f>format!P14</f>
        <v xml:space="preserve"> </v>
      </c>
      <c r="J13" s="26" t="str">
        <f>format!Q14</f>
        <v xml:space="preserve"> </v>
      </c>
    </row>
    <row r="14" spans="1:10" s="66" customFormat="1" ht="33.9" customHeight="1" x14ac:dyDescent="0.3">
      <c r="A14" s="25" t="str">
        <f>CONCATENATE(format!B15,CHAR(10),format!C15)</f>
        <v xml:space="preserve"> 
 </v>
      </c>
      <c r="B14" s="26" t="str">
        <f>format!D15</f>
        <v xml:space="preserve"> </v>
      </c>
      <c r="C14" s="26" t="str">
        <f>format!E15</f>
        <v xml:space="preserve"> </v>
      </c>
      <c r="D14" s="26" t="str">
        <f>format!F15</f>
        <v xml:space="preserve"> </v>
      </c>
      <c r="E14" s="26" t="str">
        <f>CONCATENATE(format!G15,"/",format!H15)</f>
        <v xml:space="preserve"> / </v>
      </c>
      <c r="F14" s="26" t="str">
        <f>CONCATENATE(format!I15,"+")</f>
        <v xml:space="preserve"> +</v>
      </c>
      <c r="G14" s="26" t="str">
        <f>IF(format!J15=" "," ",CONCATENATE(format!J15,"u"))</f>
        <v xml:space="preserve"> </v>
      </c>
      <c r="H14" s="25" t="str">
        <f>CONCATENATE(
IF((format!K15)=0,"",format!K15&amp;CHAR(10)),
IF((format!L15)=0,"",format!L15&amp;CHAR(10)),
IF((format!M15)=0,"",format!M15&amp;CHAR(10)),
IF((format!N15)=0,"",format!N15&amp;CHAR(10)),
IF((format!O15)=0,"",format!O15)
)</f>
        <v/>
      </c>
      <c r="I14" s="26" t="str">
        <f>format!P15</f>
        <v xml:space="preserve"> </v>
      </c>
      <c r="J14" s="26" t="str">
        <f>format!Q15</f>
        <v xml:space="preserve"> </v>
      </c>
    </row>
    <row r="15" spans="1:10" s="66" customFormat="1" ht="33.9" customHeight="1" x14ac:dyDescent="0.3">
      <c r="A15" s="25" t="str">
        <f>CONCATENATE(format!B16,CHAR(10),format!C16)</f>
        <v xml:space="preserve"> 
 </v>
      </c>
      <c r="B15" s="26" t="str">
        <f>format!D16</f>
        <v xml:space="preserve"> </v>
      </c>
      <c r="C15" s="26" t="str">
        <f>format!E16</f>
        <v xml:space="preserve"> </v>
      </c>
      <c r="D15" s="26" t="str">
        <f>format!F16</f>
        <v xml:space="preserve"> </v>
      </c>
      <c r="E15" s="26" t="str">
        <f>CONCATENATE(format!G16,"/",format!H16)</f>
        <v xml:space="preserve"> / </v>
      </c>
      <c r="F15" s="26" t="str">
        <f>CONCATENATE(format!I16,"+")</f>
        <v xml:space="preserve"> +</v>
      </c>
      <c r="G15" s="26" t="str">
        <f>IF(format!J16=" "," ",CONCATENATE(format!J16,"u"))</f>
        <v xml:space="preserve"> </v>
      </c>
      <c r="H15" s="25" t="str">
        <f>CONCATENATE(
IF((format!K16)=0,"",format!K16&amp;CHAR(10)),
IF((format!L16)=0,"",format!L16&amp;CHAR(10)),
IF((format!M16)=0,"",format!M16&amp;CHAR(10)),
IF((format!N16)=0,"",format!N16&amp;CHAR(10)),
IF((format!O16)=0,"",format!O16)
)</f>
        <v/>
      </c>
      <c r="I15" s="26" t="str">
        <f>format!P16</f>
        <v xml:space="preserve"> </v>
      </c>
      <c r="J15" s="26" t="str">
        <f>format!Q16</f>
        <v xml:space="preserve"> </v>
      </c>
    </row>
    <row r="16" spans="1:10" ht="33.9" customHeight="1" x14ac:dyDescent="0.3">
      <c r="A16" s="25" t="str">
        <f>CONCATENATE(format!B17,CHAR(10),format!C17)</f>
        <v xml:space="preserve"> 
 </v>
      </c>
      <c r="B16" s="26" t="str">
        <f>format!D17</f>
        <v xml:space="preserve"> </v>
      </c>
      <c r="C16" s="26" t="str">
        <f>format!E17</f>
        <v xml:space="preserve"> </v>
      </c>
      <c r="D16" s="26" t="str">
        <f>format!F17</f>
        <v xml:space="preserve"> </v>
      </c>
      <c r="E16" s="26" t="str">
        <f>CONCATENATE(format!G17,"/",format!H17)</f>
        <v xml:space="preserve"> / </v>
      </c>
      <c r="F16" s="26" t="str">
        <f>CONCATENATE(format!I17,"+")</f>
        <v xml:space="preserve"> +</v>
      </c>
      <c r="G16" s="26" t="str">
        <f>IF(format!J17=" "," ",CONCATENATE(format!J17,"u"))</f>
        <v xml:space="preserve"> </v>
      </c>
      <c r="H16" s="25" t="str">
        <f>CONCATENATE(
IF((format!K17)=0,"",format!K17&amp;CHAR(10)),
IF((format!L17)=0,"",format!L17&amp;CHAR(10)),
IF((format!M17)=0,"",format!M17&amp;CHAR(10)),
IF((format!N17)=0,"",format!N17&amp;CHAR(10)),
IF((format!O17)=0,"",format!O17)
)</f>
        <v/>
      </c>
      <c r="I16" s="26" t="str">
        <f>format!P17</f>
        <v xml:space="preserve"> </v>
      </c>
      <c r="J16" s="26" t="str">
        <f>format!Q17</f>
        <v xml:space="preserve"> </v>
      </c>
    </row>
    <row r="17" spans="1:10" ht="33.9" customHeight="1" x14ac:dyDescent="0.3">
      <c r="A17" s="25" t="str">
        <f>CONCATENATE(format!B18,CHAR(10),format!C18)</f>
        <v xml:space="preserve"> 
 </v>
      </c>
      <c r="B17" s="26" t="str">
        <f>format!D18</f>
        <v xml:space="preserve"> </v>
      </c>
      <c r="C17" s="26" t="str">
        <f>format!E18</f>
        <v xml:space="preserve"> </v>
      </c>
      <c r="D17" s="26" t="str">
        <f>format!F18</f>
        <v xml:space="preserve"> </v>
      </c>
      <c r="E17" s="26" t="str">
        <f>CONCATENATE(format!G18,"/",format!H18)</f>
        <v xml:space="preserve"> / </v>
      </c>
      <c r="F17" s="26" t="str">
        <f>CONCATENATE(format!I18,"+")</f>
        <v xml:space="preserve"> +</v>
      </c>
      <c r="G17" s="26" t="str">
        <f>IF(format!J18=" "," ",CONCATENATE(format!J18,"u"))</f>
        <v xml:space="preserve"> </v>
      </c>
      <c r="H17" s="25" t="str">
        <f>CONCATENATE(
IF((format!K18)=0,"",format!K18&amp;CHAR(10)),
IF((format!L18)=0,"",format!L18&amp;CHAR(10)),
IF((format!M18)=0,"",format!M18&amp;CHAR(10)),
IF((format!N18)=0,"",format!N18&amp;CHAR(10)),
IF((format!O18)=0,"",format!O18)
)</f>
        <v/>
      </c>
      <c r="I17" s="26" t="str">
        <f>format!P18</f>
        <v xml:space="preserve"> </v>
      </c>
      <c r="J17" s="26" t="str">
        <f>format!Q18</f>
        <v xml:space="preserve"> </v>
      </c>
    </row>
    <row r="18" spans="1:10" ht="33.9" customHeight="1" x14ac:dyDescent="0.3">
      <c r="A18" s="25" t="str">
        <f>CONCATENATE(format!B19,CHAR(10),format!C19)</f>
        <v xml:space="preserve"> 
 </v>
      </c>
      <c r="B18" s="26" t="str">
        <f>format!D19</f>
        <v xml:space="preserve"> </v>
      </c>
      <c r="C18" s="26" t="str">
        <f>format!E19</f>
        <v xml:space="preserve"> </v>
      </c>
      <c r="D18" s="26" t="str">
        <f>format!F19</f>
        <v xml:space="preserve"> </v>
      </c>
      <c r="E18" s="26" t="str">
        <f>CONCATENATE(format!G19,"/",format!H19)</f>
        <v xml:space="preserve"> / </v>
      </c>
      <c r="F18" s="26" t="str">
        <f>CONCATENATE(format!I19,"+")</f>
        <v xml:space="preserve"> +</v>
      </c>
      <c r="G18" s="26" t="str">
        <f>IF(format!J19=" "," ",CONCATENATE(format!J19,"u"))</f>
        <v xml:space="preserve"> </v>
      </c>
      <c r="H18" s="25" t="str">
        <f>CONCATENATE(
IF((format!K19)=0,"",format!K19&amp;CHAR(10)),
IF((format!L19)=0,"",format!L19&amp;CHAR(10)),
IF((format!M19)=0,"",format!M19&amp;CHAR(10)),
IF((format!N19)=0,"",format!N19&amp;CHAR(10)),
IF((format!O19)=0,"",format!O19)
)</f>
        <v/>
      </c>
      <c r="I18" s="26" t="str">
        <f>format!P19</f>
        <v xml:space="preserve"> </v>
      </c>
      <c r="J18" s="26" t="str">
        <f>format!Q19</f>
        <v xml:space="preserve"> </v>
      </c>
    </row>
    <row r="19" spans="1:10" ht="33.9" customHeight="1" x14ac:dyDescent="0.3">
      <c r="A19" s="25" t="str">
        <f>CONCATENATE(format!B20,CHAR(10),format!C20)</f>
        <v xml:space="preserve"> 
 </v>
      </c>
      <c r="B19" s="26" t="str">
        <f>format!D20</f>
        <v xml:space="preserve"> </v>
      </c>
      <c r="C19" s="26" t="str">
        <f>format!E20</f>
        <v xml:space="preserve"> </v>
      </c>
      <c r="D19" s="26" t="str">
        <f>format!F20</f>
        <v xml:space="preserve"> </v>
      </c>
      <c r="E19" s="26" t="str">
        <f>CONCATENATE(format!G20,"/",format!H20)</f>
        <v xml:space="preserve"> / </v>
      </c>
      <c r="F19" s="26" t="str">
        <f>CONCATENATE(format!I20,"+")</f>
        <v xml:space="preserve"> +</v>
      </c>
      <c r="G19" s="26" t="str">
        <f>IF(format!J20=" "," ",CONCATENATE(format!J20,"u"))</f>
        <v xml:space="preserve"> </v>
      </c>
      <c r="H19" s="25" t="str">
        <f>CONCATENATE(
IF((format!K20)=0,"",format!K20&amp;CHAR(10)),
IF((format!L20)=0,"",format!L20&amp;CHAR(10)),
IF((format!M20)=0,"",format!M20&amp;CHAR(10)),
IF((format!N20)=0,"",format!N20&amp;CHAR(10)),
IF((format!O20)=0,"",format!O20)
)</f>
        <v/>
      </c>
      <c r="I19" s="26" t="str">
        <f>format!P20</f>
        <v xml:space="preserve"> </v>
      </c>
      <c r="J19" s="26" t="str">
        <f>format!Q20</f>
        <v xml:space="preserve"> </v>
      </c>
    </row>
    <row r="20" spans="1:10" ht="33.9" customHeight="1" x14ac:dyDescent="0.3">
      <c r="A20" s="25" t="str">
        <f>CONCATENATE(format!B21,CHAR(10),format!C21)</f>
        <v xml:space="preserve"> 
 </v>
      </c>
      <c r="B20" s="26" t="str">
        <f>format!D21</f>
        <v xml:space="preserve"> </v>
      </c>
      <c r="C20" s="26" t="str">
        <f>format!E21</f>
        <v xml:space="preserve"> </v>
      </c>
      <c r="D20" s="26" t="str">
        <f>format!F21</f>
        <v xml:space="preserve"> </v>
      </c>
      <c r="E20" s="26" t="str">
        <f>CONCATENATE(format!G21,"/",format!H21)</f>
        <v xml:space="preserve"> / </v>
      </c>
      <c r="F20" s="26" t="str">
        <f>CONCATENATE(format!I21,"+")</f>
        <v xml:space="preserve"> +</v>
      </c>
      <c r="G20" s="26" t="str">
        <f>IF(format!J21=" "," ",CONCATENATE(format!J21,"u"))</f>
        <v xml:space="preserve"> </v>
      </c>
      <c r="H20" s="25" t="str">
        <f>CONCATENATE(
IF((format!K21)=0,"",format!K21&amp;CHAR(10)),
IF((format!L21)=0,"",format!L21&amp;CHAR(10)),
IF((format!M21)=0,"",format!M21&amp;CHAR(10)),
IF((format!N21)=0,"",format!N21&amp;CHAR(10)),
IF((format!O21)=0,"",format!O21)
)</f>
        <v/>
      </c>
      <c r="I20" s="26" t="str">
        <f>format!P21</f>
        <v xml:space="preserve"> </v>
      </c>
      <c r="J20" s="26" t="str">
        <f>format!Q21</f>
        <v xml:space="preserve"> </v>
      </c>
    </row>
    <row r="21" spans="1:10" x14ac:dyDescent="0.3">
      <c r="B21" s="24"/>
      <c r="C21" s="24"/>
      <c r="D21" s="24"/>
      <c r="E21" s="24"/>
      <c r="F21" s="24"/>
      <c r="G21" s="24"/>
      <c r="I21" s="24"/>
      <c r="J21" s="24"/>
    </row>
    <row r="22" spans="1:10" x14ac:dyDescent="0.3">
      <c r="B22" s="24"/>
      <c r="C22" s="24"/>
      <c r="D22" s="24"/>
      <c r="E22" s="24"/>
      <c r="F22" s="24"/>
      <c r="G22" s="24"/>
      <c r="I22" s="24"/>
      <c r="J22" s="24"/>
    </row>
    <row r="23" spans="1:10" x14ac:dyDescent="0.3">
      <c r="B23" s="24"/>
      <c r="C23" s="24"/>
      <c r="D23" s="24"/>
      <c r="E23" s="24"/>
      <c r="F23" s="24"/>
      <c r="G23" s="24"/>
      <c r="I23" s="24"/>
      <c r="J23" s="24"/>
    </row>
    <row r="24" spans="1:10" x14ac:dyDescent="0.3">
      <c r="B24" s="24"/>
      <c r="C24" s="24"/>
      <c r="D24" s="24"/>
      <c r="E24" s="24"/>
      <c r="F24" s="24"/>
      <c r="G24" s="24"/>
      <c r="I24" s="24"/>
      <c r="J24" s="24"/>
    </row>
    <row r="25" spans="1:10" x14ac:dyDescent="0.3">
      <c r="B25" s="24"/>
      <c r="C25" s="24"/>
      <c r="D25" s="24"/>
      <c r="E25" s="24"/>
      <c r="F25" s="24"/>
      <c r="G25" s="24"/>
      <c r="I25" s="24"/>
      <c r="J25" s="24"/>
    </row>
    <row r="26" spans="1:10" x14ac:dyDescent="0.3">
      <c r="B26" s="24"/>
      <c r="C26" s="24"/>
      <c r="D26" s="24"/>
      <c r="E26" s="24"/>
      <c r="F26" s="24"/>
      <c r="G26" s="24"/>
      <c r="I26" s="24"/>
      <c r="J26" s="24"/>
    </row>
    <row r="27" spans="1:10" x14ac:dyDescent="0.3">
      <c r="B27" s="24"/>
      <c r="C27" s="24"/>
      <c r="D27" s="24"/>
      <c r="E27" s="24"/>
      <c r="F27" s="24"/>
      <c r="G27" s="24"/>
      <c r="I27" s="24"/>
      <c r="J27" s="24"/>
    </row>
    <row r="28" spans="1:10" x14ac:dyDescent="0.3">
      <c r="B28" s="24"/>
      <c r="C28" s="24"/>
      <c r="D28" s="24"/>
      <c r="E28" s="24"/>
      <c r="F28" s="24"/>
      <c r="G28" s="24"/>
      <c r="I28" s="24"/>
      <c r="J28" s="24"/>
    </row>
    <row r="29" spans="1:10" x14ac:dyDescent="0.3">
      <c r="B29" s="24"/>
      <c r="C29" s="24"/>
      <c r="D29" s="24"/>
      <c r="E29" s="24"/>
      <c r="F29" s="24"/>
      <c r="G29" s="24"/>
      <c r="I29" s="24"/>
      <c r="J29" s="24"/>
    </row>
    <row r="30" spans="1:10" x14ac:dyDescent="0.3">
      <c r="B30" s="24"/>
      <c r="C30" s="24"/>
      <c r="D30" s="24"/>
      <c r="E30" s="24"/>
      <c r="F30" s="24"/>
      <c r="G30" s="24"/>
      <c r="I30" s="24"/>
      <c r="J30" s="24"/>
    </row>
    <row r="31" spans="1:10" x14ac:dyDescent="0.3">
      <c r="B31" s="24"/>
      <c r="C31" s="24"/>
      <c r="D31" s="24"/>
      <c r="E31" s="24"/>
      <c r="F31" s="24"/>
      <c r="G31" s="24"/>
      <c r="I31" s="24"/>
      <c r="J31" s="24"/>
    </row>
    <row r="32" spans="1:10" x14ac:dyDescent="0.3">
      <c r="B32" s="24"/>
      <c r="C32" s="24"/>
      <c r="D32" s="24"/>
      <c r="E32" s="24"/>
      <c r="F32" s="24"/>
      <c r="G32" s="24"/>
      <c r="I32" s="24"/>
      <c r="J32" s="24"/>
    </row>
    <row r="33" s="24" customFormat="1" x14ac:dyDescent="0.3"/>
    <row r="34" s="24" customFormat="1" x14ac:dyDescent="0.3"/>
    <row r="35" s="24" customFormat="1" x14ac:dyDescent="0.3"/>
    <row r="36" s="24" customFormat="1" x14ac:dyDescent="0.3"/>
    <row r="37" s="24" customFormat="1" x14ac:dyDescent="0.3"/>
    <row r="38" s="24" customFormat="1" x14ac:dyDescent="0.3"/>
    <row r="39" s="24" customFormat="1" x14ac:dyDescent="0.3"/>
    <row r="40" s="24" customFormat="1" x14ac:dyDescent="0.3"/>
    <row r="41" s="24" customFormat="1" x14ac:dyDescent="0.3"/>
    <row r="42" s="24" customFormat="1" x14ac:dyDescent="0.3"/>
    <row r="43" s="24" customFormat="1" x14ac:dyDescent="0.3"/>
    <row r="44" s="24" customFormat="1" x14ac:dyDescent="0.3"/>
    <row r="45" s="24" customFormat="1" x14ac:dyDescent="0.3"/>
    <row r="46" s="24" customFormat="1" x14ac:dyDescent="0.3"/>
    <row r="47" s="24" customFormat="1" x14ac:dyDescent="0.3"/>
    <row r="48" s="24" customFormat="1" x14ac:dyDescent="0.3"/>
    <row r="49" s="24" customFormat="1" x14ac:dyDescent="0.3"/>
    <row r="50" s="24" customFormat="1" x14ac:dyDescent="0.3"/>
    <row r="51" s="24" customFormat="1" x14ac:dyDescent="0.3"/>
    <row r="52" s="24" customFormat="1" x14ac:dyDescent="0.3"/>
    <row r="53" s="24" customFormat="1" x14ac:dyDescent="0.3"/>
  </sheetData>
  <sheetProtection algorithmName="SHA-512" hashValue="xo1J2yJxJUhKUf2hGi5ST2jH8mMvFN3JEMY3+WFx8dM9/jG/SGw4URWlQF1IpSvhfvJSA3cfBXTfzqbniZYD8Q==" saltValue="ERAqJEWGrlYHZxubMUC+bg==" spinCount="100000" sheet="1" objects="1" scenarios="1" formatColumns="0" formatRows="0"/>
  <mergeCells count="6">
    <mergeCell ref="A2:B2"/>
    <mergeCell ref="A1:B1"/>
    <mergeCell ref="C1:H1"/>
    <mergeCell ref="C2:H2"/>
    <mergeCell ref="I1:J1"/>
    <mergeCell ref="I2:J2"/>
  </mergeCells>
  <conditionalFormatting sqref="A9:F9 I9:J9">
    <cfRule type="expression" dxfId="10" priority="11">
      <formula>$B$9=" "</formula>
    </cfRule>
  </conditionalFormatting>
  <conditionalFormatting sqref="A8:F8 I8:J8">
    <cfRule type="expression" dxfId="9" priority="10">
      <formula>$B$8=" "</formula>
    </cfRule>
  </conditionalFormatting>
  <conditionalFormatting sqref="A7:F7 I7:J7">
    <cfRule type="expression" dxfId="8" priority="9">
      <formula>$B$7=" "</formula>
    </cfRule>
  </conditionalFormatting>
  <conditionalFormatting sqref="A10:F10 I10:J10">
    <cfRule type="expression" dxfId="7" priority="8">
      <formula>$B$10=" "</formula>
    </cfRule>
  </conditionalFormatting>
  <conditionalFormatting sqref="A11:F11 I11:J11">
    <cfRule type="expression" dxfId="6" priority="7">
      <formula>$B$11=" "</formula>
    </cfRule>
  </conditionalFormatting>
  <conditionalFormatting sqref="A12:F12 I12:J12">
    <cfRule type="expression" dxfId="5" priority="6">
      <formula>$B$12=" "</formula>
    </cfRule>
  </conditionalFormatting>
  <conditionalFormatting sqref="A13:F13 I13:J13">
    <cfRule type="expression" dxfId="4" priority="5">
      <formula>$B$13=" "</formula>
    </cfRule>
  </conditionalFormatting>
  <conditionalFormatting sqref="A14:F14 I14:J14">
    <cfRule type="expression" dxfId="3" priority="4">
      <formula>$B$14=" "</formula>
    </cfRule>
  </conditionalFormatting>
  <conditionalFormatting sqref="A15:F20 I15:J20">
    <cfRule type="expression" dxfId="2" priority="3">
      <formula>$B$15=" "</formula>
    </cfRule>
  </conditionalFormatting>
  <pageMargins left="0.59055118110236227" right="0.49479166666666669" top="0.59055118110236227" bottom="0.59055118110236227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6878-ABA6-418D-8B27-C0A515C4E96F}">
  <dimension ref="A1:T119"/>
  <sheetViews>
    <sheetView topLeftCell="A25" workbookViewId="0">
      <selection activeCell="L42" sqref="L42"/>
    </sheetView>
  </sheetViews>
  <sheetFormatPr defaultColWidth="8.88671875" defaultRowHeight="15" x14ac:dyDescent="0.35"/>
  <cols>
    <col min="1" max="1" width="8.88671875" style="5"/>
    <col min="2" max="2" width="21" style="5" bestFit="1" customWidth="1"/>
    <col min="3" max="3" width="6.88671875" style="3" bestFit="1" customWidth="1"/>
    <col min="4" max="4" width="5.33203125" style="3" bestFit="1" customWidth="1"/>
    <col min="5" max="5" width="5.5546875" style="3" bestFit="1" customWidth="1"/>
    <col min="6" max="6" width="5.5546875" style="3" customWidth="1"/>
    <col min="7" max="7" width="5.6640625" style="3" bestFit="1" customWidth="1"/>
    <col min="8" max="8" width="7.109375" style="3" bestFit="1" customWidth="1"/>
    <col min="9" max="9" width="9.44140625" style="3" bestFit="1" customWidth="1"/>
    <col min="10" max="10" width="6" style="3" bestFit="1" customWidth="1"/>
    <col min="11" max="11" width="12.6640625" style="3" bestFit="1" customWidth="1"/>
    <col min="12" max="12" width="9.44140625" style="3" bestFit="1" customWidth="1"/>
    <col min="13" max="13" width="12.6640625" style="3" bestFit="1" customWidth="1"/>
    <col min="14" max="14" width="19.5546875" style="3" customWidth="1"/>
    <col min="15" max="20" width="19.5546875" style="1" customWidth="1"/>
    <col min="21" max="16384" width="8.88671875" style="1"/>
  </cols>
  <sheetData>
    <row r="1" spans="1:20" x14ac:dyDescent="0.35">
      <c r="C1" s="7" t="s">
        <v>75</v>
      </c>
      <c r="D1" s="7" t="s">
        <v>76</v>
      </c>
      <c r="E1" s="7" t="s">
        <v>77</v>
      </c>
      <c r="F1" s="7"/>
      <c r="G1" s="7" t="s">
        <v>78</v>
      </c>
      <c r="H1" s="18" t="s">
        <v>79</v>
      </c>
    </row>
    <row r="2" spans="1:20" x14ac:dyDescent="0.35">
      <c r="B2" s="9" t="s">
        <v>17</v>
      </c>
      <c r="C2" s="8"/>
      <c r="D2" s="8"/>
      <c r="E2" s="8"/>
      <c r="F2" s="109" t="s">
        <v>10</v>
      </c>
      <c r="G2" s="109"/>
      <c r="H2" s="8"/>
      <c r="I2" s="8"/>
      <c r="J2" s="8"/>
      <c r="K2" s="8"/>
      <c r="L2" s="8"/>
      <c r="T2" s="56">
        <f>ROUNDUP((Builder!R2/500),0)</f>
        <v>0</v>
      </c>
    </row>
    <row r="3" spans="1:20" s="2" customFormat="1" x14ac:dyDescent="0.35">
      <c r="A3" s="6"/>
      <c r="B3" s="6" t="s">
        <v>9</v>
      </c>
      <c r="C3" s="4" t="s">
        <v>0</v>
      </c>
      <c r="D3" s="4" t="s">
        <v>1</v>
      </c>
      <c r="E3" s="4" t="s">
        <v>2</v>
      </c>
      <c r="F3" s="4" t="s">
        <v>106</v>
      </c>
      <c r="G3" s="2" t="s">
        <v>107</v>
      </c>
      <c r="H3" s="4" t="s">
        <v>4</v>
      </c>
      <c r="I3" s="4" t="s">
        <v>3</v>
      </c>
      <c r="J3" s="4" t="s">
        <v>5</v>
      </c>
      <c r="K3" s="4" t="s">
        <v>18</v>
      </c>
      <c r="L3" s="4" t="s">
        <v>19</v>
      </c>
      <c r="M3" s="4"/>
      <c r="N3" s="4"/>
      <c r="O3" s="2" t="s">
        <v>63</v>
      </c>
      <c r="R3" s="2" t="s">
        <v>188</v>
      </c>
      <c r="T3" s="72">
        <f>Builder!R2</f>
        <v>0</v>
      </c>
    </row>
    <row r="4" spans="1:20" x14ac:dyDescent="0.35">
      <c r="B4" s="12" t="s">
        <v>6</v>
      </c>
      <c r="C4" s="13">
        <v>2</v>
      </c>
      <c r="D4" s="13">
        <v>4</v>
      </c>
      <c r="E4" s="13">
        <v>2</v>
      </c>
      <c r="F4" s="19">
        <v>0</v>
      </c>
      <c r="G4" s="19">
        <v>0</v>
      </c>
      <c r="H4" s="13">
        <v>6</v>
      </c>
      <c r="I4" s="13">
        <v>3</v>
      </c>
      <c r="J4" s="13">
        <v>60</v>
      </c>
      <c r="K4" s="13"/>
      <c r="L4" s="13"/>
      <c r="N4" s="14" t="s">
        <v>64</v>
      </c>
      <c r="O4" s="1" t="s">
        <v>88</v>
      </c>
      <c r="R4" s="1">
        <v>1</v>
      </c>
      <c r="T4" s="56">
        <v>1</v>
      </c>
    </row>
    <row r="5" spans="1:20" x14ac:dyDescent="0.35">
      <c r="B5" s="12" t="s">
        <v>87</v>
      </c>
      <c r="C5" s="13">
        <v>2</v>
      </c>
      <c r="D5" s="13">
        <v>4</v>
      </c>
      <c r="E5" s="13">
        <v>1</v>
      </c>
      <c r="F5" s="19">
        <v>0</v>
      </c>
      <c r="G5" s="19">
        <v>0</v>
      </c>
      <c r="H5" s="13">
        <v>6</v>
      </c>
      <c r="I5" s="13">
        <v>3</v>
      </c>
      <c r="J5" s="13">
        <v>75</v>
      </c>
      <c r="K5" s="13"/>
      <c r="L5" s="13"/>
      <c r="N5" s="14" t="s">
        <v>64</v>
      </c>
      <c r="O5" s="1" t="s">
        <v>88</v>
      </c>
      <c r="R5" s="1">
        <v>1</v>
      </c>
      <c r="T5" s="56">
        <v>1</v>
      </c>
    </row>
    <row r="6" spans="1:20" x14ac:dyDescent="0.35">
      <c r="B6" s="12" t="s">
        <v>7</v>
      </c>
      <c r="C6" s="13">
        <v>1</v>
      </c>
      <c r="D6" s="13">
        <v>4</v>
      </c>
      <c r="E6" s="13">
        <v>1</v>
      </c>
      <c r="F6" s="19">
        <v>0</v>
      </c>
      <c r="G6" s="19">
        <v>0</v>
      </c>
      <c r="H6" s="13">
        <v>5</v>
      </c>
      <c r="I6" s="13">
        <v>2</v>
      </c>
      <c r="J6" s="13">
        <v>25</v>
      </c>
      <c r="K6" s="13"/>
      <c r="L6" s="13"/>
      <c r="N6" s="14" t="s">
        <v>64</v>
      </c>
      <c r="O6" s="60" t="s">
        <v>158</v>
      </c>
      <c r="R6" s="1">
        <v>3</v>
      </c>
      <c r="T6" s="56">
        <f>ROUNDUP($T$2*R6,0)</f>
        <v>0</v>
      </c>
    </row>
    <row r="7" spans="1:20" x14ac:dyDescent="0.35">
      <c r="B7" s="12" t="s">
        <v>128</v>
      </c>
      <c r="C7" s="13">
        <v>1</v>
      </c>
      <c r="D7" s="13">
        <v>4</v>
      </c>
      <c r="E7" s="13">
        <v>1</v>
      </c>
      <c r="F7" s="19">
        <v>0</v>
      </c>
      <c r="G7" s="19">
        <v>0</v>
      </c>
      <c r="H7" s="13">
        <v>5</v>
      </c>
      <c r="I7" s="13">
        <v>0</v>
      </c>
      <c r="J7" s="13">
        <v>40</v>
      </c>
      <c r="K7" s="13"/>
      <c r="L7" s="13"/>
      <c r="N7" s="14" t="s">
        <v>64</v>
      </c>
      <c r="O7" s="1" t="s">
        <v>159</v>
      </c>
      <c r="R7" s="1">
        <v>1</v>
      </c>
      <c r="T7" s="56">
        <f>ROUNDUP($T$2*R7,0)</f>
        <v>0</v>
      </c>
    </row>
    <row r="8" spans="1:20" x14ac:dyDescent="0.35">
      <c r="B8" s="12" t="s">
        <v>8</v>
      </c>
      <c r="C8" s="13">
        <v>1</v>
      </c>
      <c r="D8" s="13">
        <v>4</v>
      </c>
      <c r="E8" s="13">
        <v>1</v>
      </c>
      <c r="F8" s="19">
        <v>0</v>
      </c>
      <c r="G8" s="19">
        <v>0</v>
      </c>
      <c r="H8" s="13">
        <v>6</v>
      </c>
      <c r="I8" s="13">
        <v>0</v>
      </c>
      <c r="J8" s="13">
        <v>25</v>
      </c>
      <c r="K8" s="13"/>
      <c r="L8" s="13"/>
      <c r="N8" s="14" t="s">
        <v>64</v>
      </c>
      <c r="O8" s="1" t="s">
        <v>65</v>
      </c>
      <c r="R8" s="1">
        <v>1</v>
      </c>
      <c r="S8" s="1">
        <f>MAX(Builder!AY3:AY5)</f>
        <v>0</v>
      </c>
      <c r="T8" s="56">
        <f>R8+S8</f>
        <v>1</v>
      </c>
    </row>
    <row r="9" spans="1:20" x14ac:dyDescent="0.35">
      <c r="B9" s="5" t="s">
        <v>11</v>
      </c>
      <c r="C9" s="3">
        <v>5</v>
      </c>
      <c r="D9" s="3">
        <v>2</v>
      </c>
      <c r="E9" s="3">
        <v>4</v>
      </c>
      <c r="F9" s="7">
        <v>0</v>
      </c>
      <c r="G9" s="7">
        <v>0</v>
      </c>
      <c r="H9" s="3">
        <v>5</v>
      </c>
      <c r="I9" s="3">
        <v>0</v>
      </c>
      <c r="J9" s="3">
        <v>36</v>
      </c>
    </row>
    <row r="10" spans="1:20" x14ac:dyDescent="0.35">
      <c r="B10" s="5" t="s">
        <v>12</v>
      </c>
      <c r="C10" s="3">
        <v>4</v>
      </c>
      <c r="D10" s="3">
        <v>2</v>
      </c>
      <c r="E10" s="3">
        <v>3</v>
      </c>
      <c r="F10" s="7">
        <v>0</v>
      </c>
      <c r="G10" s="7">
        <v>0</v>
      </c>
      <c r="H10" s="3">
        <v>5</v>
      </c>
      <c r="I10" s="3">
        <v>0</v>
      </c>
      <c r="J10" s="3">
        <v>30</v>
      </c>
    </row>
    <row r="11" spans="1:20" x14ac:dyDescent="0.35">
      <c r="B11" s="5" t="s">
        <v>13</v>
      </c>
      <c r="C11" s="3">
        <v>3</v>
      </c>
      <c r="D11" s="3">
        <v>3</v>
      </c>
      <c r="E11" s="3">
        <v>3</v>
      </c>
      <c r="F11" s="3">
        <v>1</v>
      </c>
      <c r="G11" s="7">
        <v>0</v>
      </c>
      <c r="H11" s="3">
        <v>4</v>
      </c>
      <c r="I11" s="3">
        <v>0</v>
      </c>
      <c r="J11" s="3">
        <v>22</v>
      </c>
    </row>
    <row r="12" spans="1:20" x14ac:dyDescent="0.35">
      <c r="B12" s="5" t="s">
        <v>14</v>
      </c>
      <c r="C12" s="3">
        <v>5</v>
      </c>
      <c r="D12" s="3">
        <v>3</v>
      </c>
      <c r="E12" s="3">
        <v>4</v>
      </c>
      <c r="F12" s="7">
        <v>0</v>
      </c>
      <c r="G12" s="7">
        <v>0</v>
      </c>
      <c r="H12" s="3">
        <v>4</v>
      </c>
      <c r="I12" s="3">
        <v>0</v>
      </c>
      <c r="J12" s="3">
        <v>31</v>
      </c>
    </row>
    <row r="13" spans="1:20" x14ac:dyDescent="0.35">
      <c r="B13" s="5" t="s">
        <v>15</v>
      </c>
      <c r="C13" s="3">
        <v>6</v>
      </c>
      <c r="D13" s="3">
        <v>4</v>
      </c>
      <c r="E13" s="3">
        <v>4</v>
      </c>
      <c r="F13" s="7">
        <v>0</v>
      </c>
      <c r="G13" s="7">
        <v>0</v>
      </c>
      <c r="H13" s="3">
        <v>5</v>
      </c>
      <c r="I13" s="3">
        <v>0</v>
      </c>
      <c r="J13" s="3">
        <v>42</v>
      </c>
    </row>
    <row r="14" spans="1:20" x14ac:dyDescent="0.35">
      <c r="B14" s="5" t="s">
        <v>84</v>
      </c>
      <c r="C14" s="3">
        <v>3</v>
      </c>
      <c r="D14" s="3">
        <v>1</v>
      </c>
      <c r="E14" s="3">
        <v>1</v>
      </c>
      <c r="F14" s="7">
        <v>0</v>
      </c>
      <c r="G14" s="7">
        <v>2</v>
      </c>
      <c r="H14" s="3">
        <v>4</v>
      </c>
      <c r="I14" s="3">
        <v>0</v>
      </c>
      <c r="J14" s="3">
        <v>21</v>
      </c>
    </row>
    <row r="15" spans="1:20" x14ac:dyDescent="0.35">
      <c r="B15" s="5" t="s">
        <v>16</v>
      </c>
      <c r="C15" s="3">
        <v>5</v>
      </c>
      <c r="D15" s="3">
        <v>4</v>
      </c>
      <c r="E15" s="3">
        <v>3</v>
      </c>
      <c r="F15" s="7">
        <v>0</v>
      </c>
      <c r="G15" s="7">
        <v>0</v>
      </c>
      <c r="H15" s="3">
        <v>5</v>
      </c>
      <c r="I15" s="3">
        <v>0</v>
      </c>
      <c r="J15" s="3">
        <v>36</v>
      </c>
    </row>
    <row r="17" spans="2:19" x14ac:dyDescent="0.35">
      <c r="B17" s="9" t="s">
        <v>52</v>
      </c>
      <c r="C17" s="10"/>
      <c r="D17" s="10"/>
      <c r="E17" s="10"/>
      <c r="F17" s="10"/>
      <c r="G17" s="10"/>
      <c r="H17" s="10"/>
      <c r="I17" s="10"/>
      <c r="J17" s="11"/>
      <c r="K17" s="11"/>
      <c r="L17" s="11"/>
      <c r="N17" s="61" t="s">
        <v>161</v>
      </c>
      <c r="O17" s="62"/>
      <c r="P17" s="62"/>
      <c r="Q17" s="62"/>
      <c r="R17" s="62"/>
      <c r="S17" s="62"/>
    </row>
    <row r="18" spans="2:19" x14ac:dyDescent="0.35">
      <c r="B18" s="5" t="s">
        <v>20</v>
      </c>
      <c r="J18" s="7" t="s">
        <v>53</v>
      </c>
      <c r="K18" s="7"/>
      <c r="L18" s="7"/>
      <c r="N18" s="63"/>
      <c r="O18" s="63"/>
      <c r="P18" s="63"/>
      <c r="Q18" s="63"/>
      <c r="R18" s="63"/>
      <c r="S18" s="63"/>
    </row>
    <row r="19" spans="2:19" x14ac:dyDescent="0.35">
      <c r="B19" s="5" t="s">
        <v>21</v>
      </c>
      <c r="J19" s="7" t="s">
        <v>54</v>
      </c>
      <c r="K19" s="7"/>
      <c r="L19" s="7"/>
      <c r="N19" s="64" t="s">
        <v>22</v>
      </c>
      <c r="O19" s="63" t="s">
        <v>44</v>
      </c>
      <c r="P19" s="63"/>
      <c r="Q19" s="63"/>
      <c r="R19" s="63"/>
      <c r="S19" s="63"/>
    </row>
    <row r="20" spans="2:19" x14ac:dyDescent="0.35">
      <c r="B20" s="5" t="s">
        <v>22</v>
      </c>
      <c r="G20" s="7"/>
      <c r="J20" s="7" t="s">
        <v>85</v>
      </c>
      <c r="K20" s="7"/>
      <c r="L20" s="7"/>
      <c r="N20" s="64" t="s">
        <v>21</v>
      </c>
      <c r="O20" s="63" t="s">
        <v>44</v>
      </c>
      <c r="P20" s="63"/>
      <c r="Q20" s="63"/>
      <c r="R20" s="63"/>
      <c r="S20" s="63"/>
    </row>
    <row r="21" spans="2:19" x14ac:dyDescent="0.35">
      <c r="B21" s="5" t="s">
        <v>23</v>
      </c>
      <c r="F21" s="3">
        <v>3</v>
      </c>
      <c r="J21" s="7" t="s">
        <v>55</v>
      </c>
      <c r="K21" s="7"/>
      <c r="L21" s="7"/>
      <c r="N21" s="64" t="s">
        <v>23</v>
      </c>
      <c r="O21" s="64" t="s">
        <v>153</v>
      </c>
      <c r="P21" s="64" t="s">
        <v>46</v>
      </c>
      <c r="Q21" s="64" t="s">
        <v>50</v>
      </c>
      <c r="R21" s="63" t="s">
        <v>45</v>
      </c>
      <c r="S21" s="63"/>
    </row>
    <row r="22" spans="2:19" x14ac:dyDescent="0.35">
      <c r="B22" s="75" t="s">
        <v>204</v>
      </c>
      <c r="J22" s="7" t="s">
        <v>205</v>
      </c>
      <c r="K22" s="7"/>
      <c r="L22" s="7"/>
      <c r="N22" s="63" t="s">
        <v>113</v>
      </c>
      <c r="O22" s="63" t="s">
        <v>152</v>
      </c>
      <c r="P22" s="64"/>
      <c r="Q22" s="63" t="s">
        <v>139</v>
      </c>
      <c r="R22" s="63" t="s">
        <v>151</v>
      </c>
      <c r="S22" s="63"/>
    </row>
    <row r="23" spans="2:19" x14ac:dyDescent="0.35">
      <c r="B23" s="5" t="s">
        <v>24</v>
      </c>
      <c r="J23" s="7" t="s">
        <v>55</v>
      </c>
      <c r="K23" s="7"/>
      <c r="L23" s="7"/>
      <c r="N23" s="63" t="s">
        <v>25</v>
      </c>
      <c r="O23" s="63"/>
      <c r="P23" s="63"/>
      <c r="Q23" s="63"/>
      <c r="R23" s="63"/>
      <c r="S23" s="63"/>
    </row>
    <row r="24" spans="2:19" x14ac:dyDescent="0.35">
      <c r="B24" s="5" t="s">
        <v>113</v>
      </c>
      <c r="C24" s="3">
        <f>C4</f>
        <v>2</v>
      </c>
      <c r="E24" s="3">
        <f>E4</f>
        <v>2</v>
      </c>
      <c r="I24" s="3">
        <f>I4</f>
        <v>3</v>
      </c>
      <c r="J24" s="7" t="s">
        <v>157</v>
      </c>
      <c r="K24" s="7"/>
      <c r="L24" s="7"/>
      <c r="N24" s="63" t="s">
        <v>36</v>
      </c>
      <c r="O24" s="63" t="s">
        <v>37</v>
      </c>
      <c r="P24" s="63" t="s">
        <v>152</v>
      </c>
      <c r="Q24" s="63" t="s">
        <v>139</v>
      </c>
      <c r="R24" s="63" t="s">
        <v>151</v>
      </c>
      <c r="S24" s="63" t="s">
        <v>204</v>
      </c>
    </row>
    <row r="25" spans="2:19" x14ac:dyDescent="0.35">
      <c r="B25" s="5" t="s">
        <v>152</v>
      </c>
      <c r="C25" s="3">
        <f t="shared" ref="C25:C27" si="0">C5</f>
        <v>2</v>
      </c>
      <c r="E25" s="3">
        <f t="shared" ref="E25:E27" si="1">E5</f>
        <v>1</v>
      </c>
      <c r="I25" s="3">
        <f t="shared" ref="I25:I27" si="2">I5</f>
        <v>3</v>
      </c>
      <c r="J25" s="7" t="s">
        <v>156</v>
      </c>
      <c r="K25" s="7"/>
      <c r="L25" s="7"/>
      <c r="N25" s="63" t="s">
        <v>36</v>
      </c>
      <c r="O25" s="63" t="s">
        <v>37</v>
      </c>
      <c r="P25" s="63" t="s">
        <v>113</v>
      </c>
      <c r="Q25" s="63" t="s">
        <v>139</v>
      </c>
      <c r="R25" s="63" t="s">
        <v>151</v>
      </c>
      <c r="S25" s="63" t="s">
        <v>204</v>
      </c>
    </row>
    <row r="26" spans="2:19" x14ac:dyDescent="0.35">
      <c r="B26" s="5" t="s">
        <v>139</v>
      </c>
      <c r="C26" s="3">
        <f t="shared" si="0"/>
        <v>1</v>
      </c>
      <c r="E26" s="3">
        <f t="shared" si="1"/>
        <v>1</v>
      </c>
      <c r="I26" s="3">
        <f t="shared" si="2"/>
        <v>2</v>
      </c>
      <c r="J26" s="7" t="s">
        <v>155</v>
      </c>
      <c r="K26" s="7"/>
      <c r="L26" s="7"/>
      <c r="N26" s="63" t="s">
        <v>36</v>
      </c>
      <c r="O26" s="63" t="s">
        <v>37</v>
      </c>
      <c r="P26" s="63" t="s">
        <v>152</v>
      </c>
      <c r="Q26" s="63" t="s">
        <v>113</v>
      </c>
      <c r="R26" s="63" t="s">
        <v>151</v>
      </c>
      <c r="S26" s="63" t="s">
        <v>204</v>
      </c>
    </row>
    <row r="27" spans="2:19" x14ac:dyDescent="0.35">
      <c r="B27" s="5" t="s">
        <v>151</v>
      </c>
      <c r="C27" s="3">
        <f t="shared" si="0"/>
        <v>1</v>
      </c>
      <c r="E27" s="3">
        <f t="shared" si="1"/>
        <v>1</v>
      </c>
      <c r="I27" s="3">
        <f t="shared" si="2"/>
        <v>0</v>
      </c>
      <c r="J27" s="7" t="s">
        <v>154</v>
      </c>
      <c r="K27" s="7"/>
      <c r="L27" s="7"/>
      <c r="N27" s="63" t="s">
        <v>36</v>
      </c>
      <c r="O27" s="63" t="s">
        <v>37</v>
      </c>
      <c r="P27" s="63" t="s">
        <v>152</v>
      </c>
      <c r="Q27" s="63" t="s">
        <v>139</v>
      </c>
      <c r="R27" s="63" t="s">
        <v>113</v>
      </c>
      <c r="S27" s="63" t="s">
        <v>204</v>
      </c>
    </row>
    <row r="28" spans="2:19" x14ac:dyDescent="0.35">
      <c r="B28" s="5" t="s">
        <v>25</v>
      </c>
      <c r="J28" s="7" t="s">
        <v>53</v>
      </c>
      <c r="K28" s="7"/>
      <c r="L28" s="7"/>
      <c r="N28" s="63" t="s">
        <v>24</v>
      </c>
      <c r="O28" s="63" t="s">
        <v>49</v>
      </c>
      <c r="P28" s="63" t="s">
        <v>213</v>
      </c>
      <c r="Q28" s="63"/>
      <c r="R28" s="63"/>
      <c r="S28" s="63"/>
    </row>
    <row r="29" spans="2:19" x14ac:dyDescent="0.35">
      <c r="B29" s="5" t="s">
        <v>26</v>
      </c>
      <c r="C29" s="7" t="s">
        <v>56</v>
      </c>
      <c r="J29" s="7" t="s">
        <v>57</v>
      </c>
      <c r="K29" s="7"/>
      <c r="L29" s="7"/>
      <c r="N29" s="64" t="s">
        <v>41</v>
      </c>
      <c r="O29" s="63"/>
      <c r="P29" s="63"/>
      <c r="Q29" s="63"/>
      <c r="R29" s="63"/>
      <c r="S29" s="63"/>
    </row>
    <row r="30" spans="2:19" x14ac:dyDescent="0.35">
      <c r="B30" s="75" t="s">
        <v>214</v>
      </c>
      <c r="C30" s="7"/>
      <c r="J30" s="7" t="s">
        <v>60</v>
      </c>
      <c r="K30" s="7"/>
      <c r="L30" s="7"/>
      <c r="N30" s="63" t="s">
        <v>152</v>
      </c>
      <c r="O30" s="63" t="s">
        <v>139</v>
      </c>
      <c r="P30" s="63" t="s">
        <v>151</v>
      </c>
      <c r="Q30" s="63" t="s">
        <v>113</v>
      </c>
      <c r="R30" s="63"/>
      <c r="S30" s="63"/>
    </row>
    <row r="31" spans="2:19" x14ac:dyDescent="0.35">
      <c r="B31" s="5" t="s">
        <v>83</v>
      </c>
      <c r="J31" s="7" t="s">
        <v>59</v>
      </c>
      <c r="K31" s="7"/>
      <c r="L31" s="7"/>
      <c r="N31" s="63"/>
      <c r="O31" s="63"/>
      <c r="P31" s="63"/>
      <c r="Q31" s="63"/>
      <c r="R31" s="63"/>
      <c r="S31" s="63"/>
    </row>
    <row r="32" spans="2:19" x14ac:dyDescent="0.35">
      <c r="B32" s="5" t="s">
        <v>27</v>
      </c>
      <c r="D32" s="1"/>
      <c r="J32" s="7" t="s">
        <v>55</v>
      </c>
      <c r="K32" s="7"/>
      <c r="L32" s="7"/>
      <c r="N32" s="64" t="s">
        <v>80</v>
      </c>
      <c r="O32" s="63"/>
      <c r="P32" s="63"/>
      <c r="Q32" s="63"/>
      <c r="R32" s="63"/>
      <c r="S32" s="63"/>
    </row>
    <row r="33" spans="1:19" x14ac:dyDescent="0.35">
      <c r="B33" s="5" t="s">
        <v>28</v>
      </c>
      <c r="D33" s="7" t="s">
        <v>56</v>
      </c>
      <c r="J33" s="7" t="s">
        <v>56</v>
      </c>
      <c r="K33" s="7"/>
      <c r="L33" s="7"/>
      <c r="N33" s="63" t="s">
        <v>47</v>
      </c>
      <c r="O33" s="63"/>
      <c r="P33" s="63"/>
      <c r="Q33" s="63"/>
      <c r="R33" s="63"/>
      <c r="S33" s="63"/>
    </row>
    <row r="34" spans="1:19" x14ac:dyDescent="0.35">
      <c r="B34" s="5" t="s">
        <v>29</v>
      </c>
      <c r="J34" s="7" t="s">
        <v>57</v>
      </c>
      <c r="K34" s="7"/>
      <c r="L34" s="7"/>
      <c r="N34" s="63"/>
      <c r="O34" s="63"/>
      <c r="P34" s="63"/>
      <c r="Q34" s="63"/>
      <c r="R34" s="63"/>
      <c r="S34" s="63"/>
    </row>
    <row r="35" spans="1:19" x14ac:dyDescent="0.35">
      <c r="B35" s="5" t="s">
        <v>30</v>
      </c>
      <c r="D35" s="7" t="s">
        <v>53</v>
      </c>
      <c r="J35" s="7" t="s">
        <v>59</v>
      </c>
      <c r="K35" s="7"/>
      <c r="L35" s="7"/>
      <c r="N35" s="63"/>
      <c r="O35" s="63"/>
      <c r="P35" s="63"/>
      <c r="Q35" s="63"/>
      <c r="R35" s="63"/>
      <c r="S35" s="63"/>
    </row>
    <row r="36" spans="1:19" x14ac:dyDescent="0.35">
      <c r="B36" s="5" t="s">
        <v>31</v>
      </c>
      <c r="J36" s="7" t="s">
        <v>55</v>
      </c>
      <c r="K36" s="7"/>
      <c r="L36" s="7"/>
      <c r="N36" s="63"/>
      <c r="O36" s="63"/>
      <c r="P36" s="63"/>
      <c r="Q36" s="63"/>
      <c r="R36" s="63"/>
      <c r="S36" s="63"/>
    </row>
    <row r="37" spans="1:19" x14ac:dyDescent="0.35">
      <c r="B37" s="5" t="s">
        <v>89</v>
      </c>
      <c r="J37" s="7" t="s">
        <v>55</v>
      </c>
      <c r="K37" s="7"/>
      <c r="L37" s="7"/>
      <c r="N37" s="63" t="s">
        <v>48</v>
      </c>
      <c r="O37" s="63"/>
      <c r="P37" s="63"/>
      <c r="Q37" s="63"/>
      <c r="R37" s="63"/>
      <c r="S37" s="63"/>
    </row>
    <row r="38" spans="1:19" x14ac:dyDescent="0.35">
      <c r="B38" s="5" t="s">
        <v>32</v>
      </c>
      <c r="C38" s="7" t="s">
        <v>53</v>
      </c>
      <c r="E38" s="7" t="s">
        <v>53</v>
      </c>
      <c r="F38" s="7"/>
      <c r="J38" s="7" t="s">
        <v>60</v>
      </c>
      <c r="K38" s="7"/>
      <c r="L38" s="7"/>
      <c r="N38" s="63" t="s">
        <v>35</v>
      </c>
      <c r="O38" s="63" t="s">
        <v>80</v>
      </c>
      <c r="P38" s="63" t="s">
        <v>33</v>
      </c>
      <c r="Q38" s="63" t="s">
        <v>44</v>
      </c>
      <c r="R38" s="63"/>
      <c r="S38" s="63"/>
    </row>
    <row r="39" spans="1:19" x14ac:dyDescent="0.35">
      <c r="B39" s="5" t="s">
        <v>81</v>
      </c>
      <c r="J39" s="7" t="s">
        <v>55</v>
      </c>
      <c r="K39" s="7"/>
      <c r="L39" s="7"/>
      <c r="N39" s="63" t="s">
        <v>215</v>
      </c>
      <c r="O39" s="63"/>
      <c r="P39" s="63"/>
      <c r="Q39" s="63"/>
      <c r="R39" s="63"/>
      <c r="S39" s="63"/>
    </row>
    <row r="40" spans="1:19" x14ac:dyDescent="0.35">
      <c r="B40" s="5" t="s">
        <v>82</v>
      </c>
      <c r="J40" s="7" t="s">
        <v>56</v>
      </c>
      <c r="K40" s="7"/>
      <c r="L40" s="7"/>
      <c r="N40" s="64" t="s">
        <v>39</v>
      </c>
      <c r="O40" s="63"/>
      <c r="P40" s="63"/>
      <c r="Q40" s="63"/>
      <c r="R40" s="63"/>
      <c r="S40" s="63"/>
    </row>
    <row r="41" spans="1:19" x14ac:dyDescent="0.35">
      <c r="B41" s="75" t="s">
        <v>212</v>
      </c>
      <c r="J41" s="7" t="s">
        <v>55</v>
      </c>
      <c r="K41" s="7"/>
      <c r="L41" s="7"/>
      <c r="N41" s="64"/>
      <c r="O41" s="63"/>
      <c r="P41" s="63"/>
      <c r="Q41" s="63"/>
      <c r="R41" s="63"/>
      <c r="S41" s="63"/>
    </row>
    <row r="42" spans="1:19" x14ac:dyDescent="0.35">
      <c r="A42" s="1"/>
      <c r="B42" s="75" t="s">
        <v>213</v>
      </c>
      <c r="J42" s="7" t="s">
        <v>56</v>
      </c>
      <c r="K42" s="7"/>
      <c r="L42" s="7"/>
      <c r="N42" s="64" t="s">
        <v>25</v>
      </c>
      <c r="O42" s="63"/>
      <c r="P42" s="63"/>
      <c r="Q42" s="63"/>
      <c r="R42" s="63"/>
      <c r="S42" s="63"/>
    </row>
    <row r="43" spans="1:19" x14ac:dyDescent="0.35">
      <c r="B43" s="5" t="s">
        <v>33</v>
      </c>
      <c r="J43" s="7" t="s">
        <v>53</v>
      </c>
      <c r="K43" s="7"/>
      <c r="L43" s="7"/>
      <c r="N43" s="64" t="s">
        <v>36</v>
      </c>
      <c r="O43" s="63" t="s">
        <v>32</v>
      </c>
      <c r="P43" s="63" t="s">
        <v>215</v>
      </c>
      <c r="Q43" s="63"/>
      <c r="R43" s="63"/>
      <c r="S43" s="63"/>
    </row>
    <row r="44" spans="1:19" x14ac:dyDescent="0.35">
      <c r="B44" s="75" t="s">
        <v>211</v>
      </c>
      <c r="J44" s="7" t="s">
        <v>57</v>
      </c>
      <c r="K44" s="7"/>
      <c r="L44" s="7"/>
      <c r="N44" s="64"/>
      <c r="O44" s="63"/>
      <c r="P44" s="63"/>
      <c r="Q44" s="63"/>
      <c r="R44" s="63"/>
      <c r="S44" s="63"/>
    </row>
    <row r="45" spans="1:19" x14ac:dyDescent="0.35">
      <c r="B45" s="5" t="s">
        <v>34</v>
      </c>
      <c r="E45" s="3">
        <v>-1</v>
      </c>
      <c r="J45" s="3">
        <v>-2</v>
      </c>
      <c r="N45" s="63"/>
      <c r="O45" s="63"/>
      <c r="P45" s="63"/>
      <c r="Q45" s="63"/>
      <c r="R45" s="63"/>
      <c r="S45" s="63"/>
    </row>
    <row r="46" spans="1:19" x14ac:dyDescent="0.35">
      <c r="B46" s="5" t="s">
        <v>90</v>
      </c>
      <c r="C46" s="7"/>
      <c r="E46" s="7" t="s">
        <v>86</v>
      </c>
      <c r="F46" s="7"/>
      <c r="J46" s="7">
        <v>0</v>
      </c>
      <c r="K46" s="7"/>
      <c r="L46" s="7"/>
      <c r="N46" s="64" t="s">
        <v>43</v>
      </c>
      <c r="O46" s="64" t="s">
        <v>51</v>
      </c>
      <c r="P46" s="63" t="s">
        <v>40</v>
      </c>
      <c r="Q46" s="63"/>
      <c r="R46" s="63"/>
      <c r="S46" s="63"/>
    </row>
    <row r="47" spans="1:19" x14ac:dyDescent="0.35">
      <c r="B47" s="5" t="s">
        <v>35</v>
      </c>
      <c r="C47" s="7" t="s">
        <v>53</v>
      </c>
      <c r="E47" s="7" t="s">
        <v>53</v>
      </c>
      <c r="F47" s="7"/>
      <c r="J47" s="7" t="s">
        <v>60</v>
      </c>
      <c r="K47" s="7"/>
      <c r="L47" s="7"/>
      <c r="N47" s="63" t="s">
        <v>32</v>
      </c>
      <c r="O47" s="63" t="s">
        <v>80</v>
      </c>
      <c r="P47" s="63"/>
      <c r="Q47" s="63"/>
      <c r="R47" s="63"/>
      <c r="S47" s="63"/>
    </row>
    <row r="48" spans="1:19" x14ac:dyDescent="0.35">
      <c r="B48" s="5" t="s">
        <v>36</v>
      </c>
      <c r="C48" s="7" t="s">
        <v>56</v>
      </c>
      <c r="D48" s="7" t="s">
        <v>53</v>
      </c>
      <c r="E48" s="7" t="s">
        <v>56</v>
      </c>
      <c r="F48" s="7"/>
      <c r="J48" s="7" t="s">
        <v>58</v>
      </c>
      <c r="K48" s="7"/>
      <c r="L48" s="7"/>
      <c r="N48" s="64" t="s">
        <v>33</v>
      </c>
      <c r="O48" s="64" t="s">
        <v>44</v>
      </c>
      <c r="P48" s="63" t="s">
        <v>152</v>
      </c>
      <c r="Q48" s="63" t="s">
        <v>139</v>
      </c>
      <c r="R48" s="63" t="s">
        <v>151</v>
      </c>
      <c r="S48" s="63" t="s">
        <v>113</v>
      </c>
    </row>
    <row r="49" spans="2:19" ht="12.9" customHeight="1" x14ac:dyDescent="0.35">
      <c r="B49" s="75" t="s">
        <v>209</v>
      </c>
      <c r="C49" s="7"/>
      <c r="D49" s="7"/>
      <c r="E49" s="7"/>
      <c r="F49" s="7"/>
      <c r="J49" s="7" t="s">
        <v>61</v>
      </c>
      <c r="K49" s="7"/>
      <c r="L49" s="7"/>
      <c r="N49" s="64" t="s">
        <v>83</v>
      </c>
      <c r="O49" s="64" t="s">
        <v>207</v>
      </c>
      <c r="P49" s="64"/>
      <c r="Q49" s="64"/>
      <c r="R49" s="65"/>
      <c r="S49" s="63"/>
    </row>
    <row r="50" spans="2:19" x14ac:dyDescent="0.35">
      <c r="B50" s="5" t="s">
        <v>37</v>
      </c>
      <c r="J50" s="7" t="s">
        <v>57</v>
      </c>
      <c r="K50" s="7"/>
      <c r="L50" s="7"/>
      <c r="N50" s="63" t="s">
        <v>152</v>
      </c>
      <c r="O50" s="63" t="s">
        <v>139</v>
      </c>
      <c r="P50" s="63" t="s">
        <v>151</v>
      </c>
      <c r="Q50" s="63" t="s">
        <v>113</v>
      </c>
      <c r="R50" s="63"/>
      <c r="S50" s="63"/>
    </row>
    <row r="51" spans="2:19" x14ac:dyDescent="0.35">
      <c r="B51" s="75" t="s">
        <v>215</v>
      </c>
      <c r="C51"/>
      <c r="D51"/>
      <c r="E51"/>
      <c r="F51"/>
      <c r="G51"/>
      <c r="H51"/>
      <c r="I51"/>
      <c r="J51" s="7" t="s">
        <v>55</v>
      </c>
      <c r="K51" s="7"/>
      <c r="L51" s="7"/>
      <c r="M51"/>
      <c r="N51" s="64" t="s">
        <v>32</v>
      </c>
      <c r="O51" s="64" t="s">
        <v>36</v>
      </c>
      <c r="P51" s="64" t="s">
        <v>44</v>
      </c>
      <c r="Q51" s="64" t="s">
        <v>80</v>
      </c>
      <c r="R51" s="63" t="s">
        <v>33</v>
      </c>
      <c r="S51" s="64" t="s">
        <v>81</v>
      </c>
    </row>
    <row r="52" spans="2:19" x14ac:dyDescent="0.35">
      <c r="B52" s="5" t="s">
        <v>38</v>
      </c>
      <c r="J52" s="7" t="s">
        <v>55</v>
      </c>
      <c r="K52" s="7"/>
      <c r="L52" s="7"/>
      <c r="N52" s="63"/>
      <c r="O52" s="63"/>
      <c r="P52" s="63"/>
      <c r="Q52" s="63"/>
      <c r="R52" s="63"/>
      <c r="S52" s="63"/>
    </row>
    <row r="53" spans="2:19" x14ac:dyDescent="0.35">
      <c r="B53" s="5" t="s">
        <v>39</v>
      </c>
      <c r="J53" s="7" t="s">
        <v>61</v>
      </c>
      <c r="K53" s="7"/>
      <c r="L53" s="7"/>
      <c r="N53" s="64" t="s">
        <v>82</v>
      </c>
      <c r="O53" s="63"/>
      <c r="P53" s="63"/>
      <c r="Q53" s="63"/>
      <c r="R53" s="63"/>
      <c r="S53" s="63"/>
    </row>
    <row r="54" spans="2:19" x14ac:dyDescent="0.35">
      <c r="B54" s="5" t="s">
        <v>40</v>
      </c>
      <c r="J54" s="7" t="s">
        <v>58</v>
      </c>
      <c r="K54" s="7"/>
      <c r="L54" s="7"/>
      <c r="N54" s="64" t="s">
        <v>90</v>
      </c>
      <c r="O54" s="63"/>
      <c r="P54" s="63"/>
      <c r="Q54" s="63"/>
      <c r="R54" s="63"/>
      <c r="S54" s="63"/>
    </row>
    <row r="55" spans="2:19" x14ac:dyDescent="0.35">
      <c r="B55" s="5" t="s">
        <v>41</v>
      </c>
      <c r="C55" s="3">
        <v>-1</v>
      </c>
      <c r="J55" s="3">
        <v>-6</v>
      </c>
      <c r="N55" s="64" t="s">
        <v>26</v>
      </c>
      <c r="O55" s="63"/>
      <c r="P55" s="63"/>
      <c r="Q55" s="63"/>
      <c r="R55" s="63"/>
      <c r="S55" s="63"/>
    </row>
    <row r="56" spans="2:19" x14ac:dyDescent="0.35">
      <c r="B56" s="75" t="s">
        <v>210</v>
      </c>
      <c r="C56" s="3">
        <v>-1</v>
      </c>
      <c r="D56" s="7" t="s">
        <v>56</v>
      </c>
      <c r="E56" s="7" t="s">
        <v>56</v>
      </c>
      <c r="J56" s="3">
        <v>-1</v>
      </c>
      <c r="N56" s="64" t="s">
        <v>26</v>
      </c>
      <c r="O56" s="63" t="s">
        <v>34</v>
      </c>
      <c r="P56" s="63"/>
      <c r="Q56" s="63"/>
      <c r="R56" s="63"/>
      <c r="S56" s="63"/>
    </row>
    <row r="57" spans="2:19" x14ac:dyDescent="0.35">
      <c r="B57" s="5" t="s">
        <v>42</v>
      </c>
      <c r="J57" s="7" t="s">
        <v>61</v>
      </c>
      <c r="K57" s="7"/>
      <c r="L57" s="7"/>
      <c r="N57" s="63"/>
      <c r="O57" s="63"/>
      <c r="P57" s="63"/>
      <c r="Q57" s="63"/>
      <c r="R57" s="63"/>
      <c r="S57" s="63"/>
    </row>
    <row r="58" spans="2:19" x14ac:dyDescent="0.35">
      <c r="B58" s="5" t="s">
        <v>43</v>
      </c>
      <c r="J58" s="7" t="s">
        <v>55</v>
      </c>
      <c r="K58" s="7"/>
      <c r="L58" s="7"/>
      <c r="N58" s="64" t="s">
        <v>51</v>
      </c>
      <c r="O58" s="64" t="s">
        <v>90</v>
      </c>
      <c r="P58" s="63" t="s">
        <v>49</v>
      </c>
      <c r="Q58" s="63"/>
      <c r="R58" s="63"/>
      <c r="S58" s="63"/>
    </row>
    <row r="59" spans="2:19" x14ac:dyDescent="0.35">
      <c r="B59" s="5" t="s">
        <v>44</v>
      </c>
      <c r="J59" s="7" t="s">
        <v>58</v>
      </c>
      <c r="K59" s="7"/>
      <c r="L59" s="7"/>
      <c r="N59" s="63" t="s">
        <v>48</v>
      </c>
      <c r="O59" s="63" t="s">
        <v>36</v>
      </c>
      <c r="P59" s="64" t="s">
        <v>21</v>
      </c>
      <c r="Q59" s="64" t="s">
        <v>22</v>
      </c>
      <c r="R59" s="63" t="s">
        <v>32</v>
      </c>
      <c r="S59" s="63"/>
    </row>
    <row r="60" spans="2:19" x14ac:dyDescent="0.35">
      <c r="B60" s="5" t="s">
        <v>45</v>
      </c>
      <c r="E60" s="3">
        <v>-1</v>
      </c>
      <c r="F60" s="3">
        <v>3</v>
      </c>
      <c r="G60" s="7">
        <v>2</v>
      </c>
      <c r="J60" s="7" t="s">
        <v>61</v>
      </c>
      <c r="K60" s="7"/>
      <c r="L60" s="7"/>
      <c r="N60" s="64" t="s">
        <v>23</v>
      </c>
      <c r="O60" s="64" t="s">
        <v>50</v>
      </c>
      <c r="P60" s="64" t="s">
        <v>153</v>
      </c>
      <c r="Q60" s="64" t="s">
        <v>46</v>
      </c>
      <c r="R60" s="63"/>
      <c r="S60" s="63"/>
    </row>
    <row r="61" spans="2:19" x14ac:dyDescent="0.35">
      <c r="B61" s="5" t="s">
        <v>153</v>
      </c>
      <c r="F61" s="3">
        <v>2</v>
      </c>
      <c r="G61" s="7">
        <v>1</v>
      </c>
      <c r="J61" s="7" t="s">
        <v>57</v>
      </c>
      <c r="K61" s="7"/>
      <c r="L61" s="7"/>
      <c r="N61" s="64" t="s">
        <v>23</v>
      </c>
      <c r="O61" s="64" t="s">
        <v>50</v>
      </c>
      <c r="P61" s="64" t="s">
        <v>45</v>
      </c>
      <c r="Q61" s="64" t="s">
        <v>46</v>
      </c>
      <c r="R61" s="63"/>
      <c r="S61" s="63"/>
    </row>
    <row r="62" spans="2:19" x14ac:dyDescent="0.35">
      <c r="B62" s="5" t="s">
        <v>46</v>
      </c>
      <c r="E62" s="3">
        <v>-1</v>
      </c>
      <c r="F62" s="3">
        <v>3</v>
      </c>
      <c r="G62" s="7">
        <v>3</v>
      </c>
      <c r="J62" s="7" t="s">
        <v>62</v>
      </c>
      <c r="K62" s="7"/>
      <c r="L62" s="7"/>
      <c r="N62" s="64" t="s">
        <v>23</v>
      </c>
      <c r="O62" s="64" t="s">
        <v>50</v>
      </c>
      <c r="P62" s="64" t="s">
        <v>45</v>
      </c>
      <c r="Q62" s="64" t="s">
        <v>153</v>
      </c>
      <c r="R62" s="63"/>
      <c r="S62" s="63"/>
    </row>
    <row r="63" spans="2:19" x14ac:dyDescent="0.35">
      <c r="B63" s="5" t="s">
        <v>47</v>
      </c>
      <c r="D63" s="3">
        <v>-1</v>
      </c>
      <c r="J63" s="3">
        <v>-1</v>
      </c>
      <c r="N63" s="63" t="s">
        <v>28</v>
      </c>
      <c r="O63" s="63"/>
      <c r="P63" s="63"/>
      <c r="Q63" s="63"/>
      <c r="R63" s="63"/>
      <c r="S63" s="63"/>
    </row>
    <row r="64" spans="2:19" x14ac:dyDescent="0.35">
      <c r="B64" s="5" t="s">
        <v>48</v>
      </c>
      <c r="J64" s="7" t="s">
        <v>57</v>
      </c>
      <c r="K64" s="7"/>
      <c r="L64" s="7"/>
      <c r="N64" s="63" t="s">
        <v>44</v>
      </c>
      <c r="O64" s="63" t="s">
        <v>89</v>
      </c>
      <c r="P64" s="63"/>
      <c r="Q64" s="63"/>
      <c r="R64" s="63"/>
      <c r="S64" s="63"/>
    </row>
    <row r="65" spans="2:19" x14ac:dyDescent="0.35">
      <c r="B65" s="5" t="s">
        <v>49</v>
      </c>
      <c r="J65" s="7" t="s">
        <v>57</v>
      </c>
      <c r="K65" s="7"/>
      <c r="L65" s="7"/>
      <c r="N65" s="63" t="s">
        <v>43</v>
      </c>
      <c r="O65" s="63" t="s">
        <v>25</v>
      </c>
      <c r="P65" s="63"/>
      <c r="Q65" s="63"/>
      <c r="R65" s="63"/>
      <c r="S65" s="63"/>
    </row>
    <row r="66" spans="2:19" x14ac:dyDescent="0.35">
      <c r="B66" s="5" t="s">
        <v>80</v>
      </c>
      <c r="C66" s="3">
        <v>-1</v>
      </c>
      <c r="D66" s="3">
        <v>-1</v>
      </c>
      <c r="E66" s="3">
        <v>-1</v>
      </c>
      <c r="J66" s="7" t="s">
        <v>86</v>
      </c>
      <c r="K66" s="7"/>
      <c r="L66" s="7"/>
      <c r="N66" s="64" t="s">
        <v>27</v>
      </c>
      <c r="O66" s="63" t="s">
        <v>35</v>
      </c>
      <c r="P66" s="63" t="s">
        <v>32</v>
      </c>
      <c r="Q66" s="63"/>
      <c r="R66" s="63"/>
      <c r="S66" s="63"/>
    </row>
    <row r="67" spans="2:19" x14ac:dyDescent="0.35">
      <c r="B67" s="75" t="s">
        <v>207</v>
      </c>
      <c r="J67" s="7" t="s">
        <v>208</v>
      </c>
      <c r="K67" s="7"/>
      <c r="L67" s="7"/>
      <c r="N67" s="64" t="s">
        <v>34</v>
      </c>
      <c r="O67" s="63" t="s">
        <v>209</v>
      </c>
      <c r="P67" s="63" t="s">
        <v>41</v>
      </c>
      <c r="Q67" s="63"/>
      <c r="R67" s="63"/>
      <c r="S67" s="63"/>
    </row>
    <row r="68" spans="2:19" x14ac:dyDescent="0.35">
      <c r="B68" s="5" t="s">
        <v>50</v>
      </c>
      <c r="F68" s="3">
        <v>1</v>
      </c>
      <c r="G68" s="7">
        <v>0</v>
      </c>
      <c r="J68" s="7" t="s">
        <v>56</v>
      </c>
      <c r="K68" s="7"/>
      <c r="L68" s="7"/>
      <c r="N68" s="64" t="s">
        <v>23</v>
      </c>
      <c r="O68" s="64" t="s">
        <v>45</v>
      </c>
      <c r="P68" s="64" t="s">
        <v>153</v>
      </c>
      <c r="Q68" s="64" t="s">
        <v>46</v>
      </c>
      <c r="R68" s="63"/>
      <c r="S68" s="63"/>
    </row>
    <row r="69" spans="2:19" x14ac:dyDescent="0.35">
      <c r="B69" s="5" t="s">
        <v>51</v>
      </c>
      <c r="J69" s="3">
        <v>-4</v>
      </c>
      <c r="N69" s="64" t="s">
        <v>43</v>
      </c>
      <c r="O69" s="64" t="s">
        <v>90</v>
      </c>
      <c r="P69" s="64"/>
      <c r="Q69" s="64"/>
      <c r="R69" s="63"/>
      <c r="S69" s="63"/>
    </row>
    <row r="70" spans="2:19" x14ac:dyDescent="0.35">
      <c r="B70" s="75" t="s">
        <v>206</v>
      </c>
      <c r="J70" s="7" t="s">
        <v>57</v>
      </c>
      <c r="N70" s="64" t="s">
        <v>41</v>
      </c>
      <c r="O70" s="64" t="s">
        <v>80</v>
      </c>
      <c r="P70" s="63"/>
      <c r="Q70" s="63"/>
      <c r="R70" s="63"/>
      <c r="S70" s="63"/>
    </row>
    <row r="72" spans="2:19" x14ac:dyDescent="0.35">
      <c r="B72" s="1"/>
      <c r="J72" s="1"/>
      <c r="K72" s="1"/>
      <c r="L72" s="1"/>
    </row>
    <row r="73" spans="2:19" x14ac:dyDescent="0.35">
      <c r="B73" s="15" t="s">
        <v>123</v>
      </c>
      <c r="C73" s="16"/>
      <c r="D73" s="16"/>
      <c r="E73" s="16"/>
      <c r="F73" s="16"/>
      <c r="G73" s="16"/>
      <c r="H73" s="16"/>
      <c r="I73" s="16"/>
      <c r="J73" s="17"/>
      <c r="K73" s="17"/>
      <c r="L73" s="17"/>
      <c r="N73" s="5"/>
    </row>
    <row r="74" spans="2:19" x14ac:dyDescent="0.35">
      <c r="B74" s="1" t="s">
        <v>142</v>
      </c>
      <c r="J74" s="3">
        <v>8</v>
      </c>
      <c r="N74" s="5"/>
    </row>
    <row r="75" spans="2:19" x14ac:dyDescent="0.35">
      <c r="B75" s="5" t="s">
        <v>143</v>
      </c>
      <c r="E75" s="7" t="s">
        <v>56</v>
      </c>
      <c r="J75" s="3">
        <v>5</v>
      </c>
    </row>
    <row r="76" spans="2:19" x14ac:dyDescent="0.35">
      <c r="B76" s="5" t="s">
        <v>144</v>
      </c>
      <c r="J76" s="3">
        <v>10</v>
      </c>
    </row>
    <row r="77" spans="2:19" x14ac:dyDescent="0.35">
      <c r="B77" s="75" t="s">
        <v>216</v>
      </c>
      <c r="C77"/>
      <c r="D77"/>
      <c r="E77"/>
      <c r="F77"/>
      <c r="G77"/>
      <c r="H77"/>
      <c r="I77"/>
      <c r="J77" s="3">
        <v>20</v>
      </c>
      <c r="K77"/>
      <c r="L77"/>
    </row>
    <row r="78" spans="2:19" x14ac:dyDescent="0.35">
      <c r="B78" s="5" t="s">
        <v>145</v>
      </c>
      <c r="J78" s="3">
        <v>12</v>
      </c>
    </row>
    <row r="79" spans="2:19" x14ac:dyDescent="0.35">
      <c r="B79" s="5" t="s">
        <v>140</v>
      </c>
      <c r="I79" s="7" t="s">
        <v>56</v>
      </c>
      <c r="J79" s="3">
        <v>8</v>
      </c>
    </row>
    <row r="80" spans="2:19" x14ac:dyDescent="0.35">
      <c r="B80" s="5" t="s">
        <v>160</v>
      </c>
      <c r="J80" s="3">
        <v>10</v>
      </c>
    </row>
    <row r="81" spans="2:12" x14ac:dyDescent="0.35">
      <c r="B81" s="5" t="s">
        <v>141</v>
      </c>
      <c r="J81" s="3">
        <v>12</v>
      </c>
    </row>
    <row r="82" spans="2:12" x14ac:dyDescent="0.35">
      <c r="B82" s="5" t="s">
        <v>146</v>
      </c>
      <c r="J82" s="3">
        <v>8</v>
      </c>
    </row>
    <row r="83" spans="2:12" x14ac:dyDescent="0.35">
      <c r="B83" s="75" t="s">
        <v>217</v>
      </c>
      <c r="C83"/>
      <c r="D83"/>
      <c r="E83"/>
      <c r="F83"/>
      <c r="G83"/>
      <c r="H83"/>
      <c r="I83"/>
      <c r="J83" s="3">
        <v>15</v>
      </c>
      <c r="K83"/>
      <c r="L83"/>
    </row>
    <row r="84" spans="2:12" x14ac:dyDescent="0.35">
      <c r="B84" s="5" t="s">
        <v>147</v>
      </c>
      <c r="J84" s="3">
        <v>5</v>
      </c>
    </row>
    <row r="85" spans="2:12" x14ac:dyDescent="0.35">
      <c r="B85" s="5" t="s">
        <v>148</v>
      </c>
      <c r="J85" s="3">
        <v>12</v>
      </c>
    </row>
    <row r="86" spans="2:12" x14ac:dyDescent="0.35">
      <c r="B86" s="5" t="s">
        <v>149</v>
      </c>
      <c r="J86" s="3">
        <v>8</v>
      </c>
    </row>
    <row r="87" spans="2:12" x14ac:dyDescent="0.35">
      <c r="B87" s="5" t="s">
        <v>150</v>
      </c>
      <c r="D87" s="7" t="s">
        <v>53</v>
      </c>
      <c r="J87" s="3">
        <v>5</v>
      </c>
    </row>
    <row r="90" spans="2:12" x14ac:dyDescent="0.35">
      <c r="B90" s="15" t="s">
        <v>66</v>
      </c>
      <c r="C90" s="16"/>
      <c r="D90" s="16"/>
      <c r="E90" s="16"/>
      <c r="F90" s="16"/>
      <c r="G90" s="16"/>
      <c r="H90" s="16"/>
      <c r="I90" s="16"/>
      <c r="J90" s="17"/>
      <c r="K90" s="17"/>
      <c r="L90" s="17"/>
    </row>
    <row r="91" spans="2:12" x14ac:dyDescent="0.35">
      <c r="B91" s="1" t="s">
        <v>67</v>
      </c>
      <c r="J91" s="3">
        <v>10</v>
      </c>
    </row>
    <row r="92" spans="2:12" x14ac:dyDescent="0.35">
      <c r="B92" s="5" t="s">
        <v>68</v>
      </c>
      <c r="J92" s="3">
        <v>15</v>
      </c>
    </row>
    <row r="93" spans="2:12" x14ac:dyDescent="0.35">
      <c r="B93" s="5" t="s">
        <v>69</v>
      </c>
      <c r="J93" s="3">
        <v>10</v>
      </c>
      <c r="K93" s="3">
        <v>1</v>
      </c>
    </row>
    <row r="94" spans="2:12" x14ac:dyDescent="0.35">
      <c r="B94" s="5" t="s">
        <v>70</v>
      </c>
      <c r="J94" s="3">
        <v>5</v>
      </c>
    </row>
    <row r="95" spans="2:12" x14ac:dyDescent="0.35">
      <c r="B95" s="5" t="s">
        <v>71</v>
      </c>
      <c r="J95" s="3">
        <v>15</v>
      </c>
    </row>
    <row r="96" spans="2:12" x14ac:dyDescent="0.35">
      <c r="B96" s="5" t="s">
        <v>72</v>
      </c>
      <c r="J96" s="3">
        <v>15</v>
      </c>
    </row>
    <row r="97" spans="2:10" x14ac:dyDescent="0.35">
      <c r="B97" s="5" t="s">
        <v>73</v>
      </c>
      <c r="J97" s="3">
        <v>25</v>
      </c>
    </row>
    <row r="98" spans="2:10" x14ac:dyDescent="0.35">
      <c r="B98" s="5" t="s">
        <v>124</v>
      </c>
      <c r="J98" s="3">
        <v>10</v>
      </c>
    </row>
    <row r="101" spans="2:10" x14ac:dyDescent="0.35">
      <c r="C101" s="7"/>
      <c r="D101" s="7"/>
      <c r="E101" s="7"/>
      <c r="F101" s="7"/>
      <c r="J101" s="7"/>
    </row>
    <row r="102" spans="2:10" x14ac:dyDescent="0.35">
      <c r="C102" s="7"/>
      <c r="J102" s="7"/>
    </row>
    <row r="103" spans="2:10" x14ac:dyDescent="0.35">
      <c r="J103" s="7"/>
    </row>
    <row r="104" spans="2:10" x14ac:dyDescent="0.35">
      <c r="C104" s="7"/>
      <c r="D104" s="7"/>
      <c r="E104" s="7"/>
      <c r="F104" s="7"/>
      <c r="J104" s="7"/>
    </row>
    <row r="106" spans="2:10" x14ac:dyDescent="0.35">
      <c r="J106" s="7"/>
    </row>
    <row r="107" spans="2:10" x14ac:dyDescent="0.35">
      <c r="J107" s="7"/>
    </row>
    <row r="109" spans="2:10" x14ac:dyDescent="0.35">
      <c r="J109" s="7"/>
    </row>
    <row r="110" spans="2:10" x14ac:dyDescent="0.35">
      <c r="J110" s="7"/>
    </row>
    <row r="113" spans="7:10" x14ac:dyDescent="0.35">
      <c r="G113" s="7"/>
      <c r="J113" s="7"/>
    </row>
    <row r="114" spans="7:10" x14ac:dyDescent="0.35">
      <c r="J114" s="7"/>
    </row>
    <row r="115" spans="7:10" x14ac:dyDescent="0.35">
      <c r="G115" s="7"/>
      <c r="J115" s="7"/>
    </row>
    <row r="117" spans="7:10" x14ac:dyDescent="0.35">
      <c r="J117" s="7"/>
    </row>
    <row r="118" spans="7:10" x14ac:dyDescent="0.35">
      <c r="J118" s="7"/>
    </row>
    <row r="119" spans="7:10" x14ac:dyDescent="0.35">
      <c r="J119" s="7"/>
    </row>
  </sheetData>
  <dataConsolidate/>
  <mergeCells count="1">
    <mergeCell ref="F2:G2"/>
  </mergeCells>
  <conditionalFormatting sqref="T4:T8 T2"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705F-6FAF-4C00-A779-4D203A1C473E}">
  <dimension ref="A1:AB46"/>
  <sheetViews>
    <sheetView workbookViewId="0">
      <selection activeCell="Z26" sqref="Z26"/>
    </sheetView>
  </sheetViews>
  <sheetFormatPr defaultColWidth="8.88671875" defaultRowHeight="14.4" x14ac:dyDescent="0.3"/>
  <cols>
    <col min="1" max="2" width="8.88671875" style="20"/>
    <col min="3" max="3" width="8.88671875" style="23"/>
    <col min="4" max="20" width="8.88671875" style="20"/>
    <col min="21" max="21" width="16.109375" style="20" bestFit="1" customWidth="1"/>
    <col min="22" max="16384" width="8.88671875" style="20"/>
  </cols>
  <sheetData>
    <row r="1" spans="1:28" x14ac:dyDescent="0.3">
      <c r="G1" s="20" t="s">
        <v>116</v>
      </c>
      <c r="I1" s="20" t="s">
        <v>121</v>
      </c>
      <c r="J1" s="20" t="s">
        <v>120</v>
      </c>
    </row>
    <row r="2" spans="1:28" x14ac:dyDescent="0.3">
      <c r="A2" s="20">
        <v>1</v>
      </c>
      <c r="B2" s="20">
        <v>2</v>
      </c>
      <c r="C2" s="20">
        <v>3</v>
      </c>
      <c r="D2" s="20">
        <v>4</v>
      </c>
      <c r="E2" s="20">
        <v>5</v>
      </c>
      <c r="F2" s="20">
        <v>6</v>
      </c>
      <c r="G2" s="20">
        <v>7</v>
      </c>
      <c r="H2" s="20">
        <v>8</v>
      </c>
      <c r="I2" s="20">
        <v>9</v>
      </c>
      <c r="J2" s="20">
        <v>10</v>
      </c>
      <c r="K2" s="20">
        <v>11</v>
      </c>
      <c r="L2" s="20">
        <v>12</v>
      </c>
      <c r="M2" s="20">
        <v>13</v>
      </c>
      <c r="N2" s="20">
        <v>14</v>
      </c>
      <c r="O2" s="20">
        <v>15</v>
      </c>
      <c r="P2" s="20">
        <v>16</v>
      </c>
      <c r="Q2" s="20">
        <v>17</v>
      </c>
      <c r="R2" s="20">
        <v>18</v>
      </c>
      <c r="AB2" s="20" t="s">
        <v>220</v>
      </c>
    </row>
    <row r="3" spans="1:28" x14ac:dyDescent="0.3">
      <c r="B3" s="21">
        <f>Builder!C2</f>
        <v>0</v>
      </c>
      <c r="C3" s="22" t="str">
        <f>IF(Builder!C3=0," ",Builder!C3)</f>
        <v xml:space="preserve"> </v>
      </c>
      <c r="D3" s="21" t="str">
        <f>IF(Builder!D3=0," ",Builder!D3)</f>
        <v xml:space="preserve"> </v>
      </c>
      <c r="E3" s="21" t="str">
        <f>IF(Builder!E3=0," ",Builder!E3)</f>
        <v xml:space="preserve"> </v>
      </c>
      <c r="F3" s="21" t="str">
        <f>IF(Builder!F3=0," ",Builder!F3)</f>
        <v xml:space="preserve"> </v>
      </c>
      <c r="G3" s="110" t="s">
        <v>119</v>
      </c>
      <c r="H3" s="110"/>
      <c r="I3" s="21" t="str">
        <f>IF(Builder!I3=0," ",Builder!I3)</f>
        <v xml:space="preserve"> </v>
      </c>
      <c r="J3" s="21" t="str">
        <f>IF(Builder!J3=0," ",Builder!J3)</f>
        <v xml:space="preserve"> </v>
      </c>
      <c r="K3" s="21" t="str">
        <f>IF(Builder!K3=0," ",Builder!K3)</f>
        <v xml:space="preserve"> </v>
      </c>
      <c r="L3" s="21" t="str">
        <f>IF(Builder!L3=0," ",Builder!L3)</f>
        <v xml:space="preserve"> </v>
      </c>
      <c r="M3" s="21" t="str">
        <f>IF(Builder!M3=0," ",Builder!M3)</f>
        <v xml:space="preserve"> </v>
      </c>
      <c r="N3" s="21" t="str">
        <f>IF(Builder!N3=0," ",Builder!N3)</f>
        <v xml:space="preserve"> </v>
      </c>
      <c r="O3" s="21"/>
      <c r="P3" s="21" t="str">
        <f>IF(Builder!P3=0," ",Builder!P3)</f>
        <v xml:space="preserve"> </v>
      </c>
      <c r="Q3" s="21" t="str">
        <f>IF(Builder!Q3=0," ",Builder!Q3)</f>
        <v xml:space="preserve"> </v>
      </c>
      <c r="R3" s="21" t="str">
        <f>IF(Builder!R2=0," ",Builder!R2)</f>
        <v xml:space="preserve"> </v>
      </c>
      <c r="S3" s="20" t="str">
        <f>IF(Builder!S5=0," ",Builder!S5)</f>
        <v xml:space="preserve"> </v>
      </c>
      <c r="T3" s="21" t="str">
        <f>IF(Builder!AW3=0," ",Builder!AW3)</f>
        <v xml:space="preserve"> </v>
      </c>
      <c r="Y3" s="20">
        <f>(SUM(Y5:Y30))</f>
        <v>0</v>
      </c>
      <c r="Z3" s="20">
        <f>Y3/2</f>
        <v>0</v>
      </c>
      <c r="AA3" s="20">
        <f>ROUNDDOWN(Z3,0)</f>
        <v>0</v>
      </c>
      <c r="AB3" s="20">
        <f>AA3+1</f>
        <v>1</v>
      </c>
    </row>
    <row r="4" spans="1:28" ht="15" x14ac:dyDescent="0.3">
      <c r="B4" s="21" t="str">
        <f>IF(Builder!B4=0," ",Builder!B4)</f>
        <v>Unit name</v>
      </c>
      <c r="C4" s="22" t="str">
        <f>IF(Builder!C4=0," ",Builder!C4)</f>
        <v>Company</v>
      </c>
      <c r="D4" s="21" t="s">
        <v>118</v>
      </c>
      <c r="E4" s="21" t="str">
        <f>IF(Builder!E4=0," ",Builder!E4)</f>
        <v>Mov</v>
      </c>
      <c r="F4" s="21" t="str">
        <f>IF(Builder!F4=0," ",Builder!F4)</f>
        <v>Mel</v>
      </c>
      <c r="G4" s="21" t="str">
        <f>IF(Builder!G4=0," ",Builder!G4)</f>
        <v>short</v>
      </c>
      <c r="H4" s="21" t="str">
        <f>IF(Builder!H4=0," ",Builder!H4)</f>
        <v>long</v>
      </c>
      <c r="I4" s="21" t="s">
        <v>117</v>
      </c>
      <c r="J4" s="21" t="str">
        <f>IF(Builder!J4=0," ",Builder!J4)</f>
        <v>Com</v>
      </c>
      <c r="K4" s="21" t="str">
        <f>IF(Builder!K4=0," ",Builder!K4)</f>
        <v>Racial</v>
      </c>
      <c r="L4" s="21" t="str">
        <f>IF(Builder!L4=0," ",Builder!L4)</f>
        <v>Trait1</v>
      </c>
      <c r="M4" s="21" t="str">
        <f>IF(Builder!M4=0," ",Builder!M4)</f>
        <v>Trait2</v>
      </c>
      <c r="N4" s="21" t="str">
        <f>IF(Builder!N4=0," ",Builder!N4)</f>
        <v>Trait3</v>
      </c>
      <c r="O4" s="21" t="str">
        <f>IF(Builder!O4=0," ",Builder!O4)</f>
        <v>Relic</v>
      </c>
      <c r="P4" s="21" t="str">
        <f>IF(Builder!P4=0," ",Builder!P4)</f>
        <v>Cost</v>
      </c>
      <c r="Q4" s="21" t="str">
        <f>IF(Builder!Q4=0," ",Builder!Q4)</f>
        <v># Bases</v>
      </c>
      <c r="R4" s="21" t="str">
        <f>IF(Builder!R4=0," ",Builder!R4)</f>
        <v>Total</v>
      </c>
      <c r="S4" s="20" t="str">
        <f>IF(Builder!S6=0," ",Builder!S6)</f>
        <v xml:space="preserve"> </v>
      </c>
      <c r="T4" s="21" t="str">
        <f>IF(Builder!AW4=0," ",Builder!AW4)</f>
        <v xml:space="preserve"> </v>
      </c>
      <c r="U4" s="111" t="s">
        <v>218</v>
      </c>
      <c r="V4" s="111"/>
      <c r="W4" s="5" t="s">
        <v>27</v>
      </c>
      <c r="X4" s="92" t="s">
        <v>80</v>
      </c>
      <c r="Y4" s="20" t="s">
        <v>219</v>
      </c>
    </row>
    <row r="5" spans="1:28" x14ac:dyDescent="0.3">
      <c r="A5" s="20">
        <v>1</v>
      </c>
      <c r="B5" s="22" t="str">
        <f>IFERROR(VLOOKUP($A5,sorted,B$2,FALSE)," ")</f>
        <v xml:space="preserve"> </v>
      </c>
      <c r="C5" s="22" t="str">
        <f t="shared" ref="B5:J14" si="0">IFERROR(VLOOKUP($A5,sorted,C$2,FALSE)," ")</f>
        <v xml:space="preserve"> </v>
      </c>
      <c r="D5" s="22" t="str">
        <f t="shared" si="0"/>
        <v xml:space="preserve"> </v>
      </c>
      <c r="E5" s="22" t="str">
        <f t="shared" si="0"/>
        <v xml:space="preserve"> </v>
      </c>
      <c r="F5" s="22" t="str">
        <f t="shared" si="0"/>
        <v xml:space="preserve"> </v>
      </c>
      <c r="G5" s="22" t="str">
        <f t="shared" si="0"/>
        <v xml:space="preserve"> </v>
      </c>
      <c r="H5" s="22" t="str">
        <f t="shared" si="0"/>
        <v xml:space="preserve"> </v>
      </c>
      <c r="I5" s="22" t="str">
        <f t="shared" si="0"/>
        <v xml:space="preserve"> </v>
      </c>
      <c r="J5" s="22" t="str">
        <f t="shared" si="0"/>
        <v xml:space="preserve"> </v>
      </c>
      <c r="K5" s="22">
        <f t="shared" ref="K5:O14" si="1">IFERROR(VLOOKUP($A5,sorted,K$2,FALSE),0)</f>
        <v>0</v>
      </c>
      <c r="L5" s="22">
        <f t="shared" si="1"/>
        <v>0</v>
      </c>
      <c r="M5" s="22">
        <f t="shared" si="1"/>
        <v>0</v>
      </c>
      <c r="N5" s="22">
        <f t="shared" si="1"/>
        <v>0</v>
      </c>
      <c r="O5" s="22">
        <f t="shared" si="1"/>
        <v>0</v>
      </c>
      <c r="P5" s="22" t="str">
        <f t="shared" ref="P5:R30" si="2">IFERROR(VLOOKUP($A5,sorted,P$2,FALSE)," ")</f>
        <v xml:space="preserve"> </v>
      </c>
      <c r="Q5" s="22" t="str">
        <f t="shared" si="2"/>
        <v xml:space="preserve"> </v>
      </c>
      <c r="R5" s="22" t="str">
        <f t="shared" si="2"/>
        <v xml:space="preserve"> </v>
      </c>
      <c r="S5" s="20" t="str">
        <f>IF(Builder!S7=0," ",Builder!S7)</f>
        <v xml:space="preserve"> </v>
      </c>
      <c r="T5" s="21" t="str">
        <f>IF(Builder!AW5=0," ",Builder!AW5)</f>
        <v xml:space="preserve"> </v>
      </c>
      <c r="U5" s="20" t="str">
        <f>IFERROR(VLOOKUP(C5,Stats!$B$9:$B$15,1,FALSE)," ")</f>
        <v xml:space="preserve"> </v>
      </c>
      <c r="V5" s="20">
        <f>IF((LEN(U5))&gt;1,1,0)</f>
        <v>0</v>
      </c>
      <c r="W5" s="20">
        <f t="shared" ref="W5:W30" si="3">IF((COUNTIF(K5:N5,$W$4))=1,0,1)</f>
        <v>1</v>
      </c>
      <c r="X5" s="20">
        <f t="shared" ref="X5:X30" si="4">IF((COUNTIF(K5:N5,$X$4))=1,0,1)</f>
        <v>1</v>
      </c>
      <c r="Y5" s="20" t="str">
        <f t="shared" ref="Y5:Y30" si="5">IFERROR((W5*X5*V5*Q5),"")</f>
        <v/>
      </c>
    </row>
    <row r="6" spans="1:28" x14ac:dyDescent="0.3">
      <c r="A6" s="20">
        <v>2</v>
      </c>
      <c r="B6" s="22" t="str">
        <f t="shared" si="0"/>
        <v xml:space="preserve"> </v>
      </c>
      <c r="C6" s="22" t="str">
        <f t="shared" si="0"/>
        <v xml:space="preserve"> </v>
      </c>
      <c r="D6" s="22" t="str">
        <f>IFERROR(VLOOKUP($A6,sorted,D$2,FALSE)," ")</f>
        <v xml:space="preserve"> </v>
      </c>
      <c r="E6" s="22" t="str">
        <f t="shared" si="0"/>
        <v xml:space="preserve"> </v>
      </c>
      <c r="F6" s="22" t="str">
        <f t="shared" si="0"/>
        <v xml:space="preserve"> </v>
      </c>
      <c r="G6" s="22" t="str">
        <f t="shared" si="0"/>
        <v xml:space="preserve"> </v>
      </c>
      <c r="H6" s="22" t="str">
        <f t="shared" si="0"/>
        <v xml:space="preserve"> </v>
      </c>
      <c r="I6" s="22" t="str">
        <f t="shared" si="0"/>
        <v xml:space="preserve"> </v>
      </c>
      <c r="J6" s="22" t="str">
        <f t="shared" si="0"/>
        <v xml:space="preserve"> </v>
      </c>
      <c r="K6" s="22">
        <f t="shared" si="1"/>
        <v>0</v>
      </c>
      <c r="L6" s="22">
        <f t="shared" si="1"/>
        <v>0</v>
      </c>
      <c r="M6" s="22">
        <f t="shared" si="1"/>
        <v>0</v>
      </c>
      <c r="N6" s="22">
        <f t="shared" si="1"/>
        <v>0</v>
      </c>
      <c r="O6" s="22">
        <f t="shared" si="1"/>
        <v>0</v>
      </c>
      <c r="P6" s="22" t="str">
        <f t="shared" si="2"/>
        <v xml:space="preserve"> </v>
      </c>
      <c r="Q6" s="22" t="str">
        <f>IFERROR(VLOOKUP($A6,sorted,Q$2,FALSE)," ")</f>
        <v xml:space="preserve"> </v>
      </c>
      <c r="R6" s="22" t="str">
        <f t="shared" si="2"/>
        <v xml:space="preserve"> </v>
      </c>
      <c r="S6" s="20" t="str">
        <f>IF(Builder!S8=0," ",Builder!S8)</f>
        <v xml:space="preserve"> </v>
      </c>
      <c r="T6" s="20" t="str">
        <f>IF(Builder!T8=0," ",Builder!T8)</f>
        <v xml:space="preserve"> </v>
      </c>
      <c r="U6" s="20" t="str">
        <f>IFERROR(VLOOKUP(C6,Stats!$B$9:$B$15,1,FALSE)," ")</f>
        <v xml:space="preserve"> </v>
      </c>
      <c r="V6" s="20">
        <f t="shared" ref="V6:V30" si="6">IF((LEN(U6))&gt;1,1,0)</f>
        <v>0</v>
      </c>
      <c r="W6" s="20">
        <f t="shared" si="3"/>
        <v>1</v>
      </c>
      <c r="X6" s="20">
        <f t="shared" si="4"/>
        <v>1</v>
      </c>
      <c r="Y6" s="20" t="str">
        <f t="shared" si="5"/>
        <v/>
      </c>
    </row>
    <row r="7" spans="1:28" x14ac:dyDescent="0.3">
      <c r="A7" s="20">
        <v>3</v>
      </c>
      <c r="B7" s="22" t="str">
        <f t="shared" si="0"/>
        <v xml:space="preserve"> </v>
      </c>
      <c r="C7" s="22" t="str">
        <f t="shared" si="0"/>
        <v xml:space="preserve"> </v>
      </c>
      <c r="D7" s="22" t="str">
        <f t="shared" si="0"/>
        <v xml:space="preserve"> </v>
      </c>
      <c r="E7" s="22" t="str">
        <f t="shared" si="0"/>
        <v xml:space="preserve"> </v>
      </c>
      <c r="F7" s="22" t="str">
        <f t="shared" si="0"/>
        <v xml:space="preserve"> </v>
      </c>
      <c r="G7" s="22" t="str">
        <f t="shared" si="0"/>
        <v xml:space="preserve"> </v>
      </c>
      <c r="H7" s="22" t="str">
        <f t="shared" si="0"/>
        <v xml:space="preserve"> </v>
      </c>
      <c r="I7" s="22" t="str">
        <f t="shared" si="0"/>
        <v xml:space="preserve"> </v>
      </c>
      <c r="J7" s="22" t="str">
        <f t="shared" si="0"/>
        <v xml:space="preserve"> </v>
      </c>
      <c r="K7" s="22">
        <f t="shared" si="1"/>
        <v>0</v>
      </c>
      <c r="L7" s="22">
        <f t="shared" si="1"/>
        <v>0</v>
      </c>
      <c r="M7" s="22">
        <f t="shared" si="1"/>
        <v>0</v>
      </c>
      <c r="N7" s="22">
        <f t="shared" si="1"/>
        <v>0</v>
      </c>
      <c r="O7" s="22">
        <f t="shared" si="1"/>
        <v>0</v>
      </c>
      <c r="P7" s="22" t="str">
        <f t="shared" si="2"/>
        <v xml:space="preserve"> </v>
      </c>
      <c r="Q7" s="22" t="str">
        <f t="shared" si="2"/>
        <v xml:space="preserve"> </v>
      </c>
      <c r="R7" s="22" t="str">
        <f t="shared" si="2"/>
        <v xml:space="preserve"> </v>
      </c>
      <c r="S7" s="20" t="str">
        <f>IF(Builder!S9=0," ",Builder!S9)</f>
        <v xml:space="preserve"> </v>
      </c>
      <c r="T7" s="20" t="str">
        <f>IF(Builder!T9=0," ",Builder!T9)</f>
        <v xml:space="preserve"> </v>
      </c>
      <c r="U7" s="20" t="str">
        <f>IFERROR(VLOOKUP(C7,Stats!$B$9:$B$15,1,FALSE)," ")</f>
        <v xml:space="preserve"> </v>
      </c>
      <c r="V7" s="20">
        <f t="shared" si="6"/>
        <v>0</v>
      </c>
      <c r="W7" s="20">
        <f t="shared" si="3"/>
        <v>1</v>
      </c>
      <c r="X7" s="20">
        <f t="shared" si="4"/>
        <v>1</v>
      </c>
      <c r="Y7" s="20" t="str">
        <f t="shared" si="5"/>
        <v/>
      </c>
    </row>
    <row r="8" spans="1:28" x14ac:dyDescent="0.3">
      <c r="A8" s="20">
        <v>4</v>
      </c>
      <c r="B8" s="22" t="str">
        <f t="shared" si="0"/>
        <v xml:space="preserve"> </v>
      </c>
      <c r="C8" s="22" t="str">
        <f t="shared" si="0"/>
        <v xml:space="preserve"> </v>
      </c>
      <c r="D8" s="22" t="str">
        <f t="shared" si="0"/>
        <v xml:space="preserve"> </v>
      </c>
      <c r="E8" s="22" t="str">
        <f t="shared" si="0"/>
        <v xml:space="preserve"> </v>
      </c>
      <c r="F8" s="22" t="str">
        <f t="shared" si="0"/>
        <v xml:space="preserve"> </v>
      </c>
      <c r="G8" s="22" t="str">
        <f t="shared" si="0"/>
        <v xml:space="preserve"> </v>
      </c>
      <c r="H8" s="22" t="str">
        <f t="shared" si="0"/>
        <v xml:space="preserve"> </v>
      </c>
      <c r="I8" s="22" t="str">
        <f t="shared" si="0"/>
        <v xml:space="preserve"> </v>
      </c>
      <c r="J8" s="22" t="str">
        <f t="shared" si="0"/>
        <v xml:space="preserve"> 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22" t="str">
        <f t="shared" si="2"/>
        <v xml:space="preserve"> </v>
      </c>
      <c r="Q8" s="22" t="str">
        <f t="shared" si="2"/>
        <v xml:space="preserve"> </v>
      </c>
      <c r="R8" s="22" t="str">
        <f t="shared" si="2"/>
        <v xml:space="preserve"> </v>
      </c>
      <c r="S8" s="20" t="str">
        <f>IF(Builder!S10=0," ",Builder!S10)</f>
        <v xml:space="preserve"> </v>
      </c>
      <c r="T8" s="20" t="str">
        <f>IF(Builder!T10=0," ",Builder!T10)</f>
        <v xml:space="preserve"> </v>
      </c>
      <c r="U8" s="20" t="str">
        <f>IFERROR(VLOOKUP(C8,Stats!$B$9:$B$15,1,FALSE)," ")</f>
        <v xml:space="preserve"> </v>
      </c>
      <c r="V8" s="20">
        <f t="shared" si="6"/>
        <v>0</v>
      </c>
      <c r="W8" s="20">
        <f t="shared" si="3"/>
        <v>1</v>
      </c>
      <c r="X8" s="20">
        <f t="shared" si="4"/>
        <v>1</v>
      </c>
      <c r="Y8" s="20" t="str">
        <f t="shared" si="5"/>
        <v/>
      </c>
    </row>
    <row r="9" spans="1:28" x14ac:dyDescent="0.3">
      <c r="A9" s="20">
        <v>5</v>
      </c>
      <c r="B9" s="22" t="str">
        <f t="shared" si="0"/>
        <v xml:space="preserve"> </v>
      </c>
      <c r="C9" s="22" t="str">
        <f t="shared" si="0"/>
        <v xml:space="preserve"> </v>
      </c>
      <c r="D9" s="22" t="str">
        <f t="shared" si="0"/>
        <v xml:space="preserve"> </v>
      </c>
      <c r="E9" s="22" t="str">
        <f t="shared" si="0"/>
        <v xml:space="preserve"> </v>
      </c>
      <c r="F9" s="22" t="str">
        <f t="shared" si="0"/>
        <v xml:space="preserve"> </v>
      </c>
      <c r="G9" s="22" t="str">
        <f t="shared" si="0"/>
        <v xml:space="preserve"> </v>
      </c>
      <c r="H9" s="22" t="str">
        <f t="shared" si="0"/>
        <v xml:space="preserve"> </v>
      </c>
      <c r="I9" s="22" t="str">
        <f t="shared" si="0"/>
        <v xml:space="preserve"> </v>
      </c>
      <c r="J9" s="22" t="str">
        <f t="shared" si="0"/>
        <v xml:space="preserve"> </v>
      </c>
      <c r="K9" s="22">
        <f t="shared" si="1"/>
        <v>0</v>
      </c>
      <c r="L9" s="22">
        <f t="shared" si="1"/>
        <v>0</v>
      </c>
      <c r="M9" s="22">
        <f t="shared" si="1"/>
        <v>0</v>
      </c>
      <c r="N9" s="22">
        <f t="shared" si="1"/>
        <v>0</v>
      </c>
      <c r="O9" s="22">
        <f t="shared" si="1"/>
        <v>0</v>
      </c>
      <c r="P9" s="22" t="str">
        <f t="shared" si="2"/>
        <v xml:space="preserve"> </v>
      </c>
      <c r="Q9" s="22" t="str">
        <f t="shared" si="2"/>
        <v xml:space="preserve"> </v>
      </c>
      <c r="R9" s="22" t="str">
        <f t="shared" si="2"/>
        <v xml:space="preserve"> </v>
      </c>
      <c r="S9" s="20" t="str">
        <f>IF(Builder!S11=0," ",Builder!S11)</f>
        <v xml:space="preserve"> </v>
      </c>
      <c r="T9" s="20" t="str">
        <f>IF(Builder!T11=0," ",Builder!T11)</f>
        <v xml:space="preserve"> </v>
      </c>
      <c r="U9" s="20" t="str">
        <f>IFERROR(VLOOKUP(C9,Stats!$B$9:$B$15,1,FALSE)," ")</f>
        <v xml:space="preserve"> </v>
      </c>
      <c r="V9" s="20">
        <f t="shared" si="6"/>
        <v>0</v>
      </c>
      <c r="W9" s="20">
        <f t="shared" si="3"/>
        <v>1</v>
      </c>
      <c r="X9" s="20">
        <f t="shared" si="4"/>
        <v>1</v>
      </c>
      <c r="Y9" s="20" t="str">
        <f t="shared" si="5"/>
        <v/>
      </c>
    </row>
    <row r="10" spans="1:28" x14ac:dyDescent="0.3">
      <c r="A10" s="20">
        <v>6</v>
      </c>
      <c r="B10" s="22" t="str">
        <f t="shared" si="0"/>
        <v xml:space="preserve"> </v>
      </c>
      <c r="C10" s="22" t="str">
        <f t="shared" si="0"/>
        <v xml:space="preserve"> </v>
      </c>
      <c r="D10" s="22" t="str">
        <f t="shared" si="0"/>
        <v xml:space="preserve"> </v>
      </c>
      <c r="E10" s="22" t="str">
        <f t="shared" si="0"/>
        <v xml:space="preserve"> </v>
      </c>
      <c r="F10" s="22" t="str">
        <f t="shared" si="0"/>
        <v xml:space="preserve"> </v>
      </c>
      <c r="G10" s="22" t="str">
        <f t="shared" si="0"/>
        <v xml:space="preserve"> </v>
      </c>
      <c r="H10" s="22" t="str">
        <f t="shared" si="0"/>
        <v xml:space="preserve"> </v>
      </c>
      <c r="I10" s="22" t="str">
        <f t="shared" si="0"/>
        <v xml:space="preserve"> </v>
      </c>
      <c r="J10" s="22" t="str">
        <f t="shared" si="0"/>
        <v xml:space="preserve"> </v>
      </c>
      <c r="K10" s="22">
        <f t="shared" si="1"/>
        <v>0</v>
      </c>
      <c r="L10" s="22">
        <f t="shared" si="1"/>
        <v>0</v>
      </c>
      <c r="M10" s="22">
        <f t="shared" si="1"/>
        <v>0</v>
      </c>
      <c r="N10" s="22">
        <f t="shared" si="1"/>
        <v>0</v>
      </c>
      <c r="O10" s="22">
        <f t="shared" si="1"/>
        <v>0</v>
      </c>
      <c r="P10" s="22" t="str">
        <f t="shared" si="2"/>
        <v xml:space="preserve"> </v>
      </c>
      <c r="Q10" s="22" t="str">
        <f t="shared" si="2"/>
        <v xml:space="preserve"> </v>
      </c>
      <c r="R10" s="22" t="str">
        <f t="shared" si="2"/>
        <v xml:space="preserve"> </v>
      </c>
      <c r="S10" s="20" t="str">
        <f>IF(Builder!S12=0," ",Builder!S12)</f>
        <v xml:space="preserve"> </v>
      </c>
      <c r="T10" s="20" t="str">
        <f>IF(Builder!T12=0," ",Builder!T12)</f>
        <v xml:space="preserve"> </v>
      </c>
      <c r="U10" s="20" t="str">
        <f>IFERROR(VLOOKUP(C10,Stats!$B$9:$B$15,1,FALSE)," ")</f>
        <v xml:space="preserve"> </v>
      </c>
      <c r="V10" s="20">
        <f t="shared" si="6"/>
        <v>0</v>
      </c>
      <c r="W10" s="20">
        <f t="shared" si="3"/>
        <v>1</v>
      </c>
      <c r="X10" s="20">
        <f t="shared" si="4"/>
        <v>1</v>
      </c>
      <c r="Y10" s="20" t="str">
        <f t="shared" si="5"/>
        <v/>
      </c>
    </row>
    <row r="11" spans="1:28" x14ac:dyDescent="0.3">
      <c r="A11" s="20">
        <v>7</v>
      </c>
      <c r="B11" s="22" t="str">
        <f t="shared" si="0"/>
        <v xml:space="preserve"> </v>
      </c>
      <c r="C11" s="22" t="str">
        <f t="shared" si="0"/>
        <v xml:space="preserve"> </v>
      </c>
      <c r="D11" s="22" t="str">
        <f t="shared" si="0"/>
        <v xml:space="preserve"> </v>
      </c>
      <c r="E11" s="22" t="str">
        <f t="shared" si="0"/>
        <v xml:space="preserve"> </v>
      </c>
      <c r="F11" s="22" t="str">
        <f t="shared" si="0"/>
        <v xml:space="preserve"> </v>
      </c>
      <c r="G11" s="22" t="str">
        <f t="shared" si="0"/>
        <v xml:space="preserve"> </v>
      </c>
      <c r="H11" s="22" t="str">
        <f t="shared" si="0"/>
        <v xml:space="preserve"> </v>
      </c>
      <c r="I11" s="22" t="str">
        <f t="shared" si="0"/>
        <v xml:space="preserve"> </v>
      </c>
      <c r="J11" s="22" t="str">
        <f t="shared" si="0"/>
        <v xml:space="preserve"> </v>
      </c>
      <c r="K11" s="22">
        <f t="shared" si="1"/>
        <v>0</v>
      </c>
      <c r="L11" s="22">
        <f t="shared" si="1"/>
        <v>0</v>
      </c>
      <c r="M11" s="22">
        <f t="shared" si="1"/>
        <v>0</v>
      </c>
      <c r="N11" s="22">
        <f t="shared" si="1"/>
        <v>0</v>
      </c>
      <c r="O11" s="22">
        <f t="shared" si="1"/>
        <v>0</v>
      </c>
      <c r="P11" s="22" t="str">
        <f t="shared" si="2"/>
        <v xml:space="preserve"> </v>
      </c>
      <c r="Q11" s="22" t="str">
        <f t="shared" si="2"/>
        <v xml:space="preserve"> </v>
      </c>
      <c r="R11" s="22" t="str">
        <f t="shared" si="2"/>
        <v xml:space="preserve"> </v>
      </c>
      <c r="S11" s="20" t="str">
        <f>IF(Builder!S13=0," ",Builder!S13)</f>
        <v xml:space="preserve"> </v>
      </c>
      <c r="T11" s="20" t="str">
        <f>IF(Builder!T13=0," ",Builder!T13)</f>
        <v xml:space="preserve"> </v>
      </c>
      <c r="U11" s="20" t="str">
        <f>IFERROR(VLOOKUP(C11,Stats!$B$9:$B$15,1,FALSE)," ")</f>
        <v xml:space="preserve"> </v>
      </c>
      <c r="V11" s="20">
        <f t="shared" si="6"/>
        <v>0</v>
      </c>
      <c r="W11" s="20">
        <f t="shared" si="3"/>
        <v>1</v>
      </c>
      <c r="X11" s="20">
        <f t="shared" si="4"/>
        <v>1</v>
      </c>
      <c r="Y11" s="20" t="str">
        <f t="shared" si="5"/>
        <v/>
      </c>
    </row>
    <row r="12" spans="1:28" x14ac:dyDescent="0.3">
      <c r="A12" s="20">
        <v>8</v>
      </c>
      <c r="B12" s="22" t="str">
        <f t="shared" si="0"/>
        <v xml:space="preserve"> </v>
      </c>
      <c r="C12" s="22" t="str">
        <f t="shared" si="0"/>
        <v xml:space="preserve"> </v>
      </c>
      <c r="D12" s="22" t="str">
        <f t="shared" si="0"/>
        <v xml:space="preserve"> </v>
      </c>
      <c r="E12" s="22" t="str">
        <f t="shared" si="0"/>
        <v xml:space="preserve"> </v>
      </c>
      <c r="F12" s="22" t="str">
        <f t="shared" si="0"/>
        <v xml:space="preserve"> </v>
      </c>
      <c r="G12" s="22" t="str">
        <f t="shared" si="0"/>
        <v xml:space="preserve"> </v>
      </c>
      <c r="H12" s="22" t="str">
        <f t="shared" si="0"/>
        <v xml:space="preserve"> </v>
      </c>
      <c r="I12" s="22" t="str">
        <f t="shared" si="0"/>
        <v xml:space="preserve"> </v>
      </c>
      <c r="J12" s="22" t="str">
        <f t="shared" si="0"/>
        <v xml:space="preserve"> </v>
      </c>
      <c r="K12" s="22">
        <f t="shared" si="1"/>
        <v>0</v>
      </c>
      <c r="L12" s="22">
        <f t="shared" si="1"/>
        <v>0</v>
      </c>
      <c r="M12" s="22">
        <f t="shared" si="1"/>
        <v>0</v>
      </c>
      <c r="N12" s="22">
        <f t="shared" si="1"/>
        <v>0</v>
      </c>
      <c r="O12" s="22">
        <f t="shared" si="1"/>
        <v>0</v>
      </c>
      <c r="P12" s="22" t="str">
        <f t="shared" si="2"/>
        <v xml:space="preserve"> </v>
      </c>
      <c r="Q12" s="22" t="str">
        <f t="shared" si="2"/>
        <v xml:space="preserve"> </v>
      </c>
      <c r="R12" s="22" t="str">
        <f t="shared" si="2"/>
        <v xml:space="preserve"> </v>
      </c>
      <c r="S12" s="20" t="str">
        <f>IF(Builder!S14=0," ",Builder!S14)</f>
        <v xml:space="preserve"> </v>
      </c>
      <c r="T12" s="20" t="str">
        <f>IF(Builder!T14=0," ",Builder!T14)</f>
        <v xml:space="preserve"> </v>
      </c>
      <c r="U12" s="20" t="str">
        <f>IFERROR(VLOOKUP(C12,Stats!$B$9:$B$15,1,FALSE)," ")</f>
        <v xml:space="preserve"> </v>
      </c>
      <c r="V12" s="20">
        <f t="shared" si="6"/>
        <v>0</v>
      </c>
      <c r="W12" s="20">
        <f t="shared" si="3"/>
        <v>1</v>
      </c>
      <c r="X12" s="20">
        <f t="shared" si="4"/>
        <v>1</v>
      </c>
      <c r="Y12" s="20" t="str">
        <f t="shared" si="5"/>
        <v/>
      </c>
    </row>
    <row r="13" spans="1:28" x14ac:dyDescent="0.3">
      <c r="A13" s="20">
        <v>9</v>
      </c>
      <c r="B13" s="22" t="str">
        <f t="shared" si="0"/>
        <v xml:space="preserve"> </v>
      </c>
      <c r="C13" s="22" t="str">
        <f t="shared" si="0"/>
        <v xml:space="preserve"> </v>
      </c>
      <c r="D13" s="22" t="str">
        <f t="shared" si="0"/>
        <v xml:space="preserve"> </v>
      </c>
      <c r="E13" s="22" t="str">
        <f t="shared" si="0"/>
        <v xml:space="preserve"> </v>
      </c>
      <c r="F13" s="22" t="str">
        <f t="shared" si="0"/>
        <v xml:space="preserve"> </v>
      </c>
      <c r="G13" s="22" t="str">
        <f t="shared" si="0"/>
        <v xml:space="preserve"> </v>
      </c>
      <c r="H13" s="22" t="str">
        <f t="shared" si="0"/>
        <v xml:space="preserve"> </v>
      </c>
      <c r="I13" s="22" t="str">
        <f t="shared" si="0"/>
        <v xml:space="preserve"> </v>
      </c>
      <c r="J13" s="22" t="str">
        <f t="shared" si="0"/>
        <v xml:space="preserve"> </v>
      </c>
      <c r="K13" s="22">
        <f t="shared" si="1"/>
        <v>0</v>
      </c>
      <c r="L13" s="22">
        <f t="shared" si="1"/>
        <v>0</v>
      </c>
      <c r="M13" s="22">
        <f t="shared" si="1"/>
        <v>0</v>
      </c>
      <c r="N13" s="22">
        <f t="shared" si="1"/>
        <v>0</v>
      </c>
      <c r="O13" s="22">
        <f t="shared" si="1"/>
        <v>0</v>
      </c>
      <c r="P13" s="22" t="str">
        <f t="shared" si="2"/>
        <v xml:space="preserve"> </v>
      </c>
      <c r="Q13" s="22" t="str">
        <f t="shared" si="2"/>
        <v xml:space="preserve"> </v>
      </c>
      <c r="R13" s="22" t="str">
        <f t="shared" si="2"/>
        <v xml:space="preserve"> </v>
      </c>
      <c r="S13" s="20" t="str">
        <f>IF(Builder!S15=0," ",Builder!S15)</f>
        <v xml:space="preserve"> </v>
      </c>
      <c r="T13" s="20" t="str">
        <f>IF(Builder!T15=0," ",Builder!T15)</f>
        <v xml:space="preserve"> </v>
      </c>
      <c r="U13" s="20" t="str">
        <f>IFERROR(VLOOKUP(C13,Stats!$B$9:$B$15,1,FALSE)," ")</f>
        <v xml:space="preserve"> </v>
      </c>
      <c r="V13" s="20">
        <f t="shared" si="6"/>
        <v>0</v>
      </c>
      <c r="W13" s="20">
        <f t="shared" si="3"/>
        <v>1</v>
      </c>
      <c r="X13" s="20">
        <f t="shared" si="4"/>
        <v>1</v>
      </c>
      <c r="Y13" s="20" t="str">
        <f t="shared" si="5"/>
        <v/>
      </c>
    </row>
    <row r="14" spans="1:28" x14ac:dyDescent="0.3">
      <c r="A14" s="20">
        <v>10</v>
      </c>
      <c r="B14" s="22" t="str">
        <f t="shared" si="0"/>
        <v xml:space="preserve"> </v>
      </c>
      <c r="C14" s="22" t="str">
        <f t="shared" si="0"/>
        <v xml:space="preserve"> </v>
      </c>
      <c r="D14" s="22" t="str">
        <f t="shared" si="0"/>
        <v xml:space="preserve"> </v>
      </c>
      <c r="E14" s="22" t="str">
        <f t="shared" si="0"/>
        <v xml:space="preserve"> </v>
      </c>
      <c r="F14" s="22" t="str">
        <f t="shared" si="0"/>
        <v xml:space="preserve"> </v>
      </c>
      <c r="G14" s="22" t="str">
        <f t="shared" si="0"/>
        <v xml:space="preserve"> </v>
      </c>
      <c r="H14" s="22" t="str">
        <f t="shared" si="0"/>
        <v xml:space="preserve"> </v>
      </c>
      <c r="I14" s="22" t="str">
        <f t="shared" si="0"/>
        <v xml:space="preserve"> </v>
      </c>
      <c r="J14" s="22" t="str">
        <f t="shared" si="0"/>
        <v xml:space="preserve"> </v>
      </c>
      <c r="K14" s="22">
        <f t="shared" si="1"/>
        <v>0</v>
      </c>
      <c r="L14" s="22">
        <f t="shared" si="1"/>
        <v>0</v>
      </c>
      <c r="M14" s="22">
        <f t="shared" si="1"/>
        <v>0</v>
      </c>
      <c r="N14" s="22">
        <f t="shared" si="1"/>
        <v>0</v>
      </c>
      <c r="O14" s="22">
        <f t="shared" si="1"/>
        <v>0</v>
      </c>
      <c r="P14" s="22" t="str">
        <f t="shared" si="2"/>
        <v xml:space="preserve"> </v>
      </c>
      <c r="Q14" s="22" t="str">
        <f t="shared" si="2"/>
        <v xml:space="preserve"> </v>
      </c>
      <c r="R14" s="22" t="str">
        <f t="shared" si="2"/>
        <v xml:space="preserve"> </v>
      </c>
      <c r="S14" s="20" t="str">
        <f>IF(Builder!S16=0," ",Builder!S16)</f>
        <v xml:space="preserve"> </v>
      </c>
      <c r="T14" s="20" t="str">
        <f>IF(Builder!T16=0," ",Builder!T16)</f>
        <v xml:space="preserve"> </v>
      </c>
      <c r="U14" s="20" t="str">
        <f>IFERROR(VLOOKUP(C14,Stats!$B$9:$B$15,1,FALSE)," ")</f>
        <v xml:space="preserve"> </v>
      </c>
      <c r="V14" s="20">
        <f t="shared" si="6"/>
        <v>0</v>
      </c>
      <c r="W14" s="20">
        <f t="shared" si="3"/>
        <v>1</v>
      </c>
      <c r="X14" s="20">
        <f t="shared" si="4"/>
        <v>1</v>
      </c>
      <c r="Y14" s="20" t="str">
        <f t="shared" si="5"/>
        <v/>
      </c>
    </row>
    <row r="15" spans="1:28" x14ac:dyDescent="0.3">
      <c r="A15" s="20">
        <v>11</v>
      </c>
      <c r="B15" s="22" t="str">
        <f t="shared" ref="B15:J24" si="7">IFERROR(VLOOKUP($A15,sorted,B$2,FALSE)," ")</f>
        <v xml:space="preserve"> </v>
      </c>
      <c r="C15" s="22" t="str">
        <f t="shared" si="7"/>
        <v xml:space="preserve"> </v>
      </c>
      <c r="D15" s="22" t="str">
        <f t="shared" si="7"/>
        <v xml:space="preserve"> </v>
      </c>
      <c r="E15" s="22" t="str">
        <f t="shared" si="7"/>
        <v xml:space="preserve"> </v>
      </c>
      <c r="F15" s="22" t="str">
        <f t="shared" si="7"/>
        <v xml:space="preserve"> </v>
      </c>
      <c r="G15" s="22" t="str">
        <f t="shared" si="7"/>
        <v xml:space="preserve"> </v>
      </c>
      <c r="H15" s="22" t="str">
        <f t="shared" si="7"/>
        <v xml:space="preserve"> </v>
      </c>
      <c r="I15" s="22" t="str">
        <f t="shared" si="7"/>
        <v xml:space="preserve"> </v>
      </c>
      <c r="J15" s="22" t="str">
        <f t="shared" si="7"/>
        <v xml:space="preserve"> </v>
      </c>
      <c r="K15" s="22">
        <f t="shared" ref="K15:O24" si="8">IFERROR(VLOOKUP($A15,sorted,K$2,FALSE),0)</f>
        <v>0</v>
      </c>
      <c r="L15" s="22">
        <f t="shared" si="8"/>
        <v>0</v>
      </c>
      <c r="M15" s="22">
        <f t="shared" si="8"/>
        <v>0</v>
      </c>
      <c r="N15" s="22">
        <f t="shared" si="8"/>
        <v>0</v>
      </c>
      <c r="O15" s="22">
        <f t="shared" si="8"/>
        <v>0</v>
      </c>
      <c r="P15" s="22" t="str">
        <f t="shared" si="2"/>
        <v xml:space="preserve"> </v>
      </c>
      <c r="Q15" s="22" t="str">
        <f t="shared" si="2"/>
        <v xml:space="preserve"> </v>
      </c>
      <c r="R15" s="22" t="str">
        <f t="shared" si="2"/>
        <v xml:space="preserve"> </v>
      </c>
      <c r="S15" s="20" t="str">
        <f>IF(Builder!S17=0," ",Builder!S17)</f>
        <v xml:space="preserve"> </v>
      </c>
      <c r="T15" s="20" t="str">
        <f>IF(Builder!T17=0," ",Builder!T17)</f>
        <v xml:space="preserve"> </v>
      </c>
      <c r="U15" s="20" t="str">
        <f>IFERROR(VLOOKUP(C15,Stats!$B$9:$B$15,1,FALSE)," ")</f>
        <v xml:space="preserve"> </v>
      </c>
      <c r="V15" s="20">
        <f t="shared" si="6"/>
        <v>0</v>
      </c>
      <c r="W15" s="20">
        <f t="shared" si="3"/>
        <v>1</v>
      </c>
      <c r="X15" s="20">
        <f t="shared" si="4"/>
        <v>1</v>
      </c>
      <c r="Y15" s="20" t="str">
        <f t="shared" si="5"/>
        <v/>
      </c>
    </row>
    <row r="16" spans="1:28" x14ac:dyDescent="0.3">
      <c r="A16" s="20">
        <v>12</v>
      </c>
      <c r="B16" s="22" t="str">
        <f t="shared" si="7"/>
        <v xml:space="preserve"> </v>
      </c>
      <c r="C16" s="22" t="str">
        <f t="shared" si="7"/>
        <v xml:space="preserve"> </v>
      </c>
      <c r="D16" s="22" t="str">
        <f t="shared" si="7"/>
        <v xml:space="preserve"> </v>
      </c>
      <c r="E16" s="22" t="str">
        <f t="shared" si="7"/>
        <v xml:space="preserve"> </v>
      </c>
      <c r="F16" s="22" t="str">
        <f t="shared" si="7"/>
        <v xml:space="preserve"> </v>
      </c>
      <c r="G16" s="22" t="str">
        <f t="shared" si="7"/>
        <v xml:space="preserve"> </v>
      </c>
      <c r="H16" s="22" t="str">
        <f t="shared" si="7"/>
        <v xml:space="preserve"> </v>
      </c>
      <c r="I16" s="22" t="str">
        <f t="shared" si="7"/>
        <v xml:space="preserve"> </v>
      </c>
      <c r="J16" s="22" t="str">
        <f t="shared" si="7"/>
        <v xml:space="preserve"> </v>
      </c>
      <c r="K16" s="22">
        <f t="shared" si="8"/>
        <v>0</v>
      </c>
      <c r="L16" s="22">
        <f t="shared" si="8"/>
        <v>0</v>
      </c>
      <c r="M16" s="22">
        <f t="shared" si="8"/>
        <v>0</v>
      </c>
      <c r="N16" s="22">
        <f t="shared" si="8"/>
        <v>0</v>
      </c>
      <c r="O16" s="22">
        <f t="shared" si="8"/>
        <v>0</v>
      </c>
      <c r="P16" s="22" t="str">
        <f t="shared" si="2"/>
        <v xml:space="preserve"> </v>
      </c>
      <c r="Q16" s="22" t="str">
        <f t="shared" si="2"/>
        <v xml:space="preserve"> </v>
      </c>
      <c r="R16" s="22" t="str">
        <f t="shared" si="2"/>
        <v xml:space="preserve"> </v>
      </c>
      <c r="S16" s="20" t="str">
        <f>IF(Builder!S18=0," ",Builder!S18)</f>
        <v xml:space="preserve"> </v>
      </c>
      <c r="T16" s="20" t="str">
        <f>IF(Builder!T18=0," ",Builder!T18)</f>
        <v xml:space="preserve"> </v>
      </c>
      <c r="U16" s="20" t="str">
        <f>IFERROR(VLOOKUP(C16,Stats!$B$9:$B$15,1,FALSE)," ")</f>
        <v xml:space="preserve"> </v>
      </c>
      <c r="V16" s="20">
        <f t="shared" si="6"/>
        <v>0</v>
      </c>
      <c r="W16" s="20">
        <f t="shared" si="3"/>
        <v>1</v>
      </c>
      <c r="X16" s="20">
        <f t="shared" si="4"/>
        <v>1</v>
      </c>
      <c r="Y16" s="20" t="str">
        <f t="shared" si="5"/>
        <v/>
      </c>
    </row>
    <row r="17" spans="1:25" x14ac:dyDescent="0.3">
      <c r="A17" s="20">
        <v>13</v>
      </c>
      <c r="B17" s="22" t="str">
        <f t="shared" si="7"/>
        <v xml:space="preserve"> </v>
      </c>
      <c r="C17" s="22" t="str">
        <f t="shared" si="7"/>
        <v xml:space="preserve"> </v>
      </c>
      <c r="D17" s="22" t="str">
        <f t="shared" si="7"/>
        <v xml:space="preserve"> </v>
      </c>
      <c r="E17" s="22" t="str">
        <f t="shared" si="7"/>
        <v xml:space="preserve"> </v>
      </c>
      <c r="F17" s="22" t="str">
        <f t="shared" si="7"/>
        <v xml:space="preserve"> </v>
      </c>
      <c r="G17" s="22" t="str">
        <f t="shared" si="7"/>
        <v xml:space="preserve"> </v>
      </c>
      <c r="H17" s="22" t="str">
        <f t="shared" si="7"/>
        <v xml:space="preserve"> </v>
      </c>
      <c r="I17" s="22" t="str">
        <f t="shared" si="7"/>
        <v xml:space="preserve"> </v>
      </c>
      <c r="J17" s="22" t="str">
        <f t="shared" si="7"/>
        <v xml:space="preserve"> </v>
      </c>
      <c r="K17" s="22">
        <f t="shared" si="8"/>
        <v>0</v>
      </c>
      <c r="L17" s="22">
        <f t="shared" si="8"/>
        <v>0</v>
      </c>
      <c r="M17" s="22">
        <f t="shared" si="8"/>
        <v>0</v>
      </c>
      <c r="N17" s="22">
        <f t="shared" si="8"/>
        <v>0</v>
      </c>
      <c r="O17" s="22">
        <f t="shared" si="8"/>
        <v>0</v>
      </c>
      <c r="P17" s="22" t="str">
        <f t="shared" si="2"/>
        <v xml:space="preserve"> </v>
      </c>
      <c r="Q17" s="22" t="str">
        <f t="shared" si="2"/>
        <v xml:space="preserve"> </v>
      </c>
      <c r="R17" s="22" t="str">
        <f t="shared" si="2"/>
        <v xml:space="preserve"> </v>
      </c>
      <c r="S17" s="20" t="str">
        <f>IF(Builder!S19=0," ",Builder!S19)</f>
        <v xml:space="preserve"> </v>
      </c>
      <c r="T17" s="20" t="str">
        <f>IF(Builder!T19=0," ",Builder!T19)</f>
        <v xml:space="preserve"> </v>
      </c>
      <c r="U17" s="20" t="str">
        <f>IFERROR(VLOOKUP(C17,Stats!$B$9:$B$15,1,FALSE)," ")</f>
        <v xml:space="preserve"> </v>
      </c>
      <c r="V17" s="20">
        <f t="shared" si="6"/>
        <v>0</v>
      </c>
      <c r="W17" s="20">
        <f t="shared" si="3"/>
        <v>1</v>
      </c>
      <c r="X17" s="20">
        <f t="shared" si="4"/>
        <v>1</v>
      </c>
      <c r="Y17" s="20" t="str">
        <f t="shared" si="5"/>
        <v/>
      </c>
    </row>
    <row r="18" spans="1:25" x14ac:dyDescent="0.3">
      <c r="A18" s="20">
        <v>14</v>
      </c>
      <c r="B18" s="22" t="str">
        <f t="shared" si="7"/>
        <v xml:space="preserve"> </v>
      </c>
      <c r="C18" s="22" t="str">
        <f t="shared" si="7"/>
        <v xml:space="preserve"> </v>
      </c>
      <c r="D18" s="22" t="str">
        <f t="shared" si="7"/>
        <v xml:space="preserve"> </v>
      </c>
      <c r="E18" s="22" t="str">
        <f t="shared" si="7"/>
        <v xml:space="preserve"> </v>
      </c>
      <c r="F18" s="22" t="str">
        <f t="shared" si="7"/>
        <v xml:space="preserve"> </v>
      </c>
      <c r="G18" s="22" t="str">
        <f t="shared" si="7"/>
        <v xml:space="preserve"> </v>
      </c>
      <c r="H18" s="22" t="str">
        <f t="shared" si="7"/>
        <v xml:space="preserve"> </v>
      </c>
      <c r="I18" s="22" t="str">
        <f t="shared" si="7"/>
        <v xml:space="preserve"> </v>
      </c>
      <c r="J18" s="22" t="str">
        <f t="shared" si="7"/>
        <v xml:space="preserve"> </v>
      </c>
      <c r="K18" s="22">
        <f t="shared" si="8"/>
        <v>0</v>
      </c>
      <c r="L18" s="22">
        <f t="shared" si="8"/>
        <v>0</v>
      </c>
      <c r="M18" s="22">
        <f t="shared" si="8"/>
        <v>0</v>
      </c>
      <c r="N18" s="22">
        <f t="shared" si="8"/>
        <v>0</v>
      </c>
      <c r="O18" s="22">
        <f t="shared" si="8"/>
        <v>0</v>
      </c>
      <c r="P18" s="22" t="str">
        <f t="shared" si="2"/>
        <v xml:space="preserve"> </v>
      </c>
      <c r="Q18" s="22" t="str">
        <f t="shared" si="2"/>
        <v xml:space="preserve"> </v>
      </c>
      <c r="R18" s="22" t="str">
        <f t="shared" si="2"/>
        <v xml:space="preserve"> </v>
      </c>
      <c r="S18" s="20" t="str">
        <f>IF(Builder!S20=0," ",Builder!S20)</f>
        <v xml:space="preserve"> </v>
      </c>
      <c r="T18" s="20" t="str">
        <f>IF(Builder!T20=0," ",Builder!T20)</f>
        <v xml:space="preserve"> </v>
      </c>
      <c r="U18" s="20" t="str">
        <f>IFERROR(VLOOKUP(C18,Stats!$B$9:$B$15,1,FALSE)," ")</f>
        <v xml:space="preserve"> </v>
      </c>
      <c r="V18" s="20">
        <f t="shared" si="6"/>
        <v>0</v>
      </c>
      <c r="W18" s="20">
        <f t="shared" si="3"/>
        <v>1</v>
      </c>
      <c r="X18" s="20">
        <f t="shared" si="4"/>
        <v>1</v>
      </c>
      <c r="Y18" s="20" t="str">
        <f t="shared" si="5"/>
        <v/>
      </c>
    </row>
    <row r="19" spans="1:25" x14ac:dyDescent="0.3">
      <c r="A19" s="20">
        <v>15</v>
      </c>
      <c r="B19" s="22" t="str">
        <f t="shared" si="7"/>
        <v xml:space="preserve"> </v>
      </c>
      <c r="C19" s="22" t="str">
        <f t="shared" si="7"/>
        <v xml:space="preserve"> </v>
      </c>
      <c r="D19" s="22" t="str">
        <f t="shared" si="7"/>
        <v xml:space="preserve"> </v>
      </c>
      <c r="E19" s="22" t="str">
        <f t="shared" si="7"/>
        <v xml:space="preserve"> </v>
      </c>
      <c r="F19" s="22" t="str">
        <f t="shared" si="7"/>
        <v xml:space="preserve"> </v>
      </c>
      <c r="G19" s="22" t="str">
        <f t="shared" si="7"/>
        <v xml:space="preserve"> </v>
      </c>
      <c r="H19" s="22" t="str">
        <f t="shared" si="7"/>
        <v xml:space="preserve"> </v>
      </c>
      <c r="I19" s="22" t="str">
        <f t="shared" si="7"/>
        <v xml:space="preserve"> </v>
      </c>
      <c r="J19" s="22" t="str">
        <f t="shared" si="7"/>
        <v xml:space="preserve"> </v>
      </c>
      <c r="K19" s="22">
        <f t="shared" si="8"/>
        <v>0</v>
      </c>
      <c r="L19" s="22">
        <f t="shared" si="8"/>
        <v>0</v>
      </c>
      <c r="M19" s="22">
        <f t="shared" si="8"/>
        <v>0</v>
      </c>
      <c r="N19" s="22">
        <f t="shared" si="8"/>
        <v>0</v>
      </c>
      <c r="O19" s="22">
        <f t="shared" si="8"/>
        <v>0</v>
      </c>
      <c r="P19" s="22" t="str">
        <f t="shared" si="2"/>
        <v xml:space="preserve"> </v>
      </c>
      <c r="Q19" s="22" t="str">
        <f t="shared" si="2"/>
        <v xml:space="preserve"> </v>
      </c>
      <c r="R19" s="22" t="str">
        <f t="shared" si="2"/>
        <v xml:space="preserve"> </v>
      </c>
      <c r="S19" s="20" t="str">
        <f>IF(Builder!S21=0," ",Builder!S21)</f>
        <v xml:space="preserve"> </v>
      </c>
      <c r="T19" s="20" t="str">
        <f>IF(Builder!T21=0," ",Builder!T21)</f>
        <v xml:space="preserve"> </v>
      </c>
      <c r="U19" s="20" t="str">
        <f>IFERROR(VLOOKUP(C19,Stats!$B$9:$B$15,1,FALSE)," ")</f>
        <v xml:space="preserve"> </v>
      </c>
      <c r="V19" s="20">
        <f t="shared" si="6"/>
        <v>0</v>
      </c>
      <c r="W19" s="20">
        <f t="shared" si="3"/>
        <v>1</v>
      </c>
      <c r="X19" s="20">
        <f t="shared" si="4"/>
        <v>1</v>
      </c>
      <c r="Y19" s="20" t="str">
        <f t="shared" si="5"/>
        <v/>
      </c>
    </row>
    <row r="20" spans="1:25" x14ac:dyDescent="0.3">
      <c r="A20" s="20">
        <v>16</v>
      </c>
      <c r="B20" s="22" t="str">
        <f t="shared" si="7"/>
        <v xml:space="preserve"> </v>
      </c>
      <c r="C20" s="22" t="str">
        <f t="shared" si="7"/>
        <v xml:space="preserve"> </v>
      </c>
      <c r="D20" s="22" t="str">
        <f t="shared" si="7"/>
        <v xml:space="preserve"> </v>
      </c>
      <c r="E20" s="22" t="str">
        <f t="shared" si="7"/>
        <v xml:space="preserve"> </v>
      </c>
      <c r="F20" s="22" t="str">
        <f t="shared" si="7"/>
        <v xml:space="preserve"> </v>
      </c>
      <c r="G20" s="22" t="str">
        <f t="shared" si="7"/>
        <v xml:space="preserve"> </v>
      </c>
      <c r="H20" s="22" t="str">
        <f t="shared" si="7"/>
        <v xml:space="preserve"> </v>
      </c>
      <c r="I20" s="22" t="str">
        <f t="shared" si="7"/>
        <v xml:space="preserve"> </v>
      </c>
      <c r="J20" s="22" t="str">
        <f t="shared" si="7"/>
        <v xml:space="preserve"> </v>
      </c>
      <c r="K20" s="22">
        <f t="shared" si="8"/>
        <v>0</v>
      </c>
      <c r="L20" s="22">
        <f t="shared" si="8"/>
        <v>0</v>
      </c>
      <c r="M20" s="22">
        <f t="shared" si="8"/>
        <v>0</v>
      </c>
      <c r="N20" s="22">
        <f t="shared" si="8"/>
        <v>0</v>
      </c>
      <c r="O20" s="22">
        <f t="shared" si="8"/>
        <v>0</v>
      </c>
      <c r="P20" s="22" t="str">
        <f t="shared" si="2"/>
        <v xml:space="preserve"> </v>
      </c>
      <c r="Q20" s="22" t="str">
        <f t="shared" si="2"/>
        <v xml:space="preserve"> </v>
      </c>
      <c r="R20" s="22" t="str">
        <f t="shared" si="2"/>
        <v xml:space="preserve"> </v>
      </c>
      <c r="S20" s="20" t="str">
        <f>IF(Builder!S22=0," ",Builder!S22)</f>
        <v xml:space="preserve"> </v>
      </c>
      <c r="T20" s="20" t="str">
        <f>IF(Builder!T22=0," ",Builder!T22)</f>
        <v xml:space="preserve"> </v>
      </c>
      <c r="U20" s="20" t="str">
        <f>IFERROR(VLOOKUP(C20,Stats!$B$9:$B$15,1,FALSE)," ")</f>
        <v xml:space="preserve"> </v>
      </c>
      <c r="V20" s="20">
        <f t="shared" si="6"/>
        <v>0</v>
      </c>
      <c r="W20" s="20">
        <f t="shared" si="3"/>
        <v>1</v>
      </c>
      <c r="X20" s="20">
        <f t="shared" si="4"/>
        <v>1</v>
      </c>
      <c r="Y20" s="20" t="str">
        <f t="shared" si="5"/>
        <v/>
      </c>
    </row>
    <row r="21" spans="1:25" x14ac:dyDescent="0.3">
      <c r="A21" s="20">
        <v>17</v>
      </c>
      <c r="B21" s="22" t="str">
        <f t="shared" si="7"/>
        <v xml:space="preserve"> </v>
      </c>
      <c r="C21" s="22" t="str">
        <f t="shared" si="7"/>
        <v xml:space="preserve"> </v>
      </c>
      <c r="D21" s="22" t="str">
        <f t="shared" si="7"/>
        <v xml:space="preserve"> </v>
      </c>
      <c r="E21" s="22" t="str">
        <f t="shared" si="7"/>
        <v xml:space="preserve"> </v>
      </c>
      <c r="F21" s="22" t="str">
        <f t="shared" si="7"/>
        <v xml:space="preserve"> </v>
      </c>
      <c r="G21" s="22" t="str">
        <f t="shared" si="7"/>
        <v xml:space="preserve"> </v>
      </c>
      <c r="H21" s="22" t="str">
        <f t="shared" si="7"/>
        <v xml:space="preserve"> </v>
      </c>
      <c r="I21" s="22" t="str">
        <f t="shared" si="7"/>
        <v xml:space="preserve"> </v>
      </c>
      <c r="J21" s="22" t="str">
        <f t="shared" si="7"/>
        <v xml:space="preserve"> </v>
      </c>
      <c r="K21" s="22">
        <f t="shared" si="8"/>
        <v>0</v>
      </c>
      <c r="L21" s="22">
        <f t="shared" si="8"/>
        <v>0</v>
      </c>
      <c r="M21" s="22">
        <f t="shared" si="8"/>
        <v>0</v>
      </c>
      <c r="N21" s="22">
        <f t="shared" si="8"/>
        <v>0</v>
      </c>
      <c r="O21" s="22">
        <f t="shared" si="8"/>
        <v>0</v>
      </c>
      <c r="P21" s="22" t="str">
        <f t="shared" si="2"/>
        <v xml:space="preserve"> </v>
      </c>
      <c r="Q21" s="22" t="str">
        <f t="shared" si="2"/>
        <v xml:space="preserve"> </v>
      </c>
      <c r="R21" s="22" t="str">
        <f t="shared" si="2"/>
        <v xml:space="preserve"> </v>
      </c>
      <c r="S21" s="20" t="str">
        <f>IF(Builder!S23=0," ",Builder!S23)</f>
        <v xml:space="preserve"> </v>
      </c>
      <c r="T21" s="20" t="str">
        <f>IF(Builder!T23=0," ",Builder!T23)</f>
        <v xml:space="preserve"> </v>
      </c>
      <c r="U21" s="20" t="str">
        <f>IFERROR(VLOOKUP(C21,Stats!$B$9:$B$15,1,FALSE)," ")</f>
        <v xml:space="preserve"> </v>
      </c>
      <c r="V21" s="20">
        <f t="shared" si="6"/>
        <v>0</v>
      </c>
      <c r="W21" s="20">
        <f t="shared" si="3"/>
        <v>1</v>
      </c>
      <c r="X21" s="20">
        <f t="shared" si="4"/>
        <v>1</v>
      </c>
      <c r="Y21" s="20" t="str">
        <f t="shared" si="5"/>
        <v/>
      </c>
    </row>
    <row r="22" spans="1:25" x14ac:dyDescent="0.3">
      <c r="A22" s="20">
        <v>18</v>
      </c>
      <c r="B22" s="22" t="str">
        <f t="shared" si="7"/>
        <v xml:space="preserve"> </v>
      </c>
      <c r="C22" s="22" t="str">
        <f t="shared" si="7"/>
        <v xml:space="preserve"> </v>
      </c>
      <c r="D22" s="22" t="str">
        <f t="shared" si="7"/>
        <v xml:space="preserve"> </v>
      </c>
      <c r="E22" s="22" t="str">
        <f t="shared" si="7"/>
        <v xml:space="preserve"> </v>
      </c>
      <c r="F22" s="22" t="str">
        <f t="shared" si="7"/>
        <v xml:space="preserve"> </v>
      </c>
      <c r="G22" s="22" t="str">
        <f t="shared" si="7"/>
        <v xml:space="preserve"> </v>
      </c>
      <c r="H22" s="22" t="str">
        <f t="shared" si="7"/>
        <v xml:space="preserve"> </v>
      </c>
      <c r="I22" s="22" t="str">
        <f t="shared" si="7"/>
        <v xml:space="preserve"> </v>
      </c>
      <c r="J22" s="22" t="str">
        <f t="shared" si="7"/>
        <v xml:space="preserve"> </v>
      </c>
      <c r="K22" s="22">
        <f t="shared" si="8"/>
        <v>0</v>
      </c>
      <c r="L22" s="22">
        <f t="shared" si="8"/>
        <v>0</v>
      </c>
      <c r="M22" s="22">
        <f t="shared" si="8"/>
        <v>0</v>
      </c>
      <c r="N22" s="22">
        <f t="shared" si="8"/>
        <v>0</v>
      </c>
      <c r="O22" s="22">
        <f t="shared" si="8"/>
        <v>0</v>
      </c>
      <c r="P22" s="22" t="str">
        <f t="shared" si="2"/>
        <v xml:space="preserve"> </v>
      </c>
      <c r="Q22" s="22" t="str">
        <f t="shared" si="2"/>
        <v xml:space="preserve"> </v>
      </c>
      <c r="R22" s="22" t="str">
        <f t="shared" si="2"/>
        <v xml:space="preserve"> </v>
      </c>
      <c r="S22" s="20" t="str">
        <f>IF(Builder!S24=0," ",Builder!S24)</f>
        <v xml:space="preserve"> </v>
      </c>
      <c r="T22" s="20" t="str">
        <f>IF(Builder!T24=0," ",Builder!T24)</f>
        <v xml:space="preserve"> </v>
      </c>
      <c r="U22" s="20" t="str">
        <f>IFERROR(VLOOKUP(C22,Stats!$B$9:$B$15,1,FALSE)," ")</f>
        <v xml:space="preserve"> </v>
      </c>
      <c r="V22" s="20">
        <f t="shared" si="6"/>
        <v>0</v>
      </c>
      <c r="W22" s="20">
        <f t="shared" si="3"/>
        <v>1</v>
      </c>
      <c r="X22" s="20">
        <f t="shared" si="4"/>
        <v>1</v>
      </c>
      <c r="Y22" s="20" t="str">
        <f t="shared" si="5"/>
        <v/>
      </c>
    </row>
    <row r="23" spans="1:25" x14ac:dyDescent="0.3">
      <c r="A23" s="20">
        <v>19</v>
      </c>
      <c r="B23" s="22" t="str">
        <f t="shared" si="7"/>
        <v xml:space="preserve"> </v>
      </c>
      <c r="C23" s="22" t="str">
        <f t="shared" si="7"/>
        <v xml:space="preserve"> </v>
      </c>
      <c r="D23" s="22" t="str">
        <f t="shared" si="7"/>
        <v xml:space="preserve"> </v>
      </c>
      <c r="E23" s="22" t="str">
        <f t="shared" si="7"/>
        <v xml:space="preserve"> </v>
      </c>
      <c r="F23" s="22" t="str">
        <f t="shared" si="7"/>
        <v xml:space="preserve"> </v>
      </c>
      <c r="G23" s="22" t="str">
        <f t="shared" si="7"/>
        <v xml:space="preserve"> </v>
      </c>
      <c r="H23" s="22" t="str">
        <f t="shared" si="7"/>
        <v xml:space="preserve"> </v>
      </c>
      <c r="I23" s="22" t="str">
        <f t="shared" si="7"/>
        <v xml:space="preserve"> </v>
      </c>
      <c r="J23" s="22" t="str">
        <f t="shared" si="7"/>
        <v xml:space="preserve"> </v>
      </c>
      <c r="K23" s="22">
        <f t="shared" si="8"/>
        <v>0</v>
      </c>
      <c r="L23" s="22">
        <f t="shared" si="8"/>
        <v>0</v>
      </c>
      <c r="M23" s="22">
        <f t="shared" si="8"/>
        <v>0</v>
      </c>
      <c r="N23" s="22">
        <f t="shared" si="8"/>
        <v>0</v>
      </c>
      <c r="O23" s="22">
        <f t="shared" si="8"/>
        <v>0</v>
      </c>
      <c r="P23" s="22" t="str">
        <f t="shared" si="2"/>
        <v xml:space="preserve"> </v>
      </c>
      <c r="Q23" s="22" t="str">
        <f t="shared" si="2"/>
        <v xml:space="preserve"> </v>
      </c>
      <c r="R23" s="22" t="str">
        <f t="shared" si="2"/>
        <v xml:space="preserve"> </v>
      </c>
      <c r="S23" s="20" t="str">
        <f>IF(Builder!S25=0," ",Builder!S25)</f>
        <v xml:space="preserve"> </v>
      </c>
      <c r="T23" s="20" t="str">
        <f>IF(Builder!T25=0," ",Builder!T25)</f>
        <v xml:space="preserve"> </v>
      </c>
      <c r="U23" s="20" t="str">
        <f>IFERROR(VLOOKUP(C23,Stats!$B$9:$B$15,1,FALSE)," ")</f>
        <v xml:space="preserve"> </v>
      </c>
      <c r="V23" s="20">
        <f t="shared" si="6"/>
        <v>0</v>
      </c>
      <c r="W23" s="20">
        <f t="shared" si="3"/>
        <v>1</v>
      </c>
      <c r="X23" s="20">
        <f t="shared" si="4"/>
        <v>1</v>
      </c>
      <c r="Y23" s="20" t="str">
        <f t="shared" si="5"/>
        <v/>
      </c>
    </row>
    <row r="24" spans="1:25" x14ac:dyDescent="0.3">
      <c r="A24" s="20">
        <v>20</v>
      </c>
      <c r="B24" s="22" t="str">
        <f t="shared" si="7"/>
        <v xml:space="preserve"> </v>
      </c>
      <c r="C24" s="22" t="str">
        <f t="shared" si="7"/>
        <v xml:space="preserve"> </v>
      </c>
      <c r="D24" s="22" t="str">
        <f t="shared" si="7"/>
        <v xml:space="preserve"> </v>
      </c>
      <c r="E24" s="22" t="str">
        <f t="shared" si="7"/>
        <v xml:space="preserve"> </v>
      </c>
      <c r="F24" s="22" t="str">
        <f t="shared" si="7"/>
        <v xml:space="preserve"> </v>
      </c>
      <c r="G24" s="22" t="str">
        <f t="shared" si="7"/>
        <v xml:space="preserve"> </v>
      </c>
      <c r="H24" s="22" t="str">
        <f t="shared" si="7"/>
        <v xml:space="preserve"> </v>
      </c>
      <c r="I24" s="22" t="str">
        <f t="shared" si="7"/>
        <v xml:space="preserve"> </v>
      </c>
      <c r="J24" s="22" t="str">
        <f t="shared" si="7"/>
        <v xml:space="preserve"> </v>
      </c>
      <c r="K24" s="22">
        <f t="shared" si="8"/>
        <v>0</v>
      </c>
      <c r="L24" s="22">
        <f t="shared" si="8"/>
        <v>0</v>
      </c>
      <c r="M24" s="22">
        <f t="shared" si="8"/>
        <v>0</v>
      </c>
      <c r="N24" s="22">
        <f t="shared" si="8"/>
        <v>0</v>
      </c>
      <c r="O24" s="22">
        <f t="shared" si="8"/>
        <v>0</v>
      </c>
      <c r="P24" s="22" t="str">
        <f t="shared" si="2"/>
        <v xml:space="preserve"> </v>
      </c>
      <c r="Q24" s="22" t="str">
        <f t="shared" si="2"/>
        <v xml:space="preserve"> </v>
      </c>
      <c r="R24" s="22" t="str">
        <f t="shared" si="2"/>
        <v xml:space="preserve"> </v>
      </c>
      <c r="S24" s="20" t="str">
        <f>IF(Builder!S26=0," ",Builder!S26)</f>
        <v xml:space="preserve"> </v>
      </c>
      <c r="T24" s="20" t="str">
        <f>IF(Builder!T26=0," ",Builder!T26)</f>
        <v xml:space="preserve"> </v>
      </c>
      <c r="U24" s="20" t="str">
        <f>IFERROR(VLOOKUP(C24,Stats!$B$9:$B$15,1,FALSE)," ")</f>
        <v xml:space="preserve"> </v>
      </c>
      <c r="V24" s="20">
        <f t="shared" si="6"/>
        <v>0</v>
      </c>
      <c r="W24" s="20">
        <f t="shared" si="3"/>
        <v>1</v>
      </c>
      <c r="X24" s="20">
        <f t="shared" si="4"/>
        <v>1</v>
      </c>
      <c r="Y24" s="20" t="str">
        <f t="shared" si="5"/>
        <v/>
      </c>
    </row>
    <row r="25" spans="1:25" x14ac:dyDescent="0.3">
      <c r="A25" s="20">
        <v>21</v>
      </c>
      <c r="B25" s="22" t="str">
        <f t="shared" ref="B25:J30" si="9">IFERROR(VLOOKUP($A25,sorted,B$2,FALSE)," ")</f>
        <v xml:space="preserve"> </v>
      </c>
      <c r="C25" s="22" t="str">
        <f t="shared" si="9"/>
        <v xml:space="preserve"> </v>
      </c>
      <c r="D25" s="22" t="str">
        <f t="shared" si="9"/>
        <v xml:space="preserve"> </v>
      </c>
      <c r="E25" s="22" t="str">
        <f t="shared" si="9"/>
        <v xml:space="preserve"> </v>
      </c>
      <c r="F25" s="22" t="str">
        <f t="shared" si="9"/>
        <v xml:space="preserve"> </v>
      </c>
      <c r="G25" s="22" t="str">
        <f t="shared" si="9"/>
        <v xml:space="preserve"> </v>
      </c>
      <c r="H25" s="22" t="str">
        <f t="shared" si="9"/>
        <v xml:space="preserve"> </v>
      </c>
      <c r="I25" s="22" t="str">
        <f t="shared" si="9"/>
        <v xml:space="preserve"> </v>
      </c>
      <c r="J25" s="22" t="str">
        <f t="shared" si="9"/>
        <v xml:space="preserve"> </v>
      </c>
      <c r="K25" s="22">
        <f t="shared" ref="K25:O30" si="10">IFERROR(VLOOKUP($A25,sorted,K$2,FALSE),0)</f>
        <v>0</v>
      </c>
      <c r="L25" s="22">
        <f t="shared" si="10"/>
        <v>0</v>
      </c>
      <c r="M25" s="22">
        <f t="shared" si="10"/>
        <v>0</v>
      </c>
      <c r="N25" s="22">
        <f t="shared" si="10"/>
        <v>0</v>
      </c>
      <c r="O25" s="22">
        <f t="shared" si="10"/>
        <v>0</v>
      </c>
      <c r="P25" s="22" t="str">
        <f t="shared" si="2"/>
        <v xml:space="preserve"> </v>
      </c>
      <c r="Q25" s="22" t="str">
        <f t="shared" si="2"/>
        <v xml:space="preserve"> </v>
      </c>
      <c r="R25" s="22" t="str">
        <f t="shared" si="2"/>
        <v xml:space="preserve"> </v>
      </c>
      <c r="S25" s="20" t="str">
        <f>IF(Builder!S27=0," ",Builder!S27)</f>
        <v xml:space="preserve"> </v>
      </c>
      <c r="T25" s="20" t="str">
        <f>IF(Builder!T27=0," ",Builder!T27)</f>
        <v xml:space="preserve"> </v>
      </c>
      <c r="U25" s="20" t="str">
        <f>IFERROR(VLOOKUP(C25,Stats!$B$9:$B$15,1,FALSE)," ")</f>
        <v xml:space="preserve"> </v>
      </c>
      <c r="V25" s="20">
        <f t="shared" si="6"/>
        <v>0</v>
      </c>
      <c r="W25" s="20">
        <f t="shared" si="3"/>
        <v>1</v>
      </c>
      <c r="X25" s="20">
        <f t="shared" si="4"/>
        <v>1</v>
      </c>
      <c r="Y25" s="20" t="str">
        <f t="shared" si="5"/>
        <v/>
      </c>
    </row>
    <row r="26" spans="1:25" x14ac:dyDescent="0.3">
      <c r="A26" s="20">
        <v>22</v>
      </c>
      <c r="B26" s="22" t="str">
        <f t="shared" si="9"/>
        <v xml:space="preserve"> </v>
      </c>
      <c r="C26" s="22" t="str">
        <f t="shared" si="9"/>
        <v xml:space="preserve"> </v>
      </c>
      <c r="D26" s="22" t="str">
        <f t="shared" si="9"/>
        <v xml:space="preserve"> </v>
      </c>
      <c r="E26" s="22" t="str">
        <f t="shared" si="9"/>
        <v xml:space="preserve"> </v>
      </c>
      <c r="F26" s="22" t="str">
        <f t="shared" si="9"/>
        <v xml:space="preserve"> </v>
      </c>
      <c r="G26" s="22" t="str">
        <f t="shared" si="9"/>
        <v xml:space="preserve"> </v>
      </c>
      <c r="H26" s="22" t="str">
        <f t="shared" si="9"/>
        <v xml:space="preserve"> </v>
      </c>
      <c r="I26" s="22" t="str">
        <f t="shared" si="9"/>
        <v xml:space="preserve"> </v>
      </c>
      <c r="J26" s="22" t="str">
        <f t="shared" si="9"/>
        <v xml:space="preserve"> </v>
      </c>
      <c r="K26" s="22">
        <f t="shared" si="10"/>
        <v>0</v>
      </c>
      <c r="L26" s="22">
        <f t="shared" si="10"/>
        <v>0</v>
      </c>
      <c r="M26" s="22">
        <f t="shared" si="10"/>
        <v>0</v>
      </c>
      <c r="N26" s="22">
        <f t="shared" si="10"/>
        <v>0</v>
      </c>
      <c r="O26" s="22">
        <f t="shared" si="10"/>
        <v>0</v>
      </c>
      <c r="P26" s="22" t="str">
        <f t="shared" si="2"/>
        <v xml:space="preserve"> </v>
      </c>
      <c r="Q26" s="22" t="str">
        <f t="shared" si="2"/>
        <v xml:space="preserve"> </v>
      </c>
      <c r="R26" s="22" t="str">
        <f t="shared" si="2"/>
        <v xml:space="preserve"> </v>
      </c>
      <c r="S26" s="20" t="str">
        <f>IF(Builder!S28=0," ",Builder!S28)</f>
        <v xml:space="preserve"> </v>
      </c>
      <c r="T26" s="20" t="str">
        <f>IF(Builder!T28=0," ",Builder!T28)</f>
        <v xml:space="preserve"> </v>
      </c>
      <c r="U26" s="20" t="str">
        <f>IFERROR(VLOOKUP(C26,Stats!$B$9:$B$15,1,FALSE)," ")</f>
        <v xml:space="preserve"> </v>
      </c>
      <c r="V26" s="20">
        <f t="shared" si="6"/>
        <v>0</v>
      </c>
      <c r="W26" s="20">
        <f t="shared" si="3"/>
        <v>1</v>
      </c>
      <c r="X26" s="20">
        <f t="shared" si="4"/>
        <v>1</v>
      </c>
      <c r="Y26" s="20" t="str">
        <f t="shared" si="5"/>
        <v/>
      </c>
    </row>
    <row r="27" spans="1:25" x14ac:dyDescent="0.3">
      <c r="A27" s="20">
        <v>23</v>
      </c>
      <c r="B27" s="22" t="str">
        <f t="shared" si="9"/>
        <v xml:space="preserve"> </v>
      </c>
      <c r="C27" s="22" t="str">
        <f t="shared" si="9"/>
        <v xml:space="preserve"> </v>
      </c>
      <c r="D27" s="22" t="str">
        <f t="shared" si="9"/>
        <v xml:space="preserve"> </v>
      </c>
      <c r="E27" s="22" t="str">
        <f t="shared" si="9"/>
        <v xml:space="preserve"> </v>
      </c>
      <c r="F27" s="22" t="str">
        <f t="shared" si="9"/>
        <v xml:space="preserve"> </v>
      </c>
      <c r="G27" s="22" t="str">
        <f t="shared" si="9"/>
        <v xml:space="preserve"> </v>
      </c>
      <c r="H27" s="22" t="str">
        <f t="shared" si="9"/>
        <v xml:space="preserve"> </v>
      </c>
      <c r="I27" s="22" t="str">
        <f t="shared" si="9"/>
        <v xml:space="preserve"> </v>
      </c>
      <c r="J27" s="22" t="str">
        <f t="shared" si="9"/>
        <v xml:space="preserve"> </v>
      </c>
      <c r="K27" s="22">
        <f t="shared" si="10"/>
        <v>0</v>
      </c>
      <c r="L27" s="22">
        <f t="shared" si="10"/>
        <v>0</v>
      </c>
      <c r="M27" s="22">
        <f t="shared" si="10"/>
        <v>0</v>
      </c>
      <c r="N27" s="22">
        <f t="shared" si="10"/>
        <v>0</v>
      </c>
      <c r="O27" s="22">
        <f t="shared" si="10"/>
        <v>0</v>
      </c>
      <c r="P27" s="22" t="str">
        <f t="shared" si="2"/>
        <v xml:space="preserve"> </v>
      </c>
      <c r="Q27" s="22" t="str">
        <f t="shared" si="2"/>
        <v xml:space="preserve"> </v>
      </c>
      <c r="R27" s="22" t="str">
        <f t="shared" si="2"/>
        <v xml:space="preserve"> </v>
      </c>
      <c r="S27" s="20" t="str">
        <f>IF(Builder!S29=0," ",Builder!S29)</f>
        <v xml:space="preserve"> </v>
      </c>
      <c r="T27" s="20" t="str">
        <f>IF(Builder!T29=0," ",Builder!T29)</f>
        <v xml:space="preserve"> </v>
      </c>
      <c r="U27" s="20" t="str">
        <f>IFERROR(VLOOKUP(C27,Stats!$B$9:$B$15,1,FALSE)," ")</f>
        <v xml:space="preserve"> </v>
      </c>
      <c r="V27" s="20">
        <f t="shared" si="6"/>
        <v>0</v>
      </c>
      <c r="W27" s="20">
        <f t="shared" si="3"/>
        <v>1</v>
      </c>
      <c r="X27" s="20">
        <f t="shared" si="4"/>
        <v>1</v>
      </c>
      <c r="Y27" s="20" t="str">
        <f t="shared" si="5"/>
        <v/>
      </c>
    </row>
    <row r="28" spans="1:25" x14ac:dyDescent="0.3">
      <c r="A28" s="20">
        <v>24</v>
      </c>
      <c r="B28" s="22" t="str">
        <f t="shared" si="9"/>
        <v xml:space="preserve"> </v>
      </c>
      <c r="C28" s="22" t="str">
        <f t="shared" si="9"/>
        <v xml:space="preserve"> </v>
      </c>
      <c r="D28" s="22" t="str">
        <f t="shared" si="9"/>
        <v xml:space="preserve"> </v>
      </c>
      <c r="E28" s="22" t="str">
        <f t="shared" si="9"/>
        <v xml:space="preserve"> </v>
      </c>
      <c r="F28" s="22" t="str">
        <f t="shared" si="9"/>
        <v xml:space="preserve"> </v>
      </c>
      <c r="G28" s="22" t="str">
        <f t="shared" si="9"/>
        <v xml:space="preserve"> </v>
      </c>
      <c r="H28" s="22" t="str">
        <f t="shared" si="9"/>
        <v xml:space="preserve"> </v>
      </c>
      <c r="I28" s="22" t="str">
        <f t="shared" si="9"/>
        <v xml:space="preserve"> </v>
      </c>
      <c r="J28" s="22" t="str">
        <f t="shared" si="9"/>
        <v xml:space="preserve"> </v>
      </c>
      <c r="K28" s="22">
        <f t="shared" si="10"/>
        <v>0</v>
      </c>
      <c r="L28" s="22">
        <f t="shared" si="10"/>
        <v>0</v>
      </c>
      <c r="M28" s="22">
        <f t="shared" si="10"/>
        <v>0</v>
      </c>
      <c r="N28" s="22">
        <f t="shared" si="10"/>
        <v>0</v>
      </c>
      <c r="O28" s="22">
        <f t="shared" si="10"/>
        <v>0</v>
      </c>
      <c r="P28" s="22" t="str">
        <f t="shared" si="2"/>
        <v xml:space="preserve"> </v>
      </c>
      <c r="Q28" s="22" t="str">
        <f t="shared" si="2"/>
        <v xml:space="preserve"> </v>
      </c>
      <c r="R28" s="22" t="str">
        <f t="shared" si="2"/>
        <v xml:space="preserve"> </v>
      </c>
      <c r="S28" s="20" t="str">
        <f>IF(Builder!S30=0," ",Builder!S30)</f>
        <v xml:space="preserve"> </v>
      </c>
      <c r="T28" s="20" t="str">
        <f>IF(Builder!T30=0," ",Builder!T30)</f>
        <v xml:space="preserve"> </v>
      </c>
      <c r="U28" s="20" t="str">
        <f>IFERROR(VLOOKUP(C28,Stats!$B$9:$B$15,1,FALSE)," ")</f>
        <v xml:space="preserve"> </v>
      </c>
      <c r="V28" s="20">
        <f t="shared" si="6"/>
        <v>0</v>
      </c>
      <c r="W28" s="20">
        <f t="shared" si="3"/>
        <v>1</v>
      </c>
      <c r="X28" s="20">
        <f t="shared" si="4"/>
        <v>1</v>
      </c>
      <c r="Y28" s="20" t="str">
        <f t="shared" si="5"/>
        <v/>
      </c>
    </row>
    <row r="29" spans="1:25" x14ac:dyDescent="0.3">
      <c r="A29" s="20">
        <v>25</v>
      </c>
      <c r="B29" s="22" t="str">
        <f t="shared" si="9"/>
        <v xml:space="preserve"> </v>
      </c>
      <c r="C29" s="22" t="str">
        <f t="shared" si="9"/>
        <v xml:space="preserve"> </v>
      </c>
      <c r="D29" s="22" t="str">
        <f t="shared" si="9"/>
        <v xml:space="preserve"> </v>
      </c>
      <c r="E29" s="22" t="str">
        <f t="shared" si="9"/>
        <v xml:space="preserve"> </v>
      </c>
      <c r="F29" s="22" t="str">
        <f t="shared" si="9"/>
        <v xml:space="preserve"> </v>
      </c>
      <c r="G29" s="22" t="str">
        <f t="shared" si="9"/>
        <v xml:space="preserve"> </v>
      </c>
      <c r="H29" s="22" t="str">
        <f t="shared" si="9"/>
        <v xml:space="preserve"> </v>
      </c>
      <c r="I29" s="22" t="str">
        <f t="shared" si="9"/>
        <v xml:space="preserve"> </v>
      </c>
      <c r="J29" s="22" t="str">
        <f t="shared" si="9"/>
        <v xml:space="preserve"> </v>
      </c>
      <c r="K29" s="22">
        <f t="shared" si="10"/>
        <v>0</v>
      </c>
      <c r="L29" s="22">
        <f t="shared" si="10"/>
        <v>0</v>
      </c>
      <c r="M29" s="22">
        <f t="shared" si="10"/>
        <v>0</v>
      </c>
      <c r="N29" s="22">
        <f t="shared" si="10"/>
        <v>0</v>
      </c>
      <c r="O29" s="22">
        <f t="shared" si="10"/>
        <v>0</v>
      </c>
      <c r="P29" s="22" t="str">
        <f t="shared" si="2"/>
        <v xml:space="preserve"> </v>
      </c>
      <c r="Q29" s="22" t="str">
        <f t="shared" si="2"/>
        <v xml:space="preserve"> </v>
      </c>
      <c r="R29" s="22" t="str">
        <f t="shared" si="2"/>
        <v xml:space="preserve"> </v>
      </c>
      <c r="S29" s="20" t="str">
        <f>IF(Builder!S31=0," ",Builder!S31)</f>
        <v xml:space="preserve"> </v>
      </c>
      <c r="T29" s="20" t="str">
        <f>IF(Builder!T31=0," ",Builder!T31)</f>
        <v xml:space="preserve"> </v>
      </c>
      <c r="U29" s="20" t="str">
        <f>IFERROR(VLOOKUP(C29,Stats!$B$9:$B$15,1,FALSE)," ")</f>
        <v xml:space="preserve"> </v>
      </c>
      <c r="V29" s="20">
        <f t="shared" si="6"/>
        <v>0</v>
      </c>
      <c r="W29" s="20">
        <f t="shared" si="3"/>
        <v>1</v>
      </c>
      <c r="X29" s="20">
        <f t="shared" si="4"/>
        <v>1</v>
      </c>
      <c r="Y29" s="20" t="str">
        <f t="shared" si="5"/>
        <v/>
      </c>
    </row>
    <row r="30" spans="1:25" x14ac:dyDescent="0.3">
      <c r="A30" s="20">
        <v>26</v>
      </c>
      <c r="B30" s="22" t="str">
        <f t="shared" si="9"/>
        <v xml:space="preserve"> </v>
      </c>
      <c r="C30" s="22" t="str">
        <f t="shared" si="9"/>
        <v xml:space="preserve"> </v>
      </c>
      <c r="D30" s="22" t="str">
        <f t="shared" si="9"/>
        <v xml:space="preserve"> </v>
      </c>
      <c r="E30" s="22" t="str">
        <f t="shared" si="9"/>
        <v xml:space="preserve"> </v>
      </c>
      <c r="F30" s="22" t="str">
        <f t="shared" si="9"/>
        <v xml:space="preserve"> </v>
      </c>
      <c r="G30" s="22" t="str">
        <f t="shared" si="9"/>
        <v xml:space="preserve"> </v>
      </c>
      <c r="H30" s="22" t="str">
        <f t="shared" si="9"/>
        <v xml:space="preserve"> </v>
      </c>
      <c r="I30" s="22" t="str">
        <f t="shared" si="9"/>
        <v xml:space="preserve"> </v>
      </c>
      <c r="J30" s="22" t="str">
        <f t="shared" si="9"/>
        <v xml:space="preserve"> </v>
      </c>
      <c r="K30" s="22">
        <f t="shared" si="10"/>
        <v>0</v>
      </c>
      <c r="L30" s="22">
        <f t="shared" si="10"/>
        <v>0</v>
      </c>
      <c r="M30" s="22">
        <f t="shared" si="10"/>
        <v>0</v>
      </c>
      <c r="N30" s="22">
        <f t="shared" si="10"/>
        <v>0</v>
      </c>
      <c r="O30" s="22">
        <f t="shared" si="10"/>
        <v>0</v>
      </c>
      <c r="P30" s="22" t="str">
        <f t="shared" si="2"/>
        <v xml:space="preserve"> </v>
      </c>
      <c r="Q30" s="22" t="str">
        <f t="shared" si="2"/>
        <v xml:space="preserve"> </v>
      </c>
      <c r="R30" s="22" t="str">
        <f t="shared" si="2"/>
        <v xml:space="preserve"> </v>
      </c>
      <c r="S30" s="20" t="str">
        <f>IF(Builder!S32=0," ",Builder!S32)</f>
        <v xml:space="preserve"> </v>
      </c>
      <c r="T30" s="20" t="str">
        <f>IF(Builder!T32=0," ",Builder!T32)</f>
        <v xml:space="preserve"> </v>
      </c>
      <c r="U30" s="20" t="str">
        <f>IFERROR(VLOOKUP(C30,Stats!$B$9:$B$15,1,FALSE)," ")</f>
        <v xml:space="preserve"> </v>
      </c>
      <c r="V30" s="20">
        <f t="shared" si="6"/>
        <v>0</v>
      </c>
      <c r="W30" s="20">
        <f t="shared" si="3"/>
        <v>1</v>
      </c>
      <c r="X30" s="20">
        <f t="shared" si="4"/>
        <v>1</v>
      </c>
      <c r="Y30" s="20" t="str">
        <f t="shared" si="5"/>
        <v/>
      </c>
    </row>
    <row r="43" spans="22:22" ht="15" x14ac:dyDescent="0.3">
      <c r="V43" s="5"/>
    </row>
    <row r="44" spans="22:22" ht="15" x14ac:dyDescent="0.3">
      <c r="V44" s="5"/>
    </row>
    <row r="45" spans="22:22" ht="15" x14ac:dyDescent="0.3">
      <c r="V45" s="5"/>
    </row>
    <row r="46" spans="22:22" ht="15" x14ac:dyDescent="0.3">
      <c r="V46" s="5"/>
    </row>
  </sheetData>
  <mergeCells count="2">
    <mergeCell ref="G3:H3"/>
    <mergeCell ref="U4:V4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98FB-5C18-47F9-9311-CFFB017C0A36}">
  <dimension ref="A1:V32"/>
  <sheetViews>
    <sheetView workbookViewId="0">
      <selection activeCell="A5" sqref="A5"/>
    </sheetView>
  </sheetViews>
  <sheetFormatPr defaultColWidth="8.88671875" defaultRowHeight="14.4" x14ac:dyDescent="0.3"/>
  <cols>
    <col min="1" max="2" width="8.88671875" style="20"/>
    <col min="3" max="3" width="8.88671875" style="23"/>
    <col min="4" max="16384" width="8.88671875" style="20"/>
  </cols>
  <sheetData>
    <row r="1" spans="1:22" x14ac:dyDescent="0.3">
      <c r="G1" s="20" t="s">
        <v>116</v>
      </c>
      <c r="I1" s="20" t="s">
        <v>121</v>
      </c>
      <c r="J1" s="20" t="s">
        <v>120</v>
      </c>
    </row>
    <row r="2" spans="1:22" x14ac:dyDescent="0.3">
      <c r="V2" s="20">
        <v>0</v>
      </c>
    </row>
    <row r="3" spans="1:22" x14ac:dyDescent="0.3">
      <c r="A3" s="20" t="s">
        <v>162</v>
      </c>
      <c r="B3" s="21">
        <f>Builder!C2</f>
        <v>0</v>
      </c>
      <c r="C3" s="22" t="str">
        <f>IF(Builder!C3=0," ",Builder!C3)</f>
        <v xml:space="preserve"> </v>
      </c>
      <c r="D3" s="21" t="str">
        <f>IF(Builder!D3=0," ",Builder!D3)</f>
        <v xml:space="preserve"> </v>
      </c>
      <c r="E3" s="21" t="str">
        <f>IF(Builder!E3=0," ",Builder!E3)</f>
        <v xml:space="preserve"> </v>
      </c>
      <c r="F3" s="21" t="str">
        <f>IF(Builder!F3=0," ",Builder!F3)</f>
        <v xml:space="preserve"> </v>
      </c>
      <c r="G3" s="110" t="s">
        <v>119</v>
      </c>
      <c r="H3" s="110"/>
      <c r="I3" s="21" t="str">
        <f>IF(Builder!I3=0," ",Builder!I3)</f>
        <v xml:space="preserve"> </v>
      </c>
      <c r="J3" s="21" t="str">
        <f>IF(Builder!J3=0," ",Builder!J3)</f>
        <v xml:space="preserve"> </v>
      </c>
      <c r="K3" s="21" t="str">
        <f>IF(Builder!K3=0," ",Builder!K3)</f>
        <v xml:space="preserve"> </v>
      </c>
      <c r="L3" s="21" t="str">
        <f>IF(Builder!L3=0," ",Builder!L3)</f>
        <v xml:space="preserve"> </v>
      </c>
      <c r="M3" s="21" t="str">
        <f>IF(Builder!M3=0," ",Builder!M3)</f>
        <v xml:space="preserve"> </v>
      </c>
      <c r="N3" s="21" t="str">
        <f>IF(Builder!N3=0," ",Builder!N3)</f>
        <v xml:space="preserve"> </v>
      </c>
      <c r="O3" s="21"/>
      <c r="P3" s="21" t="str">
        <f>IF(Builder!P3=0," ",Builder!P3)</f>
        <v xml:space="preserve"> </v>
      </c>
      <c r="Q3" s="21" t="str">
        <f>IF(Builder!Q3=0," ",Builder!Q3)</f>
        <v xml:space="preserve"> </v>
      </c>
      <c r="R3" s="21" t="str">
        <f>IF(Builder!R2=0," ",Builder!R2)</f>
        <v xml:space="preserve"> </v>
      </c>
      <c r="S3" s="20" t="str">
        <f>IF(Builder!S5=0," ",Builder!S5)</f>
        <v xml:space="preserve"> </v>
      </c>
      <c r="T3" s="21">
        <f>IF(Builder!AW3=0,0,Builder!AW3)</f>
        <v>0</v>
      </c>
      <c r="U3" s="21" t="str">
        <f>IF(Builder!AW3=0,"",Builder!AW3)</f>
        <v/>
      </c>
      <c r="V3" s="20">
        <f>IF(T3=0,0,MAX($V$2:V2)+1)</f>
        <v>0</v>
      </c>
    </row>
    <row r="4" spans="1:22" x14ac:dyDescent="0.3">
      <c r="A4" s="20">
        <v>0</v>
      </c>
      <c r="B4" s="21" t="str">
        <f>IF(Builder!B4=0," ",Builder!B4)</f>
        <v>Unit name</v>
      </c>
      <c r="C4" s="22" t="str">
        <f>IF(Builder!C4=0," ",Builder!C4)</f>
        <v>Company</v>
      </c>
      <c r="D4" s="21" t="s">
        <v>118</v>
      </c>
      <c r="E4" s="21" t="str">
        <f>IF(Builder!E4=0," ",Builder!E4)</f>
        <v>Mov</v>
      </c>
      <c r="F4" s="21" t="str">
        <f>IF(Builder!F4=0," ",Builder!F4)</f>
        <v>Mel</v>
      </c>
      <c r="G4" s="21" t="str">
        <f>IF(Builder!G4=0," ",Builder!G4)</f>
        <v>short</v>
      </c>
      <c r="H4" s="21" t="str">
        <f>IF(Builder!H4=0," ",Builder!H4)</f>
        <v>long</v>
      </c>
      <c r="I4" s="21" t="s">
        <v>117</v>
      </c>
      <c r="J4" s="21" t="str">
        <f>IF(Builder!J4=0," ",Builder!J4)</f>
        <v>Com</v>
      </c>
      <c r="K4" s="21" t="str">
        <f>IF(Builder!K4=0," ",Builder!K4)</f>
        <v>Racial</v>
      </c>
      <c r="L4" s="21" t="str">
        <f>IF(Builder!L4=0," ",Builder!L4)</f>
        <v>Trait1</v>
      </c>
      <c r="M4" s="21" t="str">
        <f>IF(Builder!M4=0," ",Builder!M4)</f>
        <v>Trait2</v>
      </c>
      <c r="N4" s="21" t="str">
        <f>IF(Builder!N4=0," ",Builder!N4)</f>
        <v>Trait3</v>
      </c>
      <c r="O4" s="21" t="str">
        <f>IF(Builder!O4=0," ",Builder!O4)</f>
        <v>Relic</v>
      </c>
      <c r="P4" s="21" t="str">
        <f>IF(Builder!P4=0," ",Builder!P4)</f>
        <v>Cost</v>
      </c>
      <c r="Q4" s="21" t="str">
        <f>IF(Builder!Q4=0," ",Builder!Q4)</f>
        <v># Bases</v>
      </c>
      <c r="R4" s="21" t="str">
        <f>IF(Builder!R4=0," ",Builder!R4)</f>
        <v>Total</v>
      </c>
      <c r="S4" s="20" t="str">
        <f>IF(Builder!S6=0," ",Builder!S6)</f>
        <v xml:space="preserve"> </v>
      </c>
      <c r="T4" s="21"/>
      <c r="U4" s="21" t="str">
        <f>IF(OR(T3=0,T5=0),"",CHAR(44)&amp;CHAR(32))</f>
        <v/>
      </c>
      <c r="V4" s="20">
        <f>IF(T4=0,0,MAX($V$2:V3)+1)</f>
        <v>0</v>
      </c>
    </row>
    <row r="5" spans="1:22" x14ac:dyDescent="0.3">
      <c r="A5" s="20">
        <f>IF(Q5&gt;=1,MAX($A$4:A4)+1,0)</f>
        <v>0</v>
      </c>
      <c r="B5" s="21" t="str">
        <f>IF(Builder!B5=0," ",Builder!B5)</f>
        <v xml:space="preserve"> </v>
      </c>
      <c r="C5" s="22" t="str">
        <f>IF(Builder!C5=0," ",Builder!C5)</f>
        <v xml:space="preserve"> </v>
      </c>
      <c r="D5" s="21" t="str">
        <f>IF(Builder!D5=0," ",Builder!D5)</f>
        <v xml:space="preserve"> </v>
      </c>
      <c r="E5" s="21" t="str">
        <f>IF(Builder!E5=0," ",Builder!E5)</f>
        <v xml:space="preserve"> </v>
      </c>
      <c r="F5" s="21" t="str">
        <f>IF(Builder!F5=0," ",Builder!F5)</f>
        <v xml:space="preserve"> </v>
      </c>
      <c r="G5" s="21" t="str">
        <f>IF(Builder!G5=0,"--",Builder!G5)</f>
        <v>--</v>
      </c>
      <c r="H5" s="21" t="str">
        <f>IF(Builder!H5=0,"--",Builder!H5)</f>
        <v>--</v>
      </c>
      <c r="I5" s="21" t="str">
        <f>IF(Builder!I5=0," ",Builder!I5)</f>
        <v xml:space="preserve"> </v>
      </c>
      <c r="J5" s="21" t="str">
        <f>IF(Builder!J5=0," ",Builder!J5)</f>
        <v xml:space="preserve"> </v>
      </c>
      <c r="K5" s="21">
        <f>IF(ISBLANK(Builder!K5),0,Builder!K5)</f>
        <v>0</v>
      </c>
      <c r="L5" s="21">
        <f>IF(ISBLANK(Builder!L5),0,Builder!L5)</f>
        <v>0</v>
      </c>
      <c r="M5" s="21">
        <f>IF(ISBLANK(Builder!M5),0,Builder!M5)</f>
        <v>0</v>
      </c>
      <c r="N5" s="21">
        <f>IF(ISBLANK(Builder!N5),0,Builder!N5)</f>
        <v>0</v>
      </c>
      <c r="O5" s="21">
        <f>IF(ISBLANK(Builder!O5),0,Builder!O5)</f>
        <v>0</v>
      </c>
      <c r="P5" s="21" t="str">
        <f>IF(Builder!P5=0," ",Builder!P5)</f>
        <v xml:space="preserve"> </v>
      </c>
      <c r="Q5" s="21">
        <f>IF(Builder!Q5=0,0,Builder!Q5)</f>
        <v>0</v>
      </c>
      <c r="R5" s="21" t="str">
        <f>IF(Builder!R5=0," ",Builder!R5)</f>
        <v xml:space="preserve"> </v>
      </c>
      <c r="S5" s="20" t="str">
        <f>IF(Builder!S7=0," ",Builder!S7)</f>
        <v xml:space="preserve"> </v>
      </c>
      <c r="T5" s="21">
        <f>IF(Builder!AW4=0,0,Builder!AW4)</f>
        <v>0</v>
      </c>
      <c r="U5" s="21" t="str">
        <f>IF(Builder!AW4=0,"",Builder!AW4)</f>
        <v/>
      </c>
      <c r="V5" s="20">
        <f>IF(T5=0,0,MAX($V$2:V4)+1)</f>
        <v>0</v>
      </c>
    </row>
    <row r="6" spans="1:22" x14ac:dyDescent="0.3">
      <c r="A6" s="20">
        <f>IF(Q6&gt;=1,MAX($A$4:A5)+1,0)</f>
        <v>0</v>
      </c>
      <c r="B6" s="21" t="str">
        <f>IF(Builder!B6=0," ",Builder!B6)</f>
        <v xml:space="preserve"> </v>
      </c>
      <c r="C6" s="22" t="str">
        <f>IF(Builder!C6=0," ",Builder!C6)</f>
        <v xml:space="preserve"> </v>
      </c>
      <c r="D6" s="21" t="str">
        <f>IF(Builder!D6=0," ",Builder!D6)</f>
        <v xml:space="preserve"> </v>
      </c>
      <c r="E6" s="21" t="str">
        <f>IF(Builder!E6=0," ",Builder!E6)</f>
        <v xml:space="preserve"> </v>
      </c>
      <c r="F6" s="21" t="str">
        <f>IF(Builder!F6=0," ",Builder!F6)</f>
        <v xml:space="preserve"> </v>
      </c>
      <c r="G6" s="21" t="str">
        <f>IF(Builder!G6=0,"--",Builder!G6)</f>
        <v>--</v>
      </c>
      <c r="H6" s="21" t="str">
        <f>IF(Builder!H6=0,"--",Builder!H6)</f>
        <v>--</v>
      </c>
      <c r="I6" s="21" t="str">
        <f>IF(Builder!I6=0," ",Builder!I6)</f>
        <v xml:space="preserve"> </v>
      </c>
      <c r="J6" s="21" t="str">
        <f>IF(Builder!J6=0," ",Builder!J6)</f>
        <v xml:space="preserve"> </v>
      </c>
      <c r="K6" s="21">
        <f>IF(ISBLANK(Builder!K6),0,Builder!K6)</f>
        <v>0</v>
      </c>
      <c r="L6" s="21">
        <f>IF(ISBLANK(Builder!L6),0,Builder!L6)</f>
        <v>0</v>
      </c>
      <c r="M6" s="21">
        <f>IF(ISBLANK(Builder!M6),0,Builder!M6)</f>
        <v>0</v>
      </c>
      <c r="N6" s="21">
        <f>IF(ISBLANK(Builder!N6),0,Builder!N6)</f>
        <v>0</v>
      </c>
      <c r="O6" s="21">
        <f>IF(ISBLANK(Builder!O6),0,Builder!O6)</f>
        <v>0</v>
      </c>
      <c r="P6" s="21" t="str">
        <f>IF(Builder!P6=0," ",Builder!P6)</f>
        <v xml:space="preserve"> </v>
      </c>
      <c r="Q6" s="21">
        <f>IF(Builder!Q6=0,0,Builder!Q6)</f>
        <v>0</v>
      </c>
      <c r="R6" s="21" t="str">
        <f>IF(Builder!R6=0," ",Builder!R6)</f>
        <v xml:space="preserve"> </v>
      </c>
      <c r="S6" s="20" t="str">
        <f>IF(Builder!S8=0," ",Builder!S8)</f>
        <v xml:space="preserve"> </v>
      </c>
      <c r="T6" s="21"/>
      <c r="U6" s="21" t="str">
        <f>IF(OR(T5=0,T7=0),"",CHAR(44)&amp;CHAR(32))</f>
        <v/>
      </c>
      <c r="V6" s="20">
        <f>IF(T6=0,0,MAX($V$2:V5)+1)</f>
        <v>0</v>
      </c>
    </row>
    <row r="7" spans="1:22" x14ac:dyDescent="0.3">
      <c r="A7" s="20">
        <f>IF(Q7&gt;=1,MAX($A$4:A6)+1,0)</f>
        <v>0</v>
      </c>
      <c r="B7" s="21" t="str">
        <f>IF(Builder!B7=0," ",Builder!B7)</f>
        <v xml:space="preserve"> </v>
      </c>
      <c r="C7" s="22" t="str">
        <f>IF(Builder!C7=0," ",Builder!C7)</f>
        <v xml:space="preserve"> </v>
      </c>
      <c r="D7" s="21" t="str">
        <f>IF(Builder!D7=0," ",Builder!D7)</f>
        <v xml:space="preserve"> </v>
      </c>
      <c r="E7" s="21" t="str">
        <f>IF(Builder!E7=0," ",Builder!E7)</f>
        <v xml:space="preserve"> </v>
      </c>
      <c r="F7" s="21" t="str">
        <f>IF(Builder!F7=0," ",Builder!F7)</f>
        <v xml:space="preserve"> </v>
      </c>
      <c r="G7" s="21" t="str">
        <f>IF(Builder!G7=0,"--",Builder!G7)</f>
        <v>--</v>
      </c>
      <c r="H7" s="21" t="str">
        <f>IF(Builder!H7=0,"--",Builder!H7)</f>
        <v>--</v>
      </c>
      <c r="I7" s="21" t="str">
        <f>IF(Builder!I7=0," ",Builder!I7)</f>
        <v xml:space="preserve"> </v>
      </c>
      <c r="J7" s="21" t="str">
        <f>IF(Builder!J7=0," ",Builder!J7)</f>
        <v xml:space="preserve"> </v>
      </c>
      <c r="K7" s="21">
        <f>IF(ISBLANK(Builder!K7),0,Builder!K7)</f>
        <v>0</v>
      </c>
      <c r="L7" s="21">
        <f>IF(ISBLANK(Builder!L7),0,Builder!L7)</f>
        <v>0</v>
      </c>
      <c r="M7" s="21">
        <f>IF(ISBLANK(Builder!M7),0,Builder!M7)</f>
        <v>0</v>
      </c>
      <c r="N7" s="21">
        <f>IF(ISBLANK(Builder!N7),0,Builder!N7)</f>
        <v>0</v>
      </c>
      <c r="O7" s="21">
        <f>IF(ISBLANK(Builder!O7),0,Builder!O7)</f>
        <v>0</v>
      </c>
      <c r="P7" s="21" t="str">
        <f>IF(Builder!P7=0," ",Builder!P7)</f>
        <v xml:space="preserve"> </v>
      </c>
      <c r="Q7" s="21">
        <f>IF(Builder!Q7=0,0,Builder!Q7)</f>
        <v>0</v>
      </c>
      <c r="R7" s="21" t="str">
        <f>IF(Builder!R7=0," ",Builder!R7)</f>
        <v xml:space="preserve"> </v>
      </c>
      <c r="S7" s="20" t="str">
        <f>IF(Builder!S9=0," ",Builder!S9)</f>
        <v xml:space="preserve"> </v>
      </c>
      <c r="T7" s="21">
        <f>IF(Builder!AW5=0,0,Builder!AW5)</f>
        <v>0</v>
      </c>
      <c r="U7" s="21" t="str">
        <f>IF(Builder!AW5=0,"",Builder!AW5)</f>
        <v/>
      </c>
      <c r="V7" s="20">
        <f>IF(T7=0,0,MAX($V$2:V6)+1)</f>
        <v>0</v>
      </c>
    </row>
    <row r="8" spans="1:22" x14ac:dyDescent="0.3">
      <c r="A8" s="20">
        <f>IF(Q8&gt;=1,MAX($A$4:A7)+1,0)</f>
        <v>0</v>
      </c>
      <c r="B8" s="21" t="str">
        <f>IF(Builder!B8=0," ",Builder!B8)</f>
        <v xml:space="preserve"> </v>
      </c>
      <c r="C8" s="22" t="str">
        <f>IF(Builder!C8=0," ",Builder!C8)</f>
        <v xml:space="preserve"> </v>
      </c>
      <c r="D8" s="21" t="str">
        <f>IF(Builder!D8=0," ",Builder!D8)</f>
        <v xml:space="preserve"> </v>
      </c>
      <c r="E8" s="21" t="str">
        <f>IF(Builder!E8=0," ",Builder!E8)</f>
        <v xml:space="preserve"> </v>
      </c>
      <c r="F8" s="21" t="str">
        <f>IF(Builder!F8=0," ",Builder!F8)</f>
        <v xml:space="preserve"> </v>
      </c>
      <c r="G8" s="21" t="str">
        <f>IF(Builder!G8=0,"--",Builder!G8)</f>
        <v>--</v>
      </c>
      <c r="H8" s="21" t="str">
        <f>IF(Builder!H8=0,"--",Builder!H8)</f>
        <v>--</v>
      </c>
      <c r="I8" s="21" t="str">
        <f>IF(Builder!I8=0," ",Builder!I8)</f>
        <v xml:space="preserve"> </v>
      </c>
      <c r="J8" s="21" t="str">
        <f>IF(Builder!J8=0," ",Builder!J8)</f>
        <v xml:space="preserve"> </v>
      </c>
      <c r="K8" s="21">
        <f>IF(ISBLANK(Builder!K8),0,Builder!K8)</f>
        <v>0</v>
      </c>
      <c r="L8" s="21">
        <f>IF(ISBLANK(Builder!L8),0,Builder!L8)</f>
        <v>0</v>
      </c>
      <c r="M8" s="21">
        <f>IF(ISBLANK(Builder!M8),0,Builder!M8)</f>
        <v>0</v>
      </c>
      <c r="N8" s="21">
        <f>IF(ISBLANK(Builder!N8),0,Builder!N8)</f>
        <v>0</v>
      </c>
      <c r="O8" s="21">
        <f>IF(ISBLANK(Builder!O8),0,Builder!O8)</f>
        <v>0</v>
      </c>
      <c r="P8" s="21" t="str">
        <f>IF(Builder!P8=0," ",Builder!P8)</f>
        <v xml:space="preserve"> </v>
      </c>
      <c r="Q8" s="21">
        <f>IF(Builder!Q8=0,0,Builder!Q8)</f>
        <v>0</v>
      </c>
      <c r="R8" s="21" t="str">
        <f>IF(Builder!R8=0," ",Builder!R8)</f>
        <v xml:space="preserve"> </v>
      </c>
      <c r="S8" s="20" t="str">
        <f>IF(Builder!S10=0," ",Builder!S10)</f>
        <v xml:space="preserve"> </v>
      </c>
      <c r="T8" s="20" t="str">
        <f>IF(Builder!T8=0," ",Builder!T8)</f>
        <v xml:space="preserve"> </v>
      </c>
    </row>
    <row r="9" spans="1:22" x14ac:dyDescent="0.3">
      <c r="A9" s="20">
        <f>IF(Q9&gt;=1,MAX($A$4:A8)+1,0)</f>
        <v>0</v>
      </c>
      <c r="B9" s="21" t="str">
        <f>IF(Builder!B9=0," ",Builder!B9)</f>
        <v xml:space="preserve"> </v>
      </c>
      <c r="C9" s="22" t="str">
        <f>IF(Builder!C9=0," ",Builder!C9)</f>
        <v xml:space="preserve"> </v>
      </c>
      <c r="D9" s="21" t="str">
        <f>IF(Builder!D9=0," ",Builder!D9)</f>
        <v xml:space="preserve"> </v>
      </c>
      <c r="E9" s="21" t="str">
        <f>IF(Builder!E9=0," ",Builder!E9)</f>
        <v xml:space="preserve"> </v>
      </c>
      <c r="F9" s="21" t="str">
        <f>IF(Builder!F9=0," ",Builder!F9)</f>
        <v xml:space="preserve"> </v>
      </c>
      <c r="G9" s="21" t="str">
        <f>IF(Builder!G9=0,"--",Builder!G9)</f>
        <v>--</v>
      </c>
      <c r="H9" s="21" t="str">
        <f>IF(Builder!H9=0,"--",Builder!H9)</f>
        <v>--</v>
      </c>
      <c r="I9" s="21" t="str">
        <f>IF(Builder!I9=0," ",Builder!I9)</f>
        <v xml:space="preserve"> </v>
      </c>
      <c r="J9" s="21" t="str">
        <f>IF(Builder!J9=0," ",Builder!J9)</f>
        <v xml:space="preserve"> </v>
      </c>
      <c r="K9" s="21">
        <f>IF(ISBLANK(Builder!K9),0,Builder!K9)</f>
        <v>0</v>
      </c>
      <c r="L9" s="21">
        <f>IF(ISBLANK(Builder!L9),0,Builder!L9)</f>
        <v>0</v>
      </c>
      <c r="M9" s="21">
        <f>IF(ISBLANK(Builder!M9),0,Builder!M9)</f>
        <v>0</v>
      </c>
      <c r="N9" s="21">
        <f>IF(ISBLANK(Builder!N9),0,Builder!N9)</f>
        <v>0</v>
      </c>
      <c r="O9" s="21">
        <f>IF(ISBLANK(Builder!O9),0,Builder!O9)</f>
        <v>0</v>
      </c>
      <c r="P9" s="21" t="str">
        <f>IF(Builder!P9=0," ",Builder!P9)</f>
        <v xml:space="preserve"> </v>
      </c>
      <c r="Q9" s="21">
        <f>IF(Builder!Q9=0,0,Builder!Q9)</f>
        <v>0</v>
      </c>
      <c r="R9" s="21" t="str">
        <f>IF(Builder!R9=0," ",Builder!R9)</f>
        <v xml:space="preserve"> </v>
      </c>
      <c r="S9" s="20" t="str">
        <f>IF(Builder!S11=0," ",Builder!S11)</f>
        <v xml:space="preserve"> </v>
      </c>
      <c r="T9" s="20" t="str">
        <f>IF(Builder!T9=0," ",Builder!T9)</f>
        <v xml:space="preserve"> </v>
      </c>
    </row>
    <row r="10" spans="1:22" x14ac:dyDescent="0.3">
      <c r="A10" s="20">
        <f>IF(Q10&gt;=1,MAX($A$4:A9)+1,0)</f>
        <v>0</v>
      </c>
      <c r="B10" s="21" t="str">
        <f>IF(Builder!B10=0," ",Builder!B10)</f>
        <v xml:space="preserve"> </v>
      </c>
      <c r="C10" s="22" t="str">
        <f>IF(Builder!C10=0," ",Builder!C10)</f>
        <v xml:space="preserve"> </v>
      </c>
      <c r="D10" s="21" t="str">
        <f>IF(Builder!D10=0," ",Builder!D10)</f>
        <v xml:space="preserve"> </v>
      </c>
      <c r="E10" s="21" t="str">
        <f>IF(Builder!E10=0," ",Builder!E10)</f>
        <v xml:space="preserve"> </v>
      </c>
      <c r="F10" s="21" t="str">
        <f>IF(Builder!F10=0," ",Builder!F10)</f>
        <v xml:space="preserve"> </v>
      </c>
      <c r="G10" s="21" t="str">
        <f>IF(Builder!G10=0,"--",Builder!G10)</f>
        <v>--</v>
      </c>
      <c r="H10" s="21" t="str">
        <f>IF(Builder!H10=0,"--",Builder!H10)</f>
        <v>--</v>
      </c>
      <c r="I10" s="21" t="str">
        <f>IF(Builder!I10=0," ",Builder!I10)</f>
        <v xml:space="preserve"> </v>
      </c>
      <c r="J10" s="21" t="str">
        <f>IF(Builder!J10=0," ",Builder!J10)</f>
        <v xml:space="preserve"> </v>
      </c>
      <c r="K10" s="21">
        <f>IF(ISBLANK(Builder!K10),0,Builder!K10)</f>
        <v>0</v>
      </c>
      <c r="L10" s="21">
        <f>IF(ISBLANK(Builder!L10),0,Builder!L10)</f>
        <v>0</v>
      </c>
      <c r="M10" s="21">
        <f>IF(ISBLANK(Builder!M10),0,Builder!M10)</f>
        <v>0</v>
      </c>
      <c r="N10" s="21">
        <f>IF(ISBLANK(Builder!N10),0,Builder!N10)</f>
        <v>0</v>
      </c>
      <c r="O10" s="21">
        <f>IF(ISBLANK(Builder!O10),0,Builder!O10)</f>
        <v>0</v>
      </c>
      <c r="P10" s="21" t="str">
        <f>IF(Builder!P10=0," ",Builder!P10)</f>
        <v xml:space="preserve"> </v>
      </c>
      <c r="Q10" s="21">
        <f>IF(Builder!Q10=0,0,Builder!Q10)</f>
        <v>0</v>
      </c>
      <c r="R10" s="21" t="str">
        <f>IF(Builder!R10=0," ",Builder!R10)</f>
        <v xml:space="preserve"> </v>
      </c>
      <c r="S10" s="20" t="str">
        <f>IF(Builder!S12=0," ",Builder!S12)</f>
        <v xml:space="preserve"> </v>
      </c>
      <c r="T10" s="20" t="str">
        <f>IF(Builder!T10=0," ",Builder!T10)</f>
        <v xml:space="preserve"> </v>
      </c>
    </row>
    <row r="11" spans="1:22" x14ac:dyDescent="0.3">
      <c r="A11" s="20">
        <f>IF(Q11&gt;=1,MAX($A$4:A10)+1,0)</f>
        <v>0</v>
      </c>
      <c r="B11" s="21" t="str">
        <f>IF(Builder!B11=0," ",Builder!B11)</f>
        <v xml:space="preserve"> </v>
      </c>
      <c r="C11" s="22" t="str">
        <f>IF(Builder!C11=0," ",Builder!C11)</f>
        <v xml:space="preserve"> </v>
      </c>
      <c r="D11" s="21" t="str">
        <f>IF(Builder!D11=0," ",Builder!D11)</f>
        <v xml:space="preserve"> </v>
      </c>
      <c r="E11" s="21" t="str">
        <f>IF(Builder!E11=0," ",Builder!E11)</f>
        <v xml:space="preserve"> </v>
      </c>
      <c r="F11" s="21" t="str">
        <f>IF(Builder!F11=0," ",Builder!F11)</f>
        <v xml:space="preserve"> </v>
      </c>
      <c r="G11" s="21" t="str">
        <f>IF(Builder!G11=0,"--",Builder!G11)</f>
        <v>--</v>
      </c>
      <c r="H11" s="21" t="str">
        <f>IF(Builder!H11=0,"--",Builder!H11)</f>
        <v>--</v>
      </c>
      <c r="I11" s="21" t="str">
        <f>IF(Builder!I11=0," ",Builder!I11)</f>
        <v xml:space="preserve"> </v>
      </c>
      <c r="J11" s="21" t="str">
        <f>IF(Builder!J11=0," ",Builder!J11)</f>
        <v xml:space="preserve"> </v>
      </c>
      <c r="K11" s="21">
        <f>IF(ISBLANK(Builder!K11),0,Builder!K11)</f>
        <v>0</v>
      </c>
      <c r="L11" s="21">
        <f>IF(ISBLANK(Builder!L11),0,Builder!L11)</f>
        <v>0</v>
      </c>
      <c r="M11" s="21">
        <f>IF(ISBLANK(Builder!M11),0,Builder!M11)</f>
        <v>0</v>
      </c>
      <c r="N11" s="21">
        <f>IF(ISBLANK(Builder!N11),0,Builder!N11)</f>
        <v>0</v>
      </c>
      <c r="O11" s="21">
        <f>IF(ISBLANK(Builder!O11),0,Builder!O11)</f>
        <v>0</v>
      </c>
      <c r="P11" s="21" t="str">
        <f>IF(Builder!P11=0," ",Builder!P11)</f>
        <v xml:space="preserve"> </v>
      </c>
      <c r="Q11" s="21">
        <f>IF(Builder!Q11=0,0,Builder!Q11)</f>
        <v>0</v>
      </c>
      <c r="R11" s="21" t="str">
        <f>IF(Builder!R11=0," ",Builder!R11)</f>
        <v xml:space="preserve"> </v>
      </c>
      <c r="S11" s="20" t="str">
        <f>IF(Builder!S13=0," ",Builder!S13)</f>
        <v xml:space="preserve"> </v>
      </c>
      <c r="T11" s="20" t="str">
        <f>IF(Builder!T11=0," ",Builder!T11)</f>
        <v xml:space="preserve"> </v>
      </c>
    </row>
    <row r="12" spans="1:22" x14ac:dyDescent="0.3">
      <c r="A12" s="20">
        <f>IF(Q12&gt;=1,MAX($A$4:A11)+1,0)</f>
        <v>0</v>
      </c>
      <c r="B12" s="21" t="str">
        <f>IF(Builder!B12=0," ",Builder!B12)</f>
        <v xml:space="preserve"> </v>
      </c>
      <c r="C12" s="22" t="str">
        <f>IF(Builder!C12=0," ",Builder!C12)</f>
        <v xml:space="preserve"> </v>
      </c>
      <c r="D12" s="21" t="str">
        <f>IF(Builder!D12=0," ",Builder!D12)</f>
        <v xml:space="preserve"> </v>
      </c>
      <c r="E12" s="21" t="str">
        <f>IF(Builder!E12=0," ",Builder!E12)</f>
        <v xml:space="preserve"> </v>
      </c>
      <c r="F12" s="21" t="str">
        <f>IF(Builder!F12=0," ",Builder!F12)</f>
        <v xml:space="preserve"> </v>
      </c>
      <c r="G12" s="21" t="str">
        <f>IF(Builder!G12=0,"--",Builder!G12)</f>
        <v>--</v>
      </c>
      <c r="H12" s="21" t="str">
        <f>IF(Builder!H12=0,"--",Builder!H12)</f>
        <v>--</v>
      </c>
      <c r="I12" s="21" t="str">
        <f>IF(Builder!I12=0," ",Builder!I12)</f>
        <v xml:space="preserve"> </v>
      </c>
      <c r="J12" s="21" t="str">
        <f>IF(Builder!J12=0," ",Builder!J12)</f>
        <v xml:space="preserve"> </v>
      </c>
      <c r="K12" s="21">
        <f>IF(ISBLANK(Builder!K12),0,Builder!K12)</f>
        <v>0</v>
      </c>
      <c r="L12" s="21">
        <f>IF(ISBLANK(Builder!L12),0,Builder!L12)</f>
        <v>0</v>
      </c>
      <c r="M12" s="21">
        <f>IF(ISBLANK(Builder!M12),0,Builder!M12)</f>
        <v>0</v>
      </c>
      <c r="N12" s="21">
        <f>IF(ISBLANK(Builder!N12),0,Builder!N12)</f>
        <v>0</v>
      </c>
      <c r="O12" s="21">
        <f>IF(ISBLANK(Builder!O12),0,Builder!O12)</f>
        <v>0</v>
      </c>
      <c r="P12" s="21" t="str">
        <f>IF(Builder!P12=0," ",Builder!P12)</f>
        <v xml:space="preserve"> </v>
      </c>
      <c r="Q12" s="21">
        <f>IF(Builder!Q12=0,0,Builder!Q12)</f>
        <v>0</v>
      </c>
      <c r="R12" s="21" t="str">
        <f>IF(Builder!R12=0," ",Builder!R12)</f>
        <v xml:space="preserve"> </v>
      </c>
      <c r="S12" s="20" t="str">
        <f>IF(Builder!S14=0," ",Builder!S14)</f>
        <v xml:space="preserve"> </v>
      </c>
      <c r="T12" s="20" t="str">
        <f>IF(Builder!T12=0," ",Builder!T12)</f>
        <v xml:space="preserve"> </v>
      </c>
    </row>
    <row r="13" spans="1:22" x14ac:dyDescent="0.3">
      <c r="A13" s="20">
        <f>IF(Q13&gt;=1,MAX($A$4:A12)+1,0)</f>
        <v>0</v>
      </c>
      <c r="B13" s="21" t="str">
        <f>IF(Builder!B13=0," ",Builder!B13)</f>
        <v xml:space="preserve"> </v>
      </c>
      <c r="C13" s="22" t="str">
        <f>IF(Builder!C13=0," ",Builder!C13)</f>
        <v xml:space="preserve"> </v>
      </c>
      <c r="D13" s="21" t="str">
        <f>IF(Builder!D13=0," ",Builder!D13)</f>
        <v xml:space="preserve"> </v>
      </c>
      <c r="E13" s="21" t="str">
        <f>IF(Builder!E13=0," ",Builder!E13)</f>
        <v xml:space="preserve"> </v>
      </c>
      <c r="F13" s="21" t="str">
        <f>IF(Builder!F13=0," ",Builder!F13)</f>
        <v xml:space="preserve"> </v>
      </c>
      <c r="G13" s="21" t="str">
        <f>IF(Builder!G13=0,"--",Builder!G13)</f>
        <v>--</v>
      </c>
      <c r="H13" s="21" t="str">
        <f>IF(Builder!H13=0,"--",Builder!H13)</f>
        <v>--</v>
      </c>
      <c r="I13" s="21" t="str">
        <f>IF(Builder!I13=0," ",Builder!I13)</f>
        <v xml:space="preserve"> </v>
      </c>
      <c r="J13" s="21" t="str">
        <f>IF(Builder!J13=0," ",Builder!J13)</f>
        <v xml:space="preserve"> </v>
      </c>
      <c r="K13" s="21">
        <f>IF(ISBLANK(Builder!K13),0,Builder!K13)</f>
        <v>0</v>
      </c>
      <c r="L13" s="21">
        <f>IF(ISBLANK(Builder!L13),0,Builder!L13)</f>
        <v>0</v>
      </c>
      <c r="M13" s="21">
        <f>IF(ISBLANK(Builder!M13),0,Builder!M13)</f>
        <v>0</v>
      </c>
      <c r="N13" s="21">
        <f>IF(ISBLANK(Builder!N13),0,Builder!N13)</f>
        <v>0</v>
      </c>
      <c r="O13" s="21">
        <f>IF(ISBLANK(Builder!O13),0,Builder!O13)</f>
        <v>0</v>
      </c>
      <c r="P13" s="21" t="str">
        <f>IF(Builder!P13=0," ",Builder!P13)</f>
        <v xml:space="preserve"> </v>
      </c>
      <c r="Q13" s="21">
        <f>IF(Builder!Q13=0,0,Builder!Q13)</f>
        <v>0</v>
      </c>
      <c r="R13" s="21" t="str">
        <f>IF(Builder!R13=0," ",Builder!R13)</f>
        <v xml:space="preserve"> </v>
      </c>
      <c r="S13" s="20" t="str">
        <f>IF(Builder!S15=0," ",Builder!S15)</f>
        <v xml:space="preserve"> </v>
      </c>
      <c r="T13" s="20" t="str">
        <f>IF(Builder!T13=0," ",Builder!T13)</f>
        <v xml:space="preserve"> </v>
      </c>
    </row>
    <row r="14" spans="1:22" x14ac:dyDescent="0.3">
      <c r="A14" s="20">
        <f>IF(Q14&gt;=1,MAX($A$4:A13)+1,0)</f>
        <v>0</v>
      </c>
      <c r="B14" s="21" t="str">
        <f>IF(Builder!B14=0," ",Builder!B14)</f>
        <v xml:space="preserve"> </v>
      </c>
      <c r="C14" s="22" t="str">
        <f>IF(Builder!C14=0," ",Builder!C14)</f>
        <v xml:space="preserve"> </v>
      </c>
      <c r="D14" s="21" t="str">
        <f>IF(Builder!D14=0," ",Builder!D14)</f>
        <v xml:space="preserve"> </v>
      </c>
      <c r="E14" s="21" t="str">
        <f>IF(Builder!E14=0," ",Builder!E14)</f>
        <v xml:space="preserve"> </v>
      </c>
      <c r="F14" s="21" t="str">
        <f>IF(Builder!F14=0," ",Builder!F14)</f>
        <v xml:space="preserve"> </v>
      </c>
      <c r="G14" s="21" t="str">
        <f>IF(Builder!G14=0,"--",Builder!G14)</f>
        <v>--</v>
      </c>
      <c r="H14" s="21" t="str">
        <f>IF(Builder!H14=0,"--",Builder!H14)</f>
        <v>--</v>
      </c>
      <c r="I14" s="21" t="str">
        <f>IF(Builder!I14=0," ",Builder!I14)</f>
        <v xml:space="preserve"> </v>
      </c>
      <c r="J14" s="21" t="str">
        <f>IF(Builder!J14=0," ",Builder!J14)</f>
        <v xml:space="preserve"> </v>
      </c>
      <c r="K14" s="21">
        <f>IF(ISBLANK(Builder!K14),0,Builder!K14)</f>
        <v>0</v>
      </c>
      <c r="L14" s="21">
        <f>IF(ISBLANK(Builder!L14),0,Builder!L14)</f>
        <v>0</v>
      </c>
      <c r="M14" s="21">
        <f>IF(ISBLANK(Builder!M14),0,Builder!M14)</f>
        <v>0</v>
      </c>
      <c r="N14" s="21">
        <f>IF(ISBLANK(Builder!N14),0,Builder!N14)</f>
        <v>0</v>
      </c>
      <c r="O14" s="21">
        <f>IF(ISBLANK(Builder!O14),0,Builder!O14)</f>
        <v>0</v>
      </c>
      <c r="P14" s="21" t="str">
        <f>IF(Builder!P14=0," ",Builder!P14)</f>
        <v xml:space="preserve"> </v>
      </c>
      <c r="Q14" s="21">
        <f>IF(Builder!Q14=0,0,Builder!Q14)</f>
        <v>0</v>
      </c>
      <c r="R14" s="21" t="str">
        <f>IF(Builder!R14=0," ",Builder!R14)</f>
        <v xml:space="preserve"> </v>
      </c>
      <c r="S14" s="20" t="str">
        <f>IF(Builder!S16=0," ",Builder!S16)</f>
        <v xml:space="preserve"> </v>
      </c>
      <c r="T14" s="20" t="str">
        <f>IF(Builder!T14=0," ",Builder!T14)</f>
        <v xml:space="preserve"> </v>
      </c>
    </row>
    <row r="15" spans="1:22" x14ac:dyDescent="0.3">
      <c r="A15" s="20">
        <f>IF(Q15&gt;=1,MAX($A$4:A14)+1,0)</f>
        <v>0</v>
      </c>
      <c r="B15" s="21" t="str">
        <f>IF(Builder!B15=0," ",Builder!B15)</f>
        <v xml:space="preserve"> </v>
      </c>
      <c r="C15" s="22" t="str">
        <f>IF(Builder!C15=0," ",Builder!C15)</f>
        <v xml:space="preserve"> </v>
      </c>
      <c r="D15" s="21" t="str">
        <f>IF(Builder!D15=0," ",Builder!D15)</f>
        <v xml:space="preserve"> </v>
      </c>
      <c r="E15" s="21" t="str">
        <f>IF(Builder!E15=0," ",Builder!E15)</f>
        <v xml:space="preserve"> </v>
      </c>
      <c r="F15" s="21" t="str">
        <f>IF(Builder!F15=0," ",Builder!F15)</f>
        <v xml:space="preserve"> </v>
      </c>
      <c r="G15" s="21" t="str">
        <f>IF(Builder!G15=0,"--",Builder!G15)</f>
        <v>--</v>
      </c>
      <c r="H15" s="21" t="str">
        <f>IF(Builder!H15=0,"--",Builder!H15)</f>
        <v>--</v>
      </c>
      <c r="I15" s="21" t="str">
        <f>IF(Builder!I15=0," ",Builder!I15)</f>
        <v xml:space="preserve"> </v>
      </c>
      <c r="J15" s="21" t="str">
        <f>IF(Builder!J15=0," ",Builder!J15)</f>
        <v xml:space="preserve"> </v>
      </c>
      <c r="K15" s="21">
        <f>IF(ISBLANK(Builder!K15),0,Builder!K15)</f>
        <v>0</v>
      </c>
      <c r="L15" s="21">
        <f>IF(ISBLANK(Builder!L15),0,Builder!L15)</f>
        <v>0</v>
      </c>
      <c r="M15" s="21">
        <f>IF(ISBLANK(Builder!M15),0,Builder!M15)</f>
        <v>0</v>
      </c>
      <c r="N15" s="21">
        <f>IF(ISBLANK(Builder!N15),0,Builder!N15)</f>
        <v>0</v>
      </c>
      <c r="O15" s="21">
        <f>IF(ISBLANK(Builder!O15),0,Builder!O15)</f>
        <v>0</v>
      </c>
      <c r="P15" s="21" t="str">
        <f>IF(Builder!P15=0," ",Builder!P15)</f>
        <v xml:space="preserve"> </v>
      </c>
      <c r="Q15" s="21">
        <f>IF(Builder!Q15=0,0,Builder!Q15)</f>
        <v>0</v>
      </c>
      <c r="R15" s="21" t="str">
        <f>IF(Builder!R15=0," ",Builder!R15)</f>
        <v xml:space="preserve"> </v>
      </c>
      <c r="S15" s="20" t="str">
        <f>IF(Builder!S17=0," ",Builder!S17)</f>
        <v xml:space="preserve"> </v>
      </c>
      <c r="T15" s="20" t="str">
        <f>IF(Builder!T15=0," ",Builder!T15)</f>
        <v xml:space="preserve"> </v>
      </c>
    </row>
    <row r="16" spans="1:22" x14ac:dyDescent="0.3">
      <c r="A16" s="20">
        <f>IF(Q16&gt;=1,MAX($A$4:A15)+1,0)</f>
        <v>0</v>
      </c>
      <c r="B16" s="21" t="str">
        <f>IF(Builder!B16=0," ",Builder!B16)</f>
        <v xml:space="preserve"> </v>
      </c>
      <c r="C16" s="22" t="str">
        <f>IF(Builder!C16=0," ",Builder!C16)</f>
        <v xml:space="preserve"> </v>
      </c>
      <c r="D16" s="21" t="str">
        <f>IF(Builder!D16=0," ",Builder!D16)</f>
        <v xml:space="preserve"> </v>
      </c>
      <c r="E16" s="21" t="str">
        <f>IF(Builder!E16=0," ",Builder!E16)</f>
        <v xml:space="preserve"> </v>
      </c>
      <c r="F16" s="21" t="str">
        <f>IF(Builder!F16=0," ",Builder!F16)</f>
        <v xml:space="preserve"> </v>
      </c>
      <c r="G16" s="21" t="str">
        <f>IF(Builder!G16=0,"--",Builder!G16)</f>
        <v>--</v>
      </c>
      <c r="H16" s="21" t="str">
        <f>IF(Builder!H16=0,"--",Builder!H16)</f>
        <v>--</v>
      </c>
      <c r="I16" s="21" t="str">
        <f>IF(Builder!I16=0," ",Builder!I16)</f>
        <v xml:space="preserve"> </v>
      </c>
      <c r="J16" s="21" t="str">
        <f>IF(Builder!J16=0," ",Builder!J16)</f>
        <v xml:space="preserve"> </v>
      </c>
      <c r="K16" s="21">
        <f>IF(ISBLANK(Builder!K16),0,Builder!K16)</f>
        <v>0</v>
      </c>
      <c r="L16" s="21">
        <f>IF(ISBLANK(Builder!L16),0,Builder!L16)</f>
        <v>0</v>
      </c>
      <c r="M16" s="21">
        <f>IF(ISBLANK(Builder!M16),0,Builder!M16)</f>
        <v>0</v>
      </c>
      <c r="N16" s="21">
        <f>IF(ISBLANK(Builder!N16),0,Builder!N16)</f>
        <v>0</v>
      </c>
      <c r="O16" s="21">
        <f>IF(ISBLANK(Builder!O16),0,Builder!O16)</f>
        <v>0</v>
      </c>
      <c r="P16" s="21" t="str">
        <f>IF(Builder!P16=0," ",Builder!P16)</f>
        <v xml:space="preserve"> </v>
      </c>
      <c r="Q16" s="21">
        <f>IF(Builder!Q16=0,0,Builder!Q16)</f>
        <v>0</v>
      </c>
      <c r="R16" s="21" t="str">
        <f>IF(Builder!R16=0," ",Builder!R16)</f>
        <v xml:space="preserve"> </v>
      </c>
      <c r="S16" s="20" t="str">
        <f>IF(Builder!S18=0," ",Builder!S18)</f>
        <v xml:space="preserve"> </v>
      </c>
      <c r="T16" s="20" t="str">
        <f>IF(Builder!T16=0," ",Builder!T16)</f>
        <v xml:space="preserve"> </v>
      </c>
    </row>
    <row r="17" spans="1:20" x14ac:dyDescent="0.3">
      <c r="A17" s="20">
        <f>IF(Q17&gt;=1,MAX($A$4:A16)+1,0)</f>
        <v>0</v>
      </c>
      <c r="B17" s="21" t="str">
        <f>IF(Builder!B17=0," ",Builder!B17)</f>
        <v xml:space="preserve"> </v>
      </c>
      <c r="C17" s="22" t="str">
        <f>IF(Builder!C17=0," ",Builder!C17)</f>
        <v xml:space="preserve"> </v>
      </c>
      <c r="D17" s="21" t="str">
        <f>IF(Builder!D17=0," ",Builder!D17)</f>
        <v xml:space="preserve"> </v>
      </c>
      <c r="E17" s="21" t="str">
        <f>IF(Builder!E17=0," ",Builder!E17)</f>
        <v xml:space="preserve"> </v>
      </c>
      <c r="F17" s="21" t="str">
        <f>IF(Builder!F17=0," ",Builder!F17)</f>
        <v xml:space="preserve"> </v>
      </c>
      <c r="G17" s="21" t="str">
        <f>IF(Builder!G17=0,"--",Builder!G17)</f>
        <v>--</v>
      </c>
      <c r="H17" s="21" t="str">
        <f>IF(Builder!H17=0,"--",Builder!H17)</f>
        <v>--</v>
      </c>
      <c r="I17" s="21" t="str">
        <f>IF(Builder!I17=0," ",Builder!I17)</f>
        <v xml:space="preserve"> </v>
      </c>
      <c r="J17" s="21" t="str">
        <f>IF(Builder!J17=0," ",Builder!J17)</f>
        <v xml:space="preserve"> </v>
      </c>
      <c r="K17" s="21">
        <f>IF(ISBLANK(Builder!K17),0,Builder!K17)</f>
        <v>0</v>
      </c>
      <c r="L17" s="21">
        <f>IF(ISBLANK(Builder!L17),0,Builder!L17)</f>
        <v>0</v>
      </c>
      <c r="M17" s="21">
        <f>IF(ISBLANK(Builder!M17),0,Builder!M17)</f>
        <v>0</v>
      </c>
      <c r="N17" s="21">
        <f>IF(ISBLANK(Builder!N17),0,Builder!N17)</f>
        <v>0</v>
      </c>
      <c r="O17" s="21">
        <f>IF(ISBLANK(Builder!O17),0,Builder!O17)</f>
        <v>0</v>
      </c>
      <c r="P17" s="21" t="str">
        <f>IF(Builder!P17=0," ",Builder!P17)</f>
        <v xml:space="preserve"> </v>
      </c>
      <c r="Q17" s="21">
        <f>IF(Builder!Q17=0,0,Builder!Q17)</f>
        <v>0</v>
      </c>
      <c r="R17" s="21" t="str">
        <f>IF(Builder!R17=0," ",Builder!R17)</f>
        <v xml:space="preserve"> </v>
      </c>
      <c r="S17" s="20" t="str">
        <f>IF(Builder!S19=0," ",Builder!S19)</f>
        <v xml:space="preserve"> </v>
      </c>
      <c r="T17" s="20" t="str">
        <f>IF(Builder!T17=0," ",Builder!T17)</f>
        <v xml:space="preserve"> </v>
      </c>
    </row>
    <row r="18" spans="1:20" x14ac:dyDescent="0.3">
      <c r="A18" s="20">
        <f>IF(Q18&gt;=1,MAX($A$4:A17)+1,0)</f>
        <v>0</v>
      </c>
      <c r="B18" s="21" t="str">
        <f>IF(Builder!B18=0," ",Builder!B18)</f>
        <v xml:space="preserve"> </v>
      </c>
      <c r="C18" s="22" t="str">
        <f>IF(Builder!C18=0," ",Builder!C18)</f>
        <v xml:space="preserve"> </v>
      </c>
      <c r="D18" s="21" t="str">
        <f>IF(Builder!D18=0," ",Builder!D18)</f>
        <v xml:space="preserve"> </v>
      </c>
      <c r="E18" s="21" t="str">
        <f>IF(Builder!E18=0," ",Builder!E18)</f>
        <v xml:space="preserve"> </v>
      </c>
      <c r="F18" s="21" t="str">
        <f>IF(Builder!F18=0," ",Builder!F18)</f>
        <v xml:space="preserve"> </v>
      </c>
      <c r="G18" s="21" t="str">
        <f>IF(Builder!G18=0,"--",Builder!G18)</f>
        <v>--</v>
      </c>
      <c r="H18" s="21" t="str">
        <f>IF(Builder!H18=0,"--",Builder!H18)</f>
        <v>--</v>
      </c>
      <c r="I18" s="21" t="str">
        <f>IF(Builder!I18=0," ",Builder!I18)</f>
        <v xml:space="preserve"> </v>
      </c>
      <c r="J18" s="21" t="str">
        <f>IF(Builder!J18=0," ",Builder!J18)</f>
        <v xml:space="preserve"> </v>
      </c>
      <c r="K18" s="21">
        <f>IF(ISBLANK(Builder!K18),0,Builder!K18)</f>
        <v>0</v>
      </c>
      <c r="L18" s="21">
        <f>IF(ISBLANK(Builder!L18),0,Builder!L18)</f>
        <v>0</v>
      </c>
      <c r="M18" s="21">
        <f>IF(ISBLANK(Builder!M18),0,Builder!M18)</f>
        <v>0</v>
      </c>
      <c r="N18" s="21">
        <f>IF(ISBLANK(Builder!N18),0,Builder!N18)</f>
        <v>0</v>
      </c>
      <c r="O18" s="21">
        <f>IF(ISBLANK(Builder!O18),0,Builder!O18)</f>
        <v>0</v>
      </c>
      <c r="P18" s="21" t="str">
        <f>IF(Builder!P18=0," ",Builder!P18)</f>
        <v xml:space="preserve"> </v>
      </c>
      <c r="Q18" s="21">
        <f>IF(Builder!Q18=0,0,Builder!Q18)</f>
        <v>0</v>
      </c>
      <c r="R18" s="21" t="str">
        <f>IF(Builder!R18=0," ",Builder!R18)</f>
        <v xml:space="preserve"> </v>
      </c>
      <c r="S18" s="20" t="str">
        <f>IF(Builder!S20=0," ",Builder!S20)</f>
        <v xml:space="preserve"> </v>
      </c>
      <c r="T18" s="20" t="str">
        <f>IF(Builder!T18=0," ",Builder!T18)</f>
        <v xml:space="preserve"> </v>
      </c>
    </row>
    <row r="19" spans="1:20" x14ac:dyDescent="0.3">
      <c r="A19" s="20">
        <f>IF(Q19&gt;=1,MAX($A$4:A18)+1,0)</f>
        <v>0</v>
      </c>
      <c r="B19" s="21" t="str">
        <f>IF(Builder!B19=0," ",Builder!B19)</f>
        <v xml:space="preserve"> </v>
      </c>
      <c r="C19" s="22" t="str">
        <f>IF(Builder!C19=0," ",Builder!C19)</f>
        <v xml:space="preserve"> </v>
      </c>
      <c r="D19" s="21" t="str">
        <f>IF(Builder!D19=0," ",Builder!D19)</f>
        <v xml:space="preserve"> </v>
      </c>
      <c r="E19" s="21" t="str">
        <f>IF(Builder!E19=0," ",Builder!E19)</f>
        <v xml:space="preserve"> </v>
      </c>
      <c r="F19" s="21" t="str">
        <f>IF(Builder!F19=0," ",Builder!F19)</f>
        <v xml:space="preserve"> </v>
      </c>
      <c r="G19" s="21" t="str">
        <f>IF(Builder!G19=0,"--",Builder!G19)</f>
        <v>--</v>
      </c>
      <c r="H19" s="21" t="str">
        <f>IF(Builder!H19=0,"--",Builder!H19)</f>
        <v>--</v>
      </c>
      <c r="I19" s="21" t="str">
        <f>IF(Builder!I19=0," ",Builder!I19)</f>
        <v xml:space="preserve"> </v>
      </c>
      <c r="J19" s="21" t="str">
        <f>IF(Builder!J19=0," ",Builder!J19)</f>
        <v xml:space="preserve"> </v>
      </c>
      <c r="K19" s="21">
        <f>IF(ISBLANK(Builder!K19),0,Builder!K19)</f>
        <v>0</v>
      </c>
      <c r="L19" s="21">
        <f>IF(ISBLANK(Builder!L19),0,Builder!L19)</f>
        <v>0</v>
      </c>
      <c r="M19" s="21">
        <f>IF(ISBLANK(Builder!M19),0,Builder!M19)</f>
        <v>0</v>
      </c>
      <c r="N19" s="21">
        <f>IF(ISBLANK(Builder!N19),0,Builder!N19)</f>
        <v>0</v>
      </c>
      <c r="O19" s="21">
        <f>IF(ISBLANK(Builder!O19),0,Builder!O19)</f>
        <v>0</v>
      </c>
      <c r="P19" s="21" t="str">
        <f>IF(Builder!P19=0," ",Builder!P19)</f>
        <v xml:space="preserve"> </v>
      </c>
      <c r="Q19" s="21">
        <f>IF(Builder!Q19=0,0,Builder!Q19)</f>
        <v>0</v>
      </c>
      <c r="R19" s="21" t="str">
        <f>IF(Builder!R19=0," ",Builder!R19)</f>
        <v xml:space="preserve"> </v>
      </c>
      <c r="S19" s="20" t="str">
        <f>IF(Builder!S21=0," ",Builder!S21)</f>
        <v xml:space="preserve"> </v>
      </c>
      <c r="T19" s="20" t="str">
        <f>IF(Builder!T19=0," ",Builder!T19)</f>
        <v xml:space="preserve"> </v>
      </c>
    </row>
    <row r="20" spans="1:20" x14ac:dyDescent="0.3">
      <c r="A20" s="20">
        <f>IF(Q20&gt;=1,MAX($A$4:A19)+1,0)</f>
        <v>0</v>
      </c>
      <c r="B20" s="21" t="str">
        <f>IF(Builder!B20=0," ",Builder!B20)</f>
        <v xml:space="preserve"> </v>
      </c>
      <c r="C20" s="22" t="str">
        <f>IF(Builder!C20=0," ",Builder!C20)</f>
        <v xml:space="preserve"> </v>
      </c>
      <c r="D20" s="21" t="str">
        <f>IF(Builder!D20=0," ",Builder!D20)</f>
        <v xml:space="preserve"> </v>
      </c>
      <c r="E20" s="21" t="str">
        <f>IF(Builder!E20=0," ",Builder!E20)</f>
        <v xml:space="preserve"> </v>
      </c>
      <c r="F20" s="21" t="str">
        <f>IF(Builder!F20=0," ",Builder!F20)</f>
        <v xml:space="preserve"> </v>
      </c>
      <c r="G20" s="21" t="str">
        <f>IF(Builder!G20=0,"--",Builder!G20)</f>
        <v>--</v>
      </c>
      <c r="H20" s="21" t="str">
        <f>IF(Builder!H20=0,"--",Builder!H20)</f>
        <v>--</v>
      </c>
      <c r="I20" s="21" t="str">
        <f>IF(Builder!I20=0," ",Builder!I20)</f>
        <v xml:space="preserve"> </v>
      </c>
      <c r="J20" s="21" t="str">
        <f>IF(Builder!J20=0," ",Builder!J20)</f>
        <v xml:space="preserve"> </v>
      </c>
      <c r="K20" s="21">
        <f>IF(ISBLANK(Builder!K20),0,Builder!K20)</f>
        <v>0</v>
      </c>
      <c r="L20" s="21">
        <f>IF(ISBLANK(Builder!L20),0,Builder!L20)</f>
        <v>0</v>
      </c>
      <c r="M20" s="21">
        <f>IF(ISBLANK(Builder!M20),0,Builder!M20)</f>
        <v>0</v>
      </c>
      <c r="N20" s="21">
        <f>IF(ISBLANK(Builder!N20),0,Builder!N20)</f>
        <v>0</v>
      </c>
      <c r="O20" s="21">
        <f>IF(ISBLANK(Builder!O20),0,Builder!O20)</f>
        <v>0</v>
      </c>
      <c r="P20" s="21" t="str">
        <f>IF(Builder!P20=0," ",Builder!P20)</f>
        <v xml:space="preserve"> </v>
      </c>
      <c r="Q20" s="21">
        <f>IF(Builder!Q20=0,0,Builder!Q20)</f>
        <v>0</v>
      </c>
      <c r="R20" s="21" t="str">
        <f>IF(Builder!R20=0," ",Builder!R20)</f>
        <v xml:space="preserve"> </v>
      </c>
      <c r="S20" s="20" t="str">
        <f>IF(Builder!S22=0," ",Builder!S22)</f>
        <v xml:space="preserve"> </v>
      </c>
      <c r="T20" s="20" t="str">
        <f>IF(Builder!T20=0," ",Builder!T20)</f>
        <v xml:space="preserve"> </v>
      </c>
    </row>
    <row r="21" spans="1:20" x14ac:dyDescent="0.3">
      <c r="A21" s="20">
        <f>IF(Q21&gt;=1,MAX($A$4:A20)+1,0)</f>
        <v>0</v>
      </c>
      <c r="B21" s="21" t="str">
        <f>IF(Builder!B21=0," ",Builder!B21)</f>
        <v xml:space="preserve"> </v>
      </c>
      <c r="C21" s="22" t="str">
        <f>IF(Builder!C21=0," ",Builder!C21)</f>
        <v xml:space="preserve"> </v>
      </c>
      <c r="D21" s="21" t="str">
        <f>IF(Builder!D21=0," ",Builder!D21)</f>
        <v xml:space="preserve"> </v>
      </c>
      <c r="E21" s="21" t="str">
        <f>IF(Builder!E21=0," ",Builder!E21)</f>
        <v xml:space="preserve"> </v>
      </c>
      <c r="F21" s="21" t="str">
        <f>IF(Builder!F21=0," ",Builder!F21)</f>
        <v xml:space="preserve"> </v>
      </c>
      <c r="G21" s="21" t="str">
        <f>IF(Builder!G21=0,"--",Builder!G21)</f>
        <v>--</v>
      </c>
      <c r="H21" s="21" t="str">
        <f>IF(Builder!H21=0,"--",Builder!H21)</f>
        <v>--</v>
      </c>
      <c r="I21" s="21" t="str">
        <f>IF(Builder!I21=0," ",Builder!I21)</f>
        <v xml:space="preserve"> </v>
      </c>
      <c r="J21" s="21" t="str">
        <f>IF(Builder!J21=0," ",Builder!J21)</f>
        <v xml:space="preserve"> </v>
      </c>
      <c r="K21" s="21">
        <f>IF(ISBLANK(Builder!K21),0,Builder!K21)</f>
        <v>0</v>
      </c>
      <c r="L21" s="21">
        <f>IF(ISBLANK(Builder!L21),0,Builder!L21)</f>
        <v>0</v>
      </c>
      <c r="M21" s="21">
        <f>IF(ISBLANK(Builder!M21),0,Builder!M21)</f>
        <v>0</v>
      </c>
      <c r="N21" s="21">
        <f>IF(ISBLANK(Builder!N21),0,Builder!N21)</f>
        <v>0</v>
      </c>
      <c r="O21" s="21">
        <f>IF(ISBLANK(Builder!O21),0,Builder!O21)</f>
        <v>0</v>
      </c>
      <c r="P21" s="21" t="str">
        <f>IF(Builder!P21=0," ",Builder!P21)</f>
        <v xml:space="preserve"> </v>
      </c>
      <c r="Q21" s="21">
        <f>IF(Builder!Q21=0,0,Builder!Q21)</f>
        <v>0</v>
      </c>
      <c r="R21" s="21" t="str">
        <f>IF(Builder!R21=0," ",Builder!R21)</f>
        <v xml:space="preserve"> </v>
      </c>
      <c r="S21" s="20" t="str">
        <f>IF(Builder!S23=0," ",Builder!S23)</f>
        <v xml:space="preserve"> </v>
      </c>
      <c r="T21" s="20" t="str">
        <f>IF(Builder!T21=0," ",Builder!T21)</f>
        <v xml:space="preserve"> </v>
      </c>
    </row>
    <row r="22" spans="1:20" x14ac:dyDescent="0.3">
      <c r="A22" s="20">
        <f>IF(Q22&gt;=1,MAX($A$4:A21)+1,0)</f>
        <v>0</v>
      </c>
      <c r="B22" s="21" t="str">
        <f>IF(Builder!B22=0," ",Builder!B22)</f>
        <v xml:space="preserve"> </v>
      </c>
      <c r="C22" s="22" t="str">
        <f>IF(Builder!C22=0," ",Builder!C22)</f>
        <v xml:space="preserve"> </v>
      </c>
      <c r="D22" s="21" t="str">
        <f>IF(Builder!D22=0," ",Builder!D22)</f>
        <v xml:space="preserve"> </v>
      </c>
      <c r="E22" s="21" t="str">
        <f>IF(Builder!E22=0," ",Builder!E22)</f>
        <v xml:space="preserve"> </v>
      </c>
      <c r="F22" s="21" t="str">
        <f>IF(Builder!F22=0," ",Builder!F22)</f>
        <v xml:space="preserve"> </v>
      </c>
      <c r="G22" s="21" t="str">
        <f>IF(Builder!G22=0,"--",Builder!G22)</f>
        <v>--</v>
      </c>
      <c r="H22" s="21" t="str">
        <f>IF(Builder!H22=0,"--",Builder!H22)</f>
        <v>--</v>
      </c>
      <c r="I22" s="21" t="str">
        <f>IF(Builder!I22=0," ",Builder!I22)</f>
        <v xml:space="preserve"> </v>
      </c>
      <c r="J22" s="21" t="str">
        <f>IF(Builder!J22=0," ",Builder!J22)</f>
        <v xml:space="preserve"> </v>
      </c>
      <c r="K22" s="21">
        <f>IF(ISBLANK(Builder!K22),0,Builder!K22)</f>
        <v>0</v>
      </c>
      <c r="L22" s="21">
        <f>IF(ISBLANK(Builder!L22),0,Builder!L22)</f>
        <v>0</v>
      </c>
      <c r="M22" s="21">
        <f>IF(ISBLANK(Builder!M22),0,Builder!M22)</f>
        <v>0</v>
      </c>
      <c r="N22" s="21">
        <f>IF(ISBLANK(Builder!N22),0,Builder!N22)</f>
        <v>0</v>
      </c>
      <c r="O22" s="21">
        <f>IF(ISBLANK(Builder!O22),0,Builder!O22)</f>
        <v>0</v>
      </c>
      <c r="P22" s="21" t="str">
        <f>IF(Builder!P22=0," ",Builder!P22)</f>
        <v xml:space="preserve"> </v>
      </c>
      <c r="Q22" s="21">
        <f>IF(Builder!Q22=0,0,Builder!Q22)</f>
        <v>0</v>
      </c>
      <c r="R22" s="21" t="str">
        <f>IF(Builder!R22=0," ",Builder!R22)</f>
        <v xml:space="preserve"> </v>
      </c>
      <c r="S22" s="20" t="str">
        <f>IF(Builder!S24=0," ",Builder!S24)</f>
        <v xml:space="preserve"> </v>
      </c>
      <c r="T22" s="20" t="str">
        <f>IF(Builder!T22=0," ",Builder!T22)</f>
        <v xml:space="preserve"> </v>
      </c>
    </row>
    <row r="23" spans="1:20" x14ac:dyDescent="0.3">
      <c r="A23" s="20">
        <f>IF(Q23&gt;=1,MAX($A$4:A22)+1,0)</f>
        <v>0</v>
      </c>
      <c r="B23" s="21" t="str">
        <f>IF(Builder!B23=0," ",Builder!B23)</f>
        <v xml:space="preserve"> </v>
      </c>
      <c r="C23" s="22" t="str">
        <f>IF(Builder!C23=0," ",Builder!C23)</f>
        <v xml:space="preserve"> </v>
      </c>
      <c r="D23" s="21" t="str">
        <f>IF(Builder!D23=0," ",Builder!D23)</f>
        <v xml:space="preserve"> </v>
      </c>
      <c r="E23" s="21" t="str">
        <f>IF(Builder!E23=0," ",Builder!E23)</f>
        <v xml:space="preserve"> </v>
      </c>
      <c r="F23" s="21" t="str">
        <f>IF(Builder!F23=0," ",Builder!F23)</f>
        <v xml:space="preserve"> </v>
      </c>
      <c r="G23" s="21" t="str">
        <f>IF(Builder!G23=0,"--",Builder!G23)</f>
        <v>--</v>
      </c>
      <c r="H23" s="21" t="str">
        <f>IF(Builder!H23=0,"--",Builder!H23)</f>
        <v>--</v>
      </c>
      <c r="I23" s="21" t="str">
        <f>IF(Builder!I23=0," ",Builder!I23)</f>
        <v xml:space="preserve"> </v>
      </c>
      <c r="J23" s="21" t="str">
        <f>IF(Builder!J23=0," ",Builder!J23)</f>
        <v xml:space="preserve"> </v>
      </c>
      <c r="K23" s="21">
        <f>IF(ISBLANK(Builder!K23),0,Builder!K23)</f>
        <v>0</v>
      </c>
      <c r="L23" s="21">
        <f>IF(ISBLANK(Builder!L23),0,Builder!L23)</f>
        <v>0</v>
      </c>
      <c r="M23" s="21">
        <f>IF(ISBLANK(Builder!M23),0,Builder!M23)</f>
        <v>0</v>
      </c>
      <c r="N23" s="21">
        <f>IF(ISBLANK(Builder!N23),0,Builder!N23)</f>
        <v>0</v>
      </c>
      <c r="O23" s="21">
        <f>IF(ISBLANK(Builder!O23),0,Builder!O23)</f>
        <v>0</v>
      </c>
      <c r="P23" s="21" t="str">
        <f>IF(Builder!P23=0," ",Builder!P23)</f>
        <v xml:space="preserve"> </v>
      </c>
      <c r="Q23" s="21">
        <f>IF(Builder!Q23=0,0,Builder!Q23)</f>
        <v>0</v>
      </c>
      <c r="R23" s="21" t="str">
        <f>IF(Builder!R23=0," ",Builder!R23)</f>
        <v xml:space="preserve"> </v>
      </c>
      <c r="S23" s="20" t="str">
        <f>IF(Builder!S25=0," ",Builder!S25)</f>
        <v xml:space="preserve"> </v>
      </c>
      <c r="T23" s="20" t="str">
        <f>IF(Builder!T23=0," ",Builder!T23)</f>
        <v xml:space="preserve"> </v>
      </c>
    </row>
    <row r="24" spans="1:20" x14ac:dyDescent="0.3">
      <c r="A24" s="20">
        <f>IF(Q24&gt;=1,MAX($A$4:A23)+1,0)</f>
        <v>0</v>
      </c>
      <c r="B24" s="21" t="str">
        <f>IF(Builder!B24=0," ",Builder!B24)</f>
        <v xml:space="preserve"> </v>
      </c>
      <c r="C24" s="22" t="str">
        <f>IF(Builder!C24=0," ",Builder!C24)</f>
        <v xml:space="preserve"> </v>
      </c>
      <c r="D24" s="21" t="str">
        <f>IF(Builder!D24=0," ",Builder!D24)</f>
        <v xml:space="preserve"> </v>
      </c>
      <c r="E24" s="21" t="str">
        <f>IF(Builder!E24=0," ",Builder!E24)</f>
        <v xml:space="preserve"> </v>
      </c>
      <c r="F24" s="21" t="str">
        <f>IF(Builder!F24=0," ",Builder!F24)</f>
        <v xml:space="preserve"> </v>
      </c>
      <c r="G24" s="21" t="str">
        <f>IF(Builder!G24=0,"--",Builder!G24)</f>
        <v>--</v>
      </c>
      <c r="H24" s="21" t="str">
        <f>IF(Builder!H24=0,"--",Builder!H24)</f>
        <v>--</v>
      </c>
      <c r="I24" s="21" t="str">
        <f>IF(Builder!I24=0," ",Builder!I24)</f>
        <v xml:space="preserve"> </v>
      </c>
      <c r="J24" s="21" t="str">
        <f>IF(Builder!J24=0," ",Builder!J24)</f>
        <v xml:space="preserve"> </v>
      </c>
      <c r="K24" s="21">
        <f>IF(ISBLANK(Builder!K24),0,Builder!K24)</f>
        <v>0</v>
      </c>
      <c r="L24" s="21">
        <f>IF(ISBLANK(Builder!L24),0,Builder!L24)</f>
        <v>0</v>
      </c>
      <c r="M24" s="21">
        <f>IF(ISBLANK(Builder!M24),0,Builder!M24)</f>
        <v>0</v>
      </c>
      <c r="N24" s="21">
        <f>IF(ISBLANK(Builder!N24),0,Builder!N24)</f>
        <v>0</v>
      </c>
      <c r="O24" s="21">
        <f>IF(ISBLANK(Builder!O24),0,Builder!O24)</f>
        <v>0</v>
      </c>
      <c r="P24" s="21" t="str">
        <f>IF(Builder!P24=0," ",Builder!P24)</f>
        <v xml:space="preserve"> </v>
      </c>
      <c r="Q24" s="21">
        <f>IF(Builder!Q24=0,0,Builder!Q24)</f>
        <v>0</v>
      </c>
      <c r="R24" s="21" t="str">
        <f>IF(Builder!R24=0," ",Builder!R24)</f>
        <v xml:space="preserve"> </v>
      </c>
      <c r="S24" s="20" t="str">
        <f>IF(Builder!S26=0," ",Builder!S26)</f>
        <v xml:space="preserve"> </v>
      </c>
      <c r="T24" s="20" t="str">
        <f>IF(Builder!T24=0," ",Builder!T24)</f>
        <v xml:space="preserve"> </v>
      </c>
    </row>
    <row r="25" spans="1:20" x14ac:dyDescent="0.3">
      <c r="A25" s="20">
        <f>IF(Q25&gt;=1,MAX($A$4:A24)+1,0)</f>
        <v>0</v>
      </c>
      <c r="B25" s="21" t="str">
        <f>IF(Builder!B25=0," ",Builder!B25)</f>
        <v xml:space="preserve"> </v>
      </c>
      <c r="C25" s="22" t="str">
        <f>IF(Builder!C25=0," ",Builder!C25)</f>
        <v xml:space="preserve"> </v>
      </c>
      <c r="D25" s="21" t="str">
        <f>IF(Builder!D25=0," ",Builder!D25)</f>
        <v xml:space="preserve"> </v>
      </c>
      <c r="E25" s="21" t="str">
        <f>IF(Builder!E25=0," ",Builder!E25)</f>
        <v xml:space="preserve"> </v>
      </c>
      <c r="F25" s="21" t="str">
        <f>IF(Builder!F25=0," ",Builder!F25)</f>
        <v xml:space="preserve"> </v>
      </c>
      <c r="G25" s="21" t="str">
        <f>IF(Builder!G25=0,"--",Builder!G25)</f>
        <v>--</v>
      </c>
      <c r="H25" s="21" t="str">
        <f>IF(Builder!H25=0,"--",Builder!H25)</f>
        <v>--</v>
      </c>
      <c r="I25" s="21" t="str">
        <f>IF(Builder!I25=0," ",Builder!I25)</f>
        <v xml:space="preserve"> </v>
      </c>
      <c r="J25" s="21" t="str">
        <f>IF(Builder!J25=0," ",Builder!J25)</f>
        <v xml:space="preserve"> </v>
      </c>
      <c r="K25" s="21">
        <f>IF(ISBLANK(Builder!K25),0,Builder!K25)</f>
        <v>0</v>
      </c>
      <c r="L25" s="21">
        <f>IF(ISBLANK(Builder!L25),0,Builder!L25)</f>
        <v>0</v>
      </c>
      <c r="M25" s="21">
        <f>IF(ISBLANK(Builder!M25),0,Builder!M25)</f>
        <v>0</v>
      </c>
      <c r="N25" s="21">
        <f>IF(ISBLANK(Builder!N25),0,Builder!N25)</f>
        <v>0</v>
      </c>
      <c r="O25" s="21">
        <f>IF(ISBLANK(Builder!O25),0,Builder!O25)</f>
        <v>0</v>
      </c>
      <c r="P25" s="21" t="str">
        <f>IF(Builder!P25=0," ",Builder!P25)</f>
        <v xml:space="preserve"> </v>
      </c>
      <c r="Q25" s="21">
        <f>IF(Builder!Q25=0,0,Builder!Q25)</f>
        <v>0</v>
      </c>
      <c r="R25" s="21" t="str">
        <f>IF(Builder!R25=0," ",Builder!R25)</f>
        <v xml:space="preserve"> </v>
      </c>
      <c r="S25" s="20" t="str">
        <f>IF(Builder!S27=0," ",Builder!S27)</f>
        <v xml:space="preserve"> </v>
      </c>
      <c r="T25" s="20" t="str">
        <f>IF(Builder!T25=0," ",Builder!T25)</f>
        <v xml:space="preserve"> </v>
      </c>
    </row>
    <row r="26" spans="1:20" x14ac:dyDescent="0.3">
      <c r="A26" s="20">
        <f>IF(Q26&gt;=1,MAX($A$4:A25)+1,0)</f>
        <v>0</v>
      </c>
      <c r="B26" s="21" t="str">
        <f>IF(Builder!B26=0," ",Builder!B26)</f>
        <v xml:space="preserve"> </v>
      </c>
      <c r="C26" s="22" t="str">
        <f>IF(Builder!C26=0," ",Builder!C26)</f>
        <v xml:space="preserve"> </v>
      </c>
      <c r="D26" s="21" t="str">
        <f>IF(Builder!D26=0," ",Builder!D26)</f>
        <v xml:space="preserve"> </v>
      </c>
      <c r="E26" s="21" t="str">
        <f>IF(Builder!E26=0," ",Builder!E26)</f>
        <v xml:space="preserve"> </v>
      </c>
      <c r="F26" s="21" t="str">
        <f>IF(Builder!F26=0," ",Builder!F26)</f>
        <v xml:space="preserve"> </v>
      </c>
      <c r="G26" s="21" t="str">
        <f>IF(Builder!G26=0,"--",Builder!G26)</f>
        <v>--</v>
      </c>
      <c r="H26" s="21" t="str">
        <f>IF(Builder!H26=0,"--",Builder!H26)</f>
        <v>--</v>
      </c>
      <c r="I26" s="21" t="str">
        <f>IF(Builder!I26=0," ",Builder!I26)</f>
        <v xml:space="preserve"> </v>
      </c>
      <c r="J26" s="21" t="str">
        <f>IF(Builder!J26=0," ",Builder!J26)</f>
        <v xml:space="preserve"> </v>
      </c>
      <c r="K26" s="21">
        <f>IF(ISBLANK(Builder!K26),0,Builder!K26)</f>
        <v>0</v>
      </c>
      <c r="L26" s="21">
        <f>IF(ISBLANK(Builder!L26),0,Builder!L26)</f>
        <v>0</v>
      </c>
      <c r="M26" s="21">
        <f>IF(ISBLANK(Builder!M26),0,Builder!M26)</f>
        <v>0</v>
      </c>
      <c r="N26" s="21">
        <f>IF(ISBLANK(Builder!N26),0,Builder!N26)</f>
        <v>0</v>
      </c>
      <c r="O26" s="21">
        <f>IF(ISBLANK(Builder!O26),0,Builder!O26)</f>
        <v>0</v>
      </c>
      <c r="P26" s="21" t="str">
        <f>IF(Builder!P26=0," ",Builder!P26)</f>
        <v xml:space="preserve"> </v>
      </c>
      <c r="Q26" s="21">
        <f>IF(Builder!Q26=0,0,Builder!Q26)</f>
        <v>0</v>
      </c>
      <c r="R26" s="21" t="str">
        <f>IF(Builder!R26=0," ",Builder!R26)</f>
        <v xml:space="preserve"> </v>
      </c>
      <c r="S26" s="20" t="str">
        <f>IF(Builder!S28=0," ",Builder!S28)</f>
        <v xml:space="preserve"> </v>
      </c>
      <c r="T26" s="20" t="str">
        <f>IF(Builder!T26=0," ",Builder!T26)</f>
        <v xml:space="preserve"> </v>
      </c>
    </row>
    <row r="27" spans="1:20" x14ac:dyDescent="0.3">
      <c r="A27" s="20">
        <f>IF(Q27&gt;=1,MAX($A$4:A26)+1,0)</f>
        <v>0</v>
      </c>
      <c r="B27" s="21" t="str">
        <f>IF(Builder!B27=0," ",Builder!B27)</f>
        <v xml:space="preserve"> </v>
      </c>
      <c r="C27" s="22" t="str">
        <f>IF(Builder!C27=0," ",Builder!C27)</f>
        <v xml:space="preserve"> </v>
      </c>
      <c r="D27" s="21" t="str">
        <f>IF(Builder!D27=0," ",Builder!D27)</f>
        <v xml:space="preserve"> </v>
      </c>
      <c r="E27" s="21" t="str">
        <f>IF(Builder!E27=0," ",Builder!E27)</f>
        <v xml:space="preserve"> </v>
      </c>
      <c r="F27" s="21" t="str">
        <f>IF(Builder!F27=0," ",Builder!F27)</f>
        <v xml:space="preserve"> </v>
      </c>
      <c r="G27" s="21" t="str">
        <f>IF(Builder!G27=0,"--",Builder!G27)</f>
        <v>--</v>
      </c>
      <c r="H27" s="21" t="str">
        <f>IF(Builder!H27=0,"--",Builder!H27)</f>
        <v>--</v>
      </c>
      <c r="I27" s="21" t="str">
        <f>IF(Builder!I27=0," ",Builder!I27)</f>
        <v xml:space="preserve"> </v>
      </c>
      <c r="J27" s="21" t="str">
        <f>IF(Builder!J27=0," ",Builder!J27)</f>
        <v xml:space="preserve"> </v>
      </c>
      <c r="K27" s="21">
        <f>IF(ISBLANK(Builder!K27),0,Builder!K27)</f>
        <v>0</v>
      </c>
      <c r="L27" s="21">
        <f>IF(ISBLANK(Builder!L27),0,Builder!L27)</f>
        <v>0</v>
      </c>
      <c r="M27" s="21">
        <f>IF(ISBLANK(Builder!M27),0,Builder!M27)</f>
        <v>0</v>
      </c>
      <c r="N27" s="21">
        <f>IF(ISBLANK(Builder!N27),0,Builder!N27)</f>
        <v>0</v>
      </c>
      <c r="O27" s="21">
        <f>IF(ISBLANK(Builder!O27),0,Builder!O27)</f>
        <v>0</v>
      </c>
      <c r="P27" s="21" t="str">
        <f>IF(Builder!P27=0," ",Builder!P27)</f>
        <v xml:space="preserve"> </v>
      </c>
      <c r="Q27" s="21">
        <f>IF(Builder!Q27=0,0,Builder!Q27)</f>
        <v>0</v>
      </c>
      <c r="R27" s="21" t="str">
        <f>IF(Builder!R27=0," ",Builder!R27)</f>
        <v xml:space="preserve"> </v>
      </c>
      <c r="S27" s="20" t="str">
        <f>IF(Builder!S29=0," ",Builder!S29)</f>
        <v xml:space="preserve"> </v>
      </c>
      <c r="T27" s="20" t="str">
        <f>IF(Builder!T27=0," ",Builder!T27)</f>
        <v xml:space="preserve"> </v>
      </c>
    </row>
    <row r="28" spans="1:20" x14ac:dyDescent="0.3">
      <c r="A28" s="20">
        <f>IF(Q28&gt;=1,MAX($A$4:A27)+1,0)</f>
        <v>0</v>
      </c>
      <c r="B28" s="21" t="str">
        <f>IF(Builder!B28=0," ",Builder!B28)</f>
        <v xml:space="preserve"> </v>
      </c>
      <c r="C28" s="22" t="str">
        <f>IF(Builder!C28=0," ",Builder!C28)</f>
        <v xml:space="preserve"> </v>
      </c>
      <c r="D28" s="21" t="str">
        <f>IF(Builder!D28=0," ",Builder!D28)</f>
        <v xml:space="preserve"> </v>
      </c>
      <c r="E28" s="21" t="str">
        <f>IF(Builder!E28=0," ",Builder!E28)</f>
        <v xml:space="preserve"> </v>
      </c>
      <c r="F28" s="21" t="str">
        <f>IF(Builder!F28=0," ",Builder!F28)</f>
        <v xml:space="preserve"> </v>
      </c>
      <c r="G28" s="21" t="str">
        <f>IF(Builder!G28=0,"--",Builder!G28)</f>
        <v>--</v>
      </c>
      <c r="H28" s="21" t="str">
        <f>IF(Builder!H28=0,"--",Builder!H28)</f>
        <v>--</v>
      </c>
      <c r="I28" s="21" t="str">
        <f>IF(Builder!I28=0," ",Builder!I28)</f>
        <v xml:space="preserve"> </v>
      </c>
      <c r="J28" s="21" t="str">
        <f>IF(Builder!J28=0," ",Builder!J28)</f>
        <v xml:space="preserve"> </v>
      </c>
      <c r="K28" s="21">
        <f>IF(ISBLANK(Builder!K28),0,Builder!K28)</f>
        <v>0</v>
      </c>
      <c r="L28" s="21">
        <f>IF(ISBLANK(Builder!L28),0,Builder!L28)</f>
        <v>0</v>
      </c>
      <c r="M28" s="21">
        <f>IF(ISBLANK(Builder!M28),0,Builder!M28)</f>
        <v>0</v>
      </c>
      <c r="N28" s="21">
        <f>IF(ISBLANK(Builder!N28),0,Builder!N28)</f>
        <v>0</v>
      </c>
      <c r="O28" s="21">
        <f>IF(ISBLANK(Builder!O28),0,Builder!O28)</f>
        <v>0</v>
      </c>
      <c r="P28" s="21" t="str">
        <f>IF(Builder!P28=0," ",Builder!P28)</f>
        <v xml:space="preserve"> </v>
      </c>
      <c r="Q28" s="21">
        <f>IF(Builder!Q28=0,0,Builder!Q28)</f>
        <v>0</v>
      </c>
      <c r="R28" s="21" t="str">
        <f>IF(Builder!R28=0," ",Builder!R28)</f>
        <v xml:space="preserve"> </v>
      </c>
      <c r="S28" s="20" t="str">
        <f>IF(Builder!S30=0," ",Builder!S30)</f>
        <v xml:space="preserve"> </v>
      </c>
      <c r="T28" s="20" t="str">
        <f>IF(Builder!T28=0," ",Builder!T28)</f>
        <v xml:space="preserve"> </v>
      </c>
    </row>
    <row r="29" spans="1:20" x14ac:dyDescent="0.3">
      <c r="A29" s="20">
        <f>IF(Q29&gt;=1,MAX($A$4:A28)+1,0)</f>
        <v>0</v>
      </c>
      <c r="B29" s="21" t="str">
        <f>IF(Builder!B29=0," ",Builder!B29)</f>
        <v xml:space="preserve"> </v>
      </c>
      <c r="C29" s="22" t="str">
        <f>IF(Builder!C29=0," ",Builder!C29)</f>
        <v xml:space="preserve"> </v>
      </c>
      <c r="D29" s="21" t="str">
        <f>IF(Builder!D29=0," ",Builder!D29)</f>
        <v xml:space="preserve"> </v>
      </c>
      <c r="E29" s="21" t="str">
        <f>IF(Builder!E29=0," ",Builder!E29)</f>
        <v xml:space="preserve"> </v>
      </c>
      <c r="F29" s="21" t="str">
        <f>IF(Builder!F29=0," ",Builder!F29)</f>
        <v xml:space="preserve"> </v>
      </c>
      <c r="G29" s="21" t="str">
        <f>IF(Builder!G29=0,"--",Builder!G29)</f>
        <v>--</v>
      </c>
      <c r="H29" s="21" t="str">
        <f>IF(Builder!H29=0,"--",Builder!H29)</f>
        <v>--</v>
      </c>
      <c r="I29" s="21" t="str">
        <f>IF(Builder!I29=0," ",Builder!I29)</f>
        <v xml:space="preserve"> </v>
      </c>
      <c r="J29" s="21" t="str">
        <f>IF(Builder!J29=0," ",Builder!J29)</f>
        <v xml:space="preserve"> </v>
      </c>
      <c r="K29" s="21">
        <f>IF(ISBLANK(Builder!K29),0,Builder!K29)</f>
        <v>0</v>
      </c>
      <c r="L29" s="21">
        <f>IF(ISBLANK(Builder!L29),0,Builder!L29)</f>
        <v>0</v>
      </c>
      <c r="M29" s="21">
        <f>IF(ISBLANK(Builder!M29),0,Builder!M29)</f>
        <v>0</v>
      </c>
      <c r="N29" s="21">
        <f>IF(ISBLANK(Builder!N29),0,Builder!N29)</f>
        <v>0</v>
      </c>
      <c r="O29" s="21">
        <f>IF(ISBLANK(Builder!O29),0,Builder!O29)</f>
        <v>0</v>
      </c>
      <c r="P29" s="21" t="str">
        <f>IF(Builder!P29=0," ",Builder!P29)</f>
        <v xml:space="preserve"> </v>
      </c>
      <c r="Q29" s="21">
        <f>IF(Builder!Q29=0,0,Builder!Q29)</f>
        <v>0</v>
      </c>
      <c r="R29" s="21" t="str">
        <f>IF(Builder!R29=0," ",Builder!R29)</f>
        <v xml:space="preserve"> </v>
      </c>
      <c r="S29" s="20" t="str">
        <f>IF(Builder!S31=0," ",Builder!S31)</f>
        <v xml:space="preserve"> </v>
      </c>
      <c r="T29" s="20" t="str">
        <f>IF(Builder!T29=0," ",Builder!T29)</f>
        <v xml:space="preserve"> </v>
      </c>
    </row>
    <row r="30" spans="1:20" x14ac:dyDescent="0.3">
      <c r="A30" s="20">
        <f>IF(Q30&gt;=1,MAX($A$4:A29)+1,0)</f>
        <v>0</v>
      </c>
      <c r="B30" s="21" t="str">
        <f>IF(Builder!B30=0," ",Builder!B30)</f>
        <v xml:space="preserve"> </v>
      </c>
      <c r="C30" s="22" t="str">
        <f>IF(Builder!C30=0," ",Builder!C30)</f>
        <v xml:space="preserve"> </v>
      </c>
      <c r="D30" s="21" t="str">
        <f>IF(Builder!D30=0," ",Builder!D30)</f>
        <v xml:space="preserve"> </v>
      </c>
      <c r="E30" s="21" t="str">
        <f>IF(Builder!E30=0," ",Builder!E30)</f>
        <v xml:space="preserve"> </v>
      </c>
      <c r="F30" s="21" t="str">
        <f>IF(Builder!F30=0," ",Builder!F30)</f>
        <v xml:space="preserve"> </v>
      </c>
      <c r="G30" s="21" t="str">
        <f>IF(Builder!G30=0,"--",Builder!G30)</f>
        <v>--</v>
      </c>
      <c r="H30" s="21" t="str">
        <f>IF(Builder!H30=0,"--",Builder!H30)</f>
        <v>--</v>
      </c>
      <c r="I30" s="21" t="str">
        <f>IF(Builder!I30=0," ",Builder!I30)</f>
        <v xml:space="preserve"> </v>
      </c>
      <c r="J30" s="21" t="str">
        <f>IF(Builder!J30=0," ",Builder!J30)</f>
        <v xml:space="preserve"> </v>
      </c>
      <c r="K30" s="21">
        <f>IF(ISBLANK(Builder!K30),0,Builder!K30)</f>
        <v>0</v>
      </c>
      <c r="L30" s="21">
        <f>IF(ISBLANK(Builder!L30),0,Builder!L30)</f>
        <v>0</v>
      </c>
      <c r="M30" s="21">
        <f>IF(ISBLANK(Builder!M30),0,Builder!M30)</f>
        <v>0</v>
      </c>
      <c r="N30" s="21">
        <f>IF(ISBLANK(Builder!N30),0,Builder!N30)</f>
        <v>0</v>
      </c>
      <c r="O30" s="21">
        <f>IF(ISBLANK(Builder!O30),0,Builder!O30)</f>
        <v>0</v>
      </c>
      <c r="P30" s="21" t="e">
        <f>IF(Builder!#REF!=0," ",Builder!#REF!)</f>
        <v>#REF!</v>
      </c>
      <c r="Q30" s="21">
        <f>IF(Builder!Q30=0,0,Builder!Q30)</f>
        <v>0</v>
      </c>
      <c r="R30" s="21" t="str">
        <f>IF(Builder!R30=0," ",Builder!R30)</f>
        <v xml:space="preserve"> </v>
      </c>
      <c r="S30" s="20" t="str">
        <f>IF(Builder!S32=0," ",Builder!S32)</f>
        <v xml:space="preserve"> </v>
      </c>
      <c r="T30" s="20" t="str">
        <f>IF(Builder!T30=0," ",Builder!T30)</f>
        <v xml:space="preserve"> </v>
      </c>
    </row>
    <row r="31" spans="1:20" x14ac:dyDescent="0.3">
      <c r="T31" s="20" t="str">
        <f>IF(Builder!T31=0," ",Builder!T31)</f>
        <v xml:space="preserve"> </v>
      </c>
    </row>
    <row r="32" spans="1:20" x14ac:dyDescent="0.3">
      <c r="T32" s="20" t="str">
        <f>IF(Builder!T32=0," ",Builder!T32)</f>
        <v xml:space="preserve"> </v>
      </c>
    </row>
  </sheetData>
  <mergeCells count="1">
    <mergeCell ref="G3:H3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C128-ECCC-4ED9-8766-F3DD9A82C3EA}">
  <dimension ref="D1:X30"/>
  <sheetViews>
    <sheetView zoomScaleNormal="60" zoomScaleSheetLayoutView="100" workbookViewId="0">
      <selection activeCell="O23" sqref="O23"/>
    </sheetView>
  </sheetViews>
  <sheetFormatPr defaultRowHeight="14.4" x14ac:dyDescent="0.3"/>
  <cols>
    <col min="4" max="4" width="7.88671875" bestFit="1" customWidth="1"/>
    <col min="5" max="5" width="15.88671875" bestFit="1" customWidth="1"/>
    <col min="6" max="6" width="7.6640625" bestFit="1" customWidth="1"/>
    <col min="7" max="7" width="5.88671875" bestFit="1" customWidth="1"/>
    <col min="8" max="8" width="6" bestFit="1" customWidth="1"/>
    <col min="9" max="9" width="6" customWidth="1"/>
    <col min="10" max="10" width="6" bestFit="1" customWidth="1"/>
    <col min="11" max="11" width="7.77734375" bestFit="1" customWidth="1"/>
    <col min="12" max="12" width="10.109375" bestFit="1" customWidth="1"/>
    <col min="13" max="13" width="6.44140625" bestFit="1" customWidth="1"/>
    <col min="14" max="14" width="7.44140625" bestFit="1" customWidth="1"/>
    <col min="15" max="15" width="6.44140625" bestFit="1" customWidth="1"/>
    <col min="16" max="16" width="3.6640625" bestFit="1" customWidth="1"/>
    <col min="17" max="17" width="12.77734375" bestFit="1" customWidth="1"/>
    <col min="18" max="18" width="3.6640625" bestFit="1" customWidth="1"/>
    <col min="19" max="19" width="8.44140625" bestFit="1" customWidth="1"/>
    <col min="20" max="20" width="4" bestFit="1" customWidth="1"/>
    <col min="21" max="21" width="19.5546875" bestFit="1" customWidth="1"/>
    <col min="22" max="22" width="3.6640625" bestFit="1" customWidth="1"/>
    <col min="24" max="24" width="6" bestFit="1" customWidth="1"/>
  </cols>
  <sheetData>
    <row r="1" spans="4:24" x14ac:dyDescent="0.3"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</row>
    <row r="4" spans="4:24" ht="15" x14ac:dyDescent="0.3">
      <c r="I4" s="109" t="s">
        <v>10</v>
      </c>
      <c r="J4" s="109"/>
      <c r="X4">
        <f>SUM(X6:X29)</f>
        <v>0</v>
      </c>
    </row>
    <row r="5" spans="4:24" ht="15" x14ac:dyDescent="0.3">
      <c r="F5" s="4" t="s">
        <v>0</v>
      </c>
      <c r="G5" s="4" t="s">
        <v>1</v>
      </c>
      <c r="H5" s="4" t="s">
        <v>2</v>
      </c>
      <c r="I5" s="4" t="s">
        <v>106</v>
      </c>
      <c r="J5" s="4" t="s">
        <v>107</v>
      </c>
      <c r="K5" s="4" t="s">
        <v>4</v>
      </c>
      <c r="L5" s="4" t="s">
        <v>3</v>
      </c>
      <c r="M5" s="4" t="s">
        <v>5</v>
      </c>
      <c r="N5" s="4" t="s">
        <v>97</v>
      </c>
      <c r="O5" s="4" t="s">
        <v>94</v>
      </c>
      <c r="P5" s="4" t="s">
        <v>98</v>
      </c>
      <c r="Q5" s="4" t="s">
        <v>91</v>
      </c>
      <c r="R5" s="4" t="s">
        <v>98</v>
      </c>
      <c r="S5" s="4" t="s">
        <v>92</v>
      </c>
      <c r="T5" s="4" t="s">
        <v>98</v>
      </c>
      <c r="U5" s="4" t="s">
        <v>93</v>
      </c>
      <c r="V5" s="4" t="s">
        <v>98</v>
      </c>
      <c r="W5" s="4" t="s">
        <v>99</v>
      </c>
      <c r="X5" s="4" t="s">
        <v>96</v>
      </c>
    </row>
    <row r="6" spans="4:24" x14ac:dyDescent="0.3">
      <c r="D6" t="s">
        <v>101</v>
      </c>
      <c r="E6" t="s">
        <v>15</v>
      </c>
      <c r="F6">
        <f t="shared" ref="F6:N15" si="0">IFERROR(VLOOKUP($E6,stats,F$1,FALSE),0)</f>
        <v>6</v>
      </c>
      <c r="G6">
        <f t="shared" si="0"/>
        <v>4</v>
      </c>
      <c r="H6">
        <f t="shared" si="0"/>
        <v>4</v>
      </c>
      <c r="I6">
        <f t="shared" si="0"/>
        <v>0</v>
      </c>
      <c r="J6">
        <f t="shared" si="0"/>
        <v>0</v>
      </c>
      <c r="K6">
        <f t="shared" si="0"/>
        <v>5</v>
      </c>
      <c r="L6">
        <f t="shared" si="0"/>
        <v>0</v>
      </c>
      <c r="M6">
        <f t="shared" si="0"/>
        <v>42</v>
      </c>
      <c r="N6">
        <f t="shared" si="0"/>
        <v>0</v>
      </c>
      <c r="O6" t="s">
        <v>40</v>
      </c>
      <c r="P6" t="str">
        <f t="shared" ref="P6:P29" si="1">IFERROR(VLOOKUP($O6,traits,9,FALSE),0)</f>
        <v>+8</v>
      </c>
      <c r="Q6" t="s">
        <v>74</v>
      </c>
      <c r="R6">
        <f t="shared" ref="R6:R30" si="2">IFERROR(VLOOKUP($Q6,traits,9,FALSE),0)</f>
        <v>0</v>
      </c>
      <c r="S6" t="s">
        <v>32</v>
      </c>
      <c r="T6" t="str">
        <f t="shared" ref="T6:T30" si="3">IFERROR(VLOOKUP($S6,traits,9,FALSE),0)</f>
        <v>+12</v>
      </c>
      <c r="U6" t="s">
        <v>81</v>
      </c>
      <c r="V6" t="str">
        <f>IFERROR(VLOOKUP($U6,traits,9,FALSE),0)</f>
        <v>+3</v>
      </c>
      <c r="W6">
        <v>60</v>
      </c>
      <c r="X6">
        <f>IFERROR(((M6+P6+R6+T6+V6+W6)*N6),"ERROR")</f>
        <v>0</v>
      </c>
    </row>
    <row r="7" spans="4:24" x14ac:dyDescent="0.3">
      <c r="D7" t="s">
        <v>100</v>
      </c>
      <c r="E7" t="s">
        <v>11</v>
      </c>
      <c r="F7">
        <f t="shared" si="0"/>
        <v>5</v>
      </c>
      <c r="G7">
        <f t="shared" si="0"/>
        <v>2</v>
      </c>
      <c r="H7">
        <f t="shared" si="0"/>
        <v>4</v>
      </c>
      <c r="I7">
        <f t="shared" si="0"/>
        <v>0</v>
      </c>
      <c r="J7">
        <f t="shared" si="0"/>
        <v>0</v>
      </c>
      <c r="K7">
        <f t="shared" si="0"/>
        <v>5</v>
      </c>
      <c r="L7">
        <f t="shared" si="0"/>
        <v>0</v>
      </c>
      <c r="M7">
        <f t="shared" si="0"/>
        <v>36</v>
      </c>
      <c r="N7">
        <f t="shared" si="0"/>
        <v>0</v>
      </c>
      <c r="O7" t="s">
        <v>40</v>
      </c>
      <c r="P7" t="str">
        <f t="shared" si="1"/>
        <v>+8</v>
      </c>
      <c r="Q7" t="s">
        <v>44</v>
      </c>
      <c r="R7" t="str">
        <f t="shared" si="2"/>
        <v>+8</v>
      </c>
      <c r="S7" t="s">
        <v>26</v>
      </c>
      <c r="T7" t="str">
        <f t="shared" si="3"/>
        <v>+4</v>
      </c>
      <c r="U7" t="s">
        <v>23</v>
      </c>
      <c r="V7">
        <f>IFERROR(VLOOKUP($U7,Stats!$B$18:$J$70,8,FALSE),0)</f>
        <v>0</v>
      </c>
      <c r="X7">
        <f t="shared" ref="X7:X30" si="4">IFERROR(((M7+P7+R7+T7+V7+W7)*N7),"ERROR")</f>
        <v>0</v>
      </c>
    </row>
    <row r="8" spans="4:24" x14ac:dyDescent="0.3">
      <c r="D8" t="s">
        <v>102</v>
      </c>
      <c r="E8" t="s">
        <v>11</v>
      </c>
      <c r="F8">
        <f t="shared" si="0"/>
        <v>5</v>
      </c>
      <c r="G8">
        <f t="shared" si="0"/>
        <v>2</v>
      </c>
      <c r="H8">
        <f t="shared" si="0"/>
        <v>4</v>
      </c>
      <c r="I8">
        <f t="shared" si="0"/>
        <v>0</v>
      </c>
      <c r="J8">
        <f t="shared" si="0"/>
        <v>0</v>
      </c>
      <c r="K8">
        <f t="shared" si="0"/>
        <v>5</v>
      </c>
      <c r="L8">
        <f t="shared" si="0"/>
        <v>0</v>
      </c>
      <c r="M8">
        <f t="shared" si="0"/>
        <v>36</v>
      </c>
      <c r="N8">
        <f t="shared" si="0"/>
        <v>0</v>
      </c>
      <c r="O8" t="s">
        <v>40</v>
      </c>
      <c r="P8" t="str">
        <f t="shared" si="1"/>
        <v>+8</v>
      </c>
      <c r="Q8" t="s">
        <v>89</v>
      </c>
      <c r="R8" t="str">
        <f t="shared" si="2"/>
        <v>+3</v>
      </c>
      <c r="S8" t="s">
        <v>36</v>
      </c>
      <c r="T8" t="str">
        <f t="shared" si="3"/>
        <v>+8</v>
      </c>
      <c r="U8" t="s">
        <v>26</v>
      </c>
      <c r="V8">
        <f>IFERROR(VLOOKUP($U8,Stats!$B$18:$J$70,8,FALSE),0)</f>
        <v>0</v>
      </c>
      <c r="X8">
        <f t="shared" si="4"/>
        <v>0</v>
      </c>
    </row>
    <row r="9" spans="4:24" x14ac:dyDescent="0.3">
      <c r="D9" t="s">
        <v>103</v>
      </c>
      <c r="E9" t="s">
        <v>12</v>
      </c>
      <c r="F9">
        <f t="shared" si="0"/>
        <v>4</v>
      </c>
      <c r="G9">
        <f t="shared" si="0"/>
        <v>2</v>
      </c>
      <c r="H9">
        <f t="shared" si="0"/>
        <v>3</v>
      </c>
      <c r="I9">
        <f t="shared" si="0"/>
        <v>0</v>
      </c>
      <c r="J9">
        <f t="shared" si="0"/>
        <v>0</v>
      </c>
      <c r="K9">
        <f t="shared" si="0"/>
        <v>5</v>
      </c>
      <c r="L9">
        <f t="shared" si="0"/>
        <v>0</v>
      </c>
      <c r="M9">
        <f t="shared" si="0"/>
        <v>30</v>
      </c>
      <c r="N9">
        <f t="shared" si="0"/>
        <v>0</v>
      </c>
      <c r="O9" t="s">
        <v>40</v>
      </c>
      <c r="P9" t="str">
        <f t="shared" si="1"/>
        <v>+8</v>
      </c>
      <c r="Q9" t="s">
        <v>44</v>
      </c>
      <c r="R9" t="str">
        <f t="shared" si="2"/>
        <v>+8</v>
      </c>
      <c r="T9">
        <f t="shared" si="3"/>
        <v>0</v>
      </c>
      <c r="U9" t="s">
        <v>23</v>
      </c>
      <c r="V9">
        <f>IFERROR(VLOOKUP($U9,Stats!$B$18:$J$70,8,FALSE),0)</f>
        <v>0</v>
      </c>
      <c r="X9">
        <f t="shared" si="4"/>
        <v>0</v>
      </c>
    </row>
    <row r="10" spans="4:24" x14ac:dyDescent="0.3">
      <c r="D10" t="s">
        <v>104</v>
      </c>
      <c r="E10" t="s">
        <v>12</v>
      </c>
      <c r="F10">
        <f t="shared" si="0"/>
        <v>4</v>
      </c>
      <c r="G10">
        <f t="shared" si="0"/>
        <v>2</v>
      </c>
      <c r="H10">
        <f t="shared" si="0"/>
        <v>3</v>
      </c>
      <c r="I10">
        <f t="shared" si="0"/>
        <v>0</v>
      </c>
      <c r="J10">
        <f t="shared" si="0"/>
        <v>0</v>
      </c>
      <c r="K10">
        <f t="shared" si="0"/>
        <v>5</v>
      </c>
      <c r="L10">
        <f t="shared" si="0"/>
        <v>0</v>
      </c>
      <c r="M10">
        <f t="shared" si="0"/>
        <v>30</v>
      </c>
      <c r="N10">
        <f t="shared" si="0"/>
        <v>0</v>
      </c>
      <c r="O10" t="s">
        <v>40</v>
      </c>
      <c r="P10" t="str">
        <f t="shared" si="1"/>
        <v>+8</v>
      </c>
      <c r="Q10" t="s">
        <v>44</v>
      </c>
      <c r="R10" t="str">
        <f t="shared" si="2"/>
        <v>+8</v>
      </c>
      <c r="S10" t="s">
        <v>26</v>
      </c>
      <c r="T10" t="str">
        <f t="shared" si="3"/>
        <v>+4</v>
      </c>
      <c r="U10" t="s">
        <v>23</v>
      </c>
      <c r="V10">
        <f>IFERROR(VLOOKUP($U10,Stats!$B$18:$J$70,8,FALSE),0)</f>
        <v>0</v>
      </c>
      <c r="X10">
        <f t="shared" si="4"/>
        <v>0</v>
      </c>
    </row>
    <row r="11" spans="4:24" x14ac:dyDescent="0.3">
      <c r="D11" t="s">
        <v>105</v>
      </c>
      <c r="E11" t="s">
        <v>15</v>
      </c>
      <c r="F11">
        <f t="shared" si="0"/>
        <v>6</v>
      </c>
      <c r="G11">
        <f t="shared" si="0"/>
        <v>4</v>
      </c>
      <c r="H11">
        <f t="shared" si="0"/>
        <v>4</v>
      </c>
      <c r="I11">
        <f t="shared" si="0"/>
        <v>0</v>
      </c>
      <c r="J11">
        <f t="shared" si="0"/>
        <v>0</v>
      </c>
      <c r="K11">
        <f t="shared" si="0"/>
        <v>5</v>
      </c>
      <c r="L11">
        <f t="shared" si="0"/>
        <v>0</v>
      </c>
      <c r="M11">
        <f t="shared" si="0"/>
        <v>42</v>
      </c>
      <c r="N11">
        <f t="shared" si="0"/>
        <v>0</v>
      </c>
      <c r="O11" t="s">
        <v>40</v>
      </c>
      <c r="P11" t="str">
        <f t="shared" si="1"/>
        <v>+8</v>
      </c>
      <c r="Q11" t="s">
        <v>74</v>
      </c>
      <c r="R11">
        <f t="shared" si="2"/>
        <v>0</v>
      </c>
      <c r="S11" t="s">
        <v>32</v>
      </c>
      <c r="T11" t="str">
        <f t="shared" si="3"/>
        <v>+12</v>
      </c>
      <c r="U11" t="s">
        <v>81</v>
      </c>
      <c r="V11">
        <f>IFERROR(VLOOKUP($U11,Stats!$B$18:$J$70,8,FALSE),0)</f>
        <v>0</v>
      </c>
      <c r="X11">
        <f t="shared" si="4"/>
        <v>0</v>
      </c>
    </row>
    <row r="12" spans="4:24" x14ac:dyDescent="0.3">
      <c r="E12" t="s">
        <v>11</v>
      </c>
      <c r="F12">
        <f t="shared" si="0"/>
        <v>5</v>
      </c>
      <c r="G12">
        <f t="shared" si="0"/>
        <v>2</v>
      </c>
      <c r="H12">
        <f t="shared" si="0"/>
        <v>4</v>
      </c>
      <c r="I12">
        <f t="shared" si="0"/>
        <v>0</v>
      </c>
      <c r="J12">
        <f t="shared" si="0"/>
        <v>0</v>
      </c>
      <c r="K12">
        <f t="shared" si="0"/>
        <v>5</v>
      </c>
      <c r="L12">
        <f t="shared" si="0"/>
        <v>0</v>
      </c>
      <c r="M12">
        <f t="shared" si="0"/>
        <v>36</v>
      </c>
      <c r="N12">
        <f t="shared" si="0"/>
        <v>0</v>
      </c>
      <c r="O12" t="s">
        <v>40</v>
      </c>
      <c r="P12" t="str">
        <f t="shared" si="1"/>
        <v>+8</v>
      </c>
      <c r="Q12" t="s">
        <v>44</v>
      </c>
      <c r="R12" t="str">
        <f t="shared" si="2"/>
        <v>+8</v>
      </c>
      <c r="S12" t="s">
        <v>26</v>
      </c>
      <c r="T12" t="str">
        <f t="shared" si="3"/>
        <v>+4</v>
      </c>
      <c r="U12" t="s">
        <v>23</v>
      </c>
      <c r="V12">
        <f>IFERROR(VLOOKUP($U12,Stats!$B$18:$J$70,8,FALSE),0)</f>
        <v>0</v>
      </c>
      <c r="X12">
        <f t="shared" si="4"/>
        <v>0</v>
      </c>
    </row>
    <row r="13" spans="4:24" x14ac:dyDescent="0.3">
      <c r="E13" t="s">
        <v>7</v>
      </c>
      <c r="F13">
        <f t="shared" si="0"/>
        <v>1</v>
      </c>
      <c r="G13">
        <f t="shared" si="0"/>
        <v>4</v>
      </c>
      <c r="H13">
        <f t="shared" si="0"/>
        <v>1</v>
      </c>
      <c r="I13">
        <f t="shared" si="0"/>
        <v>0</v>
      </c>
      <c r="J13">
        <f t="shared" si="0"/>
        <v>0</v>
      </c>
      <c r="K13">
        <f t="shared" si="0"/>
        <v>5</v>
      </c>
      <c r="L13">
        <f t="shared" si="0"/>
        <v>2</v>
      </c>
      <c r="M13">
        <f t="shared" si="0"/>
        <v>25</v>
      </c>
      <c r="N13">
        <f t="shared" si="0"/>
        <v>0</v>
      </c>
      <c r="P13">
        <f t="shared" si="1"/>
        <v>0</v>
      </c>
      <c r="R13">
        <f t="shared" si="2"/>
        <v>0</v>
      </c>
      <c r="T13">
        <f t="shared" si="3"/>
        <v>0</v>
      </c>
      <c r="V13">
        <f>IFERROR(VLOOKUP($U13,Stats!$B$18:$J$70,8,FALSE),0)</f>
        <v>0</v>
      </c>
      <c r="W13">
        <v>0</v>
      </c>
      <c r="X13">
        <f t="shared" si="4"/>
        <v>0</v>
      </c>
    </row>
    <row r="14" spans="4:24" x14ac:dyDescent="0.3">
      <c r="E14" t="s">
        <v>13</v>
      </c>
      <c r="F14">
        <f t="shared" si="0"/>
        <v>3</v>
      </c>
      <c r="G14">
        <f t="shared" si="0"/>
        <v>3</v>
      </c>
      <c r="H14">
        <f t="shared" si="0"/>
        <v>3</v>
      </c>
      <c r="I14">
        <f t="shared" si="0"/>
        <v>1</v>
      </c>
      <c r="J14">
        <f t="shared" si="0"/>
        <v>0</v>
      </c>
      <c r="K14">
        <f t="shared" si="0"/>
        <v>4</v>
      </c>
      <c r="L14">
        <f t="shared" si="0"/>
        <v>0</v>
      </c>
      <c r="M14">
        <f t="shared" si="0"/>
        <v>22</v>
      </c>
      <c r="N14">
        <f t="shared" si="0"/>
        <v>0</v>
      </c>
      <c r="P14">
        <f t="shared" si="1"/>
        <v>0</v>
      </c>
      <c r="R14">
        <f t="shared" si="2"/>
        <v>0</v>
      </c>
      <c r="T14">
        <f t="shared" si="3"/>
        <v>0</v>
      </c>
      <c r="V14">
        <f>IFERROR(VLOOKUP($U14,Stats!$B$18:$J$70,8,FALSE),0)</f>
        <v>0</v>
      </c>
      <c r="W14">
        <v>0</v>
      </c>
      <c r="X14">
        <f t="shared" si="4"/>
        <v>0</v>
      </c>
    </row>
    <row r="15" spans="4:24" x14ac:dyDescent="0.3"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P15">
        <f t="shared" si="1"/>
        <v>0</v>
      </c>
      <c r="R15">
        <f t="shared" si="2"/>
        <v>0</v>
      </c>
      <c r="T15">
        <f t="shared" si="3"/>
        <v>0</v>
      </c>
      <c r="V15">
        <f>IFERROR(VLOOKUP($U15,Stats!$B$18:$J$70,8,FALSE),0)</f>
        <v>0</v>
      </c>
      <c r="W15">
        <v>0</v>
      </c>
      <c r="X15">
        <f t="shared" si="4"/>
        <v>0</v>
      </c>
    </row>
    <row r="16" spans="4:24" x14ac:dyDescent="0.3">
      <c r="F16">
        <f t="shared" ref="F16:N29" si="5">IFERROR(VLOOKUP($E16,stats,F$1,FALSE),0)</f>
        <v>0</v>
      </c>
      <c r="G16">
        <f t="shared" si="5"/>
        <v>0</v>
      </c>
      <c r="H16">
        <f t="shared" si="5"/>
        <v>0</v>
      </c>
      <c r="I16">
        <f t="shared" si="5"/>
        <v>0</v>
      </c>
      <c r="J16">
        <f t="shared" si="5"/>
        <v>0</v>
      </c>
      <c r="K16">
        <f t="shared" si="5"/>
        <v>0</v>
      </c>
      <c r="L16">
        <f t="shared" si="5"/>
        <v>0</v>
      </c>
      <c r="M16">
        <f t="shared" si="5"/>
        <v>0</v>
      </c>
      <c r="N16">
        <f t="shared" si="5"/>
        <v>0</v>
      </c>
      <c r="P16">
        <f t="shared" si="1"/>
        <v>0</v>
      </c>
      <c r="R16">
        <f t="shared" si="2"/>
        <v>0</v>
      </c>
      <c r="T16">
        <f t="shared" si="3"/>
        <v>0</v>
      </c>
      <c r="V16">
        <f>IFERROR(VLOOKUP($U16,Stats!$B$18:$J$70,8,FALSE),0)</f>
        <v>0</v>
      </c>
      <c r="W16">
        <v>0</v>
      </c>
      <c r="X16">
        <f t="shared" si="4"/>
        <v>0</v>
      </c>
    </row>
    <row r="17" spans="4:24" x14ac:dyDescent="0.3"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P17">
        <f t="shared" si="1"/>
        <v>0</v>
      </c>
      <c r="R17">
        <f t="shared" si="2"/>
        <v>0</v>
      </c>
      <c r="T17">
        <f t="shared" si="3"/>
        <v>0</v>
      </c>
      <c r="V17">
        <f>IFERROR(VLOOKUP($U17,Stats!$B$18:$J$70,8,FALSE),0)</f>
        <v>0</v>
      </c>
      <c r="W17">
        <v>0</v>
      </c>
      <c r="X17">
        <f t="shared" si="4"/>
        <v>0</v>
      </c>
    </row>
    <row r="18" spans="4:24" x14ac:dyDescent="0.3">
      <c r="F18">
        <f t="shared" si="5"/>
        <v>0</v>
      </c>
      <c r="G18">
        <f t="shared" si="5"/>
        <v>0</v>
      </c>
      <c r="H18">
        <f t="shared" si="5"/>
        <v>0</v>
      </c>
      <c r="I18">
        <f t="shared" si="5"/>
        <v>0</v>
      </c>
      <c r="J18">
        <f t="shared" si="5"/>
        <v>0</v>
      </c>
      <c r="K18">
        <f t="shared" si="5"/>
        <v>0</v>
      </c>
      <c r="L18">
        <f t="shared" si="5"/>
        <v>0</v>
      </c>
      <c r="M18">
        <f t="shared" si="5"/>
        <v>0</v>
      </c>
      <c r="N18">
        <f t="shared" si="5"/>
        <v>0</v>
      </c>
      <c r="P18">
        <f t="shared" si="1"/>
        <v>0</v>
      </c>
      <c r="R18">
        <f t="shared" si="2"/>
        <v>0</v>
      </c>
      <c r="T18">
        <f t="shared" si="3"/>
        <v>0</v>
      </c>
      <c r="V18">
        <f>IFERROR(VLOOKUP($U18,Stats!$B$18:$J$70,8,FALSE),0)</f>
        <v>0</v>
      </c>
      <c r="W18">
        <v>0</v>
      </c>
      <c r="X18">
        <f t="shared" si="4"/>
        <v>0</v>
      </c>
    </row>
    <row r="19" spans="4:24" x14ac:dyDescent="0.3">
      <c r="F19">
        <f t="shared" si="5"/>
        <v>0</v>
      </c>
      <c r="G19">
        <f t="shared" si="5"/>
        <v>0</v>
      </c>
      <c r="H19">
        <f t="shared" si="5"/>
        <v>0</v>
      </c>
      <c r="I19">
        <f t="shared" si="5"/>
        <v>0</v>
      </c>
      <c r="J19">
        <f t="shared" si="5"/>
        <v>0</v>
      </c>
      <c r="K19">
        <f t="shared" si="5"/>
        <v>0</v>
      </c>
      <c r="L19">
        <f t="shared" si="5"/>
        <v>0</v>
      </c>
      <c r="M19">
        <f t="shared" si="5"/>
        <v>0</v>
      </c>
      <c r="N19">
        <f t="shared" si="5"/>
        <v>0</v>
      </c>
      <c r="P19">
        <f t="shared" si="1"/>
        <v>0</v>
      </c>
      <c r="R19">
        <f t="shared" si="2"/>
        <v>0</v>
      </c>
      <c r="T19">
        <f t="shared" si="3"/>
        <v>0</v>
      </c>
      <c r="V19">
        <f>IFERROR(VLOOKUP($U19,Stats!$B$18:$J$70,8,FALSE),0)</f>
        <v>0</v>
      </c>
      <c r="W19">
        <v>0</v>
      </c>
      <c r="X19">
        <f t="shared" si="4"/>
        <v>0</v>
      </c>
    </row>
    <row r="20" spans="4:24" x14ac:dyDescent="0.3">
      <c r="F20">
        <f t="shared" si="5"/>
        <v>0</v>
      </c>
      <c r="G20">
        <f t="shared" si="5"/>
        <v>0</v>
      </c>
      <c r="H20">
        <f t="shared" si="5"/>
        <v>0</v>
      </c>
      <c r="I20">
        <f t="shared" si="5"/>
        <v>0</v>
      </c>
      <c r="J20">
        <f t="shared" si="5"/>
        <v>0</v>
      </c>
      <c r="K20">
        <f t="shared" si="5"/>
        <v>0</v>
      </c>
      <c r="L20">
        <f t="shared" si="5"/>
        <v>0</v>
      </c>
      <c r="M20">
        <f t="shared" si="5"/>
        <v>0</v>
      </c>
      <c r="N20">
        <f t="shared" si="5"/>
        <v>0</v>
      </c>
      <c r="P20">
        <f t="shared" si="1"/>
        <v>0</v>
      </c>
      <c r="R20">
        <f t="shared" si="2"/>
        <v>0</v>
      </c>
      <c r="T20">
        <f t="shared" si="3"/>
        <v>0</v>
      </c>
      <c r="V20">
        <f>IFERROR(VLOOKUP($U20,Stats!$B$18:$J$70,8,FALSE),0)</f>
        <v>0</v>
      </c>
      <c r="W20">
        <v>0</v>
      </c>
      <c r="X20">
        <f t="shared" si="4"/>
        <v>0</v>
      </c>
    </row>
    <row r="21" spans="4:24" x14ac:dyDescent="0.3">
      <c r="F21">
        <f t="shared" si="5"/>
        <v>0</v>
      </c>
      <c r="G21">
        <f t="shared" si="5"/>
        <v>0</v>
      </c>
      <c r="H21">
        <f t="shared" si="5"/>
        <v>0</v>
      </c>
      <c r="I21">
        <f t="shared" si="5"/>
        <v>0</v>
      </c>
      <c r="J21">
        <f t="shared" si="5"/>
        <v>0</v>
      </c>
      <c r="K21">
        <f t="shared" si="5"/>
        <v>0</v>
      </c>
      <c r="L21">
        <f t="shared" si="5"/>
        <v>0</v>
      </c>
      <c r="M21">
        <f t="shared" si="5"/>
        <v>0</v>
      </c>
      <c r="N21">
        <f t="shared" si="5"/>
        <v>0</v>
      </c>
      <c r="P21">
        <f t="shared" si="1"/>
        <v>0</v>
      </c>
      <c r="R21">
        <f t="shared" si="2"/>
        <v>0</v>
      </c>
      <c r="T21">
        <f t="shared" si="3"/>
        <v>0</v>
      </c>
      <c r="V21">
        <f>IFERROR(VLOOKUP($U21,Stats!$B$18:$J$70,8,FALSE),0)</f>
        <v>0</v>
      </c>
      <c r="W21">
        <v>0</v>
      </c>
      <c r="X21">
        <f t="shared" si="4"/>
        <v>0</v>
      </c>
    </row>
    <row r="22" spans="4:24" x14ac:dyDescent="0.3">
      <c r="F22">
        <f t="shared" si="5"/>
        <v>0</v>
      </c>
      <c r="G22">
        <f t="shared" si="5"/>
        <v>0</v>
      </c>
      <c r="H22">
        <f t="shared" si="5"/>
        <v>0</v>
      </c>
      <c r="I22">
        <f t="shared" si="5"/>
        <v>0</v>
      </c>
      <c r="J22">
        <f t="shared" si="5"/>
        <v>0</v>
      </c>
      <c r="K22">
        <f t="shared" si="5"/>
        <v>0</v>
      </c>
      <c r="L22">
        <f t="shared" si="5"/>
        <v>0</v>
      </c>
      <c r="M22">
        <f t="shared" si="5"/>
        <v>0</v>
      </c>
      <c r="N22">
        <f t="shared" si="5"/>
        <v>0</v>
      </c>
      <c r="P22">
        <f t="shared" si="1"/>
        <v>0</v>
      </c>
      <c r="R22">
        <f t="shared" si="2"/>
        <v>0</v>
      </c>
      <c r="T22">
        <f t="shared" si="3"/>
        <v>0</v>
      </c>
      <c r="V22">
        <f>IFERROR(VLOOKUP($U22,Stats!$B$18:$J$70,8,FALSE),0)</f>
        <v>0</v>
      </c>
      <c r="W22">
        <v>0</v>
      </c>
      <c r="X22">
        <f t="shared" si="4"/>
        <v>0</v>
      </c>
    </row>
    <row r="23" spans="4:24" x14ac:dyDescent="0.3">
      <c r="F23">
        <f t="shared" si="5"/>
        <v>0</v>
      </c>
      <c r="G23">
        <f t="shared" si="5"/>
        <v>0</v>
      </c>
      <c r="H23">
        <f t="shared" si="5"/>
        <v>0</v>
      </c>
      <c r="I23">
        <f t="shared" si="5"/>
        <v>0</v>
      </c>
      <c r="J23">
        <f t="shared" si="5"/>
        <v>0</v>
      </c>
      <c r="K23">
        <f t="shared" si="5"/>
        <v>0</v>
      </c>
      <c r="L23">
        <f t="shared" si="5"/>
        <v>0</v>
      </c>
      <c r="M23">
        <f t="shared" si="5"/>
        <v>0</v>
      </c>
      <c r="N23">
        <f t="shared" si="5"/>
        <v>0</v>
      </c>
      <c r="P23">
        <f t="shared" si="1"/>
        <v>0</v>
      </c>
      <c r="R23">
        <f t="shared" si="2"/>
        <v>0</v>
      </c>
      <c r="T23">
        <f t="shared" si="3"/>
        <v>0</v>
      </c>
      <c r="V23">
        <f>IFERROR(VLOOKUP($U23,Stats!$B$18:$J$70,8,FALSE),0)</f>
        <v>0</v>
      </c>
      <c r="W23">
        <v>0</v>
      </c>
      <c r="X23">
        <f t="shared" si="4"/>
        <v>0</v>
      </c>
    </row>
    <row r="24" spans="4:24" x14ac:dyDescent="0.3">
      <c r="F24">
        <f t="shared" si="5"/>
        <v>0</v>
      </c>
      <c r="G24">
        <f t="shared" si="5"/>
        <v>0</v>
      </c>
      <c r="H24">
        <f t="shared" si="5"/>
        <v>0</v>
      </c>
      <c r="I24">
        <f t="shared" si="5"/>
        <v>0</v>
      </c>
      <c r="J24">
        <f t="shared" si="5"/>
        <v>0</v>
      </c>
      <c r="K24">
        <f t="shared" si="5"/>
        <v>0</v>
      </c>
      <c r="L24">
        <f t="shared" si="5"/>
        <v>0</v>
      </c>
      <c r="M24">
        <f t="shared" si="5"/>
        <v>0</v>
      </c>
      <c r="N24">
        <f t="shared" si="5"/>
        <v>0</v>
      </c>
      <c r="P24">
        <f t="shared" si="1"/>
        <v>0</v>
      </c>
      <c r="R24">
        <f t="shared" si="2"/>
        <v>0</v>
      </c>
      <c r="T24">
        <f t="shared" si="3"/>
        <v>0</v>
      </c>
      <c r="V24">
        <f>IFERROR(VLOOKUP($U24,Stats!$B$18:$J$70,8,FALSE),0)</f>
        <v>0</v>
      </c>
      <c r="W24">
        <v>0</v>
      </c>
      <c r="X24">
        <f t="shared" si="4"/>
        <v>0</v>
      </c>
    </row>
    <row r="25" spans="4:24" x14ac:dyDescent="0.3">
      <c r="F25">
        <f t="shared" si="5"/>
        <v>0</v>
      </c>
      <c r="G25">
        <f t="shared" si="5"/>
        <v>0</v>
      </c>
      <c r="H25">
        <f t="shared" si="5"/>
        <v>0</v>
      </c>
      <c r="I25">
        <f t="shared" si="5"/>
        <v>0</v>
      </c>
      <c r="J25">
        <f t="shared" si="5"/>
        <v>0</v>
      </c>
      <c r="K25">
        <f t="shared" si="5"/>
        <v>0</v>
      </c>
      <c r="L25">
        <f t="shared" si="5"/>
        <v>0</v>
      </c>
      <c r="M25">
        <f t="shared" si="5"/>
        <v>0</v>
      </c>
      <c r="N25">
        <f t="shared" si="5"/>
        <v>0</v>
      </c>
      <c r="P25">
        <f t="shared" si="1"/>
        <v>0</v>
      </c>
      <c r="R25">
        <f t="shared" si="2"/>
        <v>0</v>
      </c>
      <c r="T25">
        <f t="shared" si="3"/>
        <v>0</v>
      </c>
      <c r="V25">
        <f>IFERROR(VLOOKUP($U25,Stats!$B$18:$J$70,8,FALSE),0)</f>
        <v>0</v>
      </c>
      <c r="W25">
        <v>0</v>
      </c>
      <c r="X25">
        <f t="shared" si="4"/>
        <v>0</v>
      </c>
    </row>
    <row r="26" spans="4:24" x14ac:dyDescent="0.3">
      <c r="F26">
        <f t="shared" si="5"/>
        <v>0</v>
      </c>
      <c r="G26">
        <f t="shared" si="5"/>
        <v>0</v>
      </c>
      <c r="H26">
        <f t="shared" si="5"/>
        <v>0</v>
      </c>
      <c r="I26">
        <f t="shared" si="5"/>
        <v>0</v>
      </c>
      <c r="J26">
        <f t="shared" si="5"/>
        <v>0</v>
      </c>
      <c r="K26">
        <f t="shared" si="5"/>
        <v>0</v>
      </c>
      <c r="L26">
        <f t="shared" si="5"/>
        <v>0</v>
      </c>
      <c r="M26">
        <f t="shared" si="5"/>
        <v>0</v>
      </c>
      <c r="N26">
        <f t="shared" si="5"/>
        <v>0</v>
      </c>
      <c r="P26">
        <f t="shared" si="1"/>
        <v>0</v>
      </c>
      <c r="R26">
        <f t="shared" si="2"/>
        <v>0</v>
      </c>
      <c r="T26">
        <f t="shared" si="3"/>
        <v>0</v>
      </c>
      <c r="V26">
        <f>IFERROR(VLOOKUP($U26,Stats!$B$18:$J$70,8,FALSE),0)</f>
        <v>0</v>
      </c>
      <c r="W26">
        <v>0</v>
      </c>
      <c r="X26">
        <f t="shared" si="4"/>
        <v>0</v>
      </c>
    </row>
    <row r="27" spans="4:24" x14ac:dyDescent="0.3">
      <c r="F27">
        <f t="shared" si="5"/>
        <v>0</v>
      </c>
      <c r="G27">
        <f t="shared" si="5"/>
        <v>0</v>
      </c>
      <c r="H27">
        <f t="shared" si="5"/>
        <v>0</v>
      </c>
      <c r="I27">
        <f t="shared" si="5"/>
        <v>0</v>
      </c>
      <c r="J27">
        <f t="shared" si="5"/>
        <v>0</v>
      </c>
      <c r="K27">
        <f t="shared" si="5"/>
        <v>0</v>
      </c>
      <c r="L27">
        <f t="shared" si="5"/>
        <v>0</v>
      </c>
      <c r="M27">
        <f t="shared" si="5"/>
        <v>0</v>
      </c>
      <c r="N27">
        <f t="shared" si="5"/>
        <v>0</v>
      </c>
      <c r="P27">
        <f t="shared" si="1"/>
        <v>0</v>
      </c>
      <c r="R27">
        <f t="shared" si="2"/>
        <v>0</v>
      </c>
      <c r="T27">
        <f t="shared" si="3"/>
        <v>0</v>
      </c>
      <c r="V27">
        <f>IFERROR(VLOOKUP($U27,Stats!$B$18:$J$70,8,FALSE),0)</f>
        <v>0</v>
      </c>
      <c r="W27">
        <v>0</v>
      </c>
      <c r="X27">
        <f t="shared" si="4"/>
        <v>0</v>
      </c>
    </row>
    <row r="28" spans="4:24" x14ac:dyDescent="0.3">
      <c r="F28">
        <f t="shared" si="5"/>
        <v>0</v>
      </c>
      <c r="G28">
        <f t="shared" si="5"/>
        <v>0</v>
      </c>
      <c r="H28">
        <f t="shared" si="5"/>
        <v>0</v>
      </c>
      <c r="I28">
        <f t="shared" si="5"/>
        <v>0</v>
      </c>
      <c r="J28">
        <f t="shared" si="5"/>
        <v>0</v>
      </c>
      <c r="K28">
        <f t="shared" si="5"/>
        <v>0</v>
      </c>
      <c r="L28">
        <f t="shared" si="5"/>
        <v>0</v>
      </c>
      <c r="M28">
        <f t="shared" si="5"/>
        <v>0</v>
      </c>
      <c r="N28">
        <f t="shared" si="5"/>
        <v>0</v>
      </c>
      <c r="P28">
        <f t="shared" si="1"/>
        <v>0</v>
      </c>
      <c r="R28">
        <f t="shared" si="2"/>
        <v>0</v>
      </c>
      <c r="T28">
        <f t="shared" si="3"/>
        <v>0</v>
      </c>
      <c r="V28">
        <f>IFERROR(VLOOKUP($U28,Stats!$B$18:$J$70,8,FALSE),0)</f>
        <v>0</v>
      </c>
      <c r="W28">
        <v>0</v>
      </c>
      <c r="X28">
        <f t="shared" si="4"/>
        <v>0</v>
      </c>
    </row>
    <row r="29" spans="4:24" x14ac:dyDescent="0.3">
      <c r="F29">
        <f t="shared" si="5"/>
        <v>0</v>
      </c>
      <c r="G29">
        <f t="shared" si="5"/>
        <v>0</v>
      </c>
      <c r="H29">
        <f t="shared" si="5"/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P29">
        <f t="shared" si="1"/>
        <v>0</v>
      </c>
      <c r="R29">
        <f t="shared" si="2"/>
        <v>0</v>
      </c>
      <c r="T29">
        <f t="shared" si="3"/>
        <v>0</v>
      </c>
      <c r="V29">
        <f>IFERROR(VLOOKUP($U29,Stats!$B$18:$J$70,8,FALSE),0)</f>
        <v>0</v>
      </c>
      <c r="W29">
        <v>0</v>
      </c>
      <c r="X29">
        <f t="shared" si="4"/>
        <v>0</v>
      </c>
    </row>
    <row r="30" spans="4:24" x14ac:dyDescent="0.3">
      <c r="D30" t="s">
        <v>95</v>
      </c>
      <c r="I30">
        <f>IFERROR(VLOOKUP($E30,stats,I$1,FALSE),0)</f>
        <v>0</v>
      </c>
      <c r="R30">
        <f t="shared" si="2"/>
        <v>0</v>
      </c>
      <c r="T30">
        <f t="shared" si="3"/>
        <v>0</v>
      </c>
      <c r="V30">
        <f>IFERROR(VLOOKUP($U30,Stats!$B$18:$J$70,8,FALSE),0)</f>
        <v>0</v>
      </c>
      <c r="W30">
        <v>0</v>
      </c>
      <c r="X30">
        <f t="shared" si="4"/>
        <v>0</v>
      </c>
    </row>
  </sheetData>
  <dataConsolidate/>
  <mergeCells count="1">
    <mergeCell ref="I4:J4"/>
  </mergeCells>
  <conditionalFormatting sqref="A1:XFD3 A4:I5 K4:XFD5 J5 A6:XFD1048576">
    <cfRule type="cellIs" dxfId="0" priority="1" operator="equal">
      <formula>0</formula>
    </cfRule>
  </conditionalFormatting>
  <dataValidations count="1">
    <dataValidation type="list" allowBlank="1" showInputMessage="1" showErrorMessage="1" sqref="E6:E30" xr:uid="{13EE4372-1A59-4BF7-951D-25FBE460E9F0}">
      <formula1>companys</formula1>
    </dataValidation>
  </dataValidation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BBFC85-94C3-473C-9CF8-73E4CDDD105B}">
          <x14:formula1>
            <xm:f>Stats!$B$18:$B$70</xm:f>
          </x14:formula1>
          <xm:sqref>O6:O30 U6:U30 S6:S30 Q6:Q30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35</vt:i4>
      </vt:variant>
    </vt:vector>
  </HeadingPairs>
  <TitlesOfParts>
    <vt:vector size="42" baseType="lpstr">
      <vt:lpstr>Builder</vt:lpstr>
      <vt:lpstr>exclusion traits</vt:lpstr>
      <vt:lpstr>Print format</vt:lpstr>
      <vt:lpstr>Stats</vt:lpstr>
      <vt:lpstr>format</vt:lpstr>
      <vt:lpstr>sort</vt:lpstr>
      <vt:lpstr>bkp</vt:lpstr>
      <vt:lpstr>companys</vt:lpstr>
      <vt:lpstr>HERO</vt:lpstr>
      <vt:lpstr>format!Print_Area</vt:lpstr>
      <vt:lpstr>sort!Print_Area</vt:lpstr>
      <vt:lpstr>Relic_Names</vt:lpstr>
      <vt:lpstr>Relics</vt:lpstr>
      <vt:lpstr>ROW1_TRAITS</vt:lpstr>
      <vt:lpstr>ROW10_TRAITS</vt:lpstr>
      <vt:lpstr>ROW11_TRAITS</vt:lpstr>
      <vt:lpstr>ROW2_TRAITS</vt:lpstr>
      <vt:lpstr>ROW3_TRAITS</vt:lpstr>
      <vt:lpstr>ROW4_TRAITS</vt:lpstr>
      <vt:lpstr>ROW5_TRAITS</vt:lpstr>
      <vt:lpstr>ROW6_TRAITS</vt:lpstr>
      <vt:lpstr>ROW7_TRAITS</vt:lpstr>
      <vt:lpstr>ROW8_TRAITS</vt:lpstr>
      <vt:lpstr>ROW9_TRAITS</vt:lpstr>
      <vt:lpstr>sorted</vt:lpstr>
      <vt:lpstr>stats</vt:lpstr>
      <vt:lpstr>Strats</vt:lpstr>
      <vt:lpstr>traits</vt:lpstr>
      <vt:lpstr>TRAITS_ROW12</vt:lpstr>
      <vt:lpstr>TRAITS_ROW13</vt:lpstr>
      <vt:lpstr>TRAITS_ROW14</vt:lpstr>
      <vt:lpstr>TRAITS_ROW15</vt:lpstr>
      <vt:lpstr>TRAITS_ROW16</vt:lpstr>
      <vt:lpstr>TRAITS_ROW17</vt:lpstr>
      <vt:lpstr>TRAITS_ROW18</vt:lpstr>
      <vt:lpstr>TRAITS_ROW19</vt:lpstr>
      <vt:lpstr>TRAITS_ROW20</vt:lpstr>
      <vt:lpstr>TRAITS_ROW21</vt:lpstr>
      <vt:lpstr>TRAITS_ROW22</vt:lpstr>
      <vt:lpstr>TRAITS_ROW23</vt:lpstr>
      <vt:lpstr>TRAITS_ROW24</vt:lpstr>
      <vt:lpstr>TRAITS_ROW25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Wright</dc:creator>
  <cp:lastModifiedBy>Nicholas Wright</cp:lastModifiedBy>
  <cp:lastPrinted>2021-10-08T14:19:25Z</cp:lastPrinted>
  <dcterms:created xsi:type="dcterms:W3CDTF">2020-04-01T07:31:48Z</dcterms:created>
  <dcterms:modified xsi:type="dcterms:W3CDTF">2022-11-27T18:25:15Z</dcterms:modified>
</cp:coreProperties>
</file>